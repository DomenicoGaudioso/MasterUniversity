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1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2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13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14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5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16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17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18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19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20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drawings/drawing21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22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drawings/drawing23.xml" ContentType="application/vnd.openxmlformats-officedocument.drawing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24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drawings/drawing25.xml" ContentType="application/vnd.openxmlformats-officedocument.drawing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26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y7\Desktop\Magistrale\Magistrale\SISMICA\"/>
    </mc:Choice>
  </mc:AlternateContent>
  <xr:revisionPtr revIDLastSave="0" documentId="13_ncr:1_{FE0131E6-74D1-4A2B-B43B-433BD7FCCECF}" xr6:coauthVersionLast="44" xr6:coauthVersionMax="44" xr10:uidLastSave="{00000000-0000-0000-0000-000000000000}"/>
  <bookViews>
    <workbookView xWindow="-120" yWindow="-120" windowWidth="20730" windowHeight="11160" tabRatio="822" firstSheet="10" activeTab="10" xr2:uid="{00000000-000D-0000-FFFF-FFFF00000000}"/>
  </bookViews>
  <sheets>
    <sheet name="Menu" sheetId="30" state="hidden" r:id="rId1"/>
    <sheet name="C-Trave" sheetId="2" state="hidden" r:id="rId2"/>
    <sheet name="C-car.1" sheetId="4" state="hidden" r:id="rId3"/>
    <sheet name="C-car.2" sheetId="5" state="hidden" r:id="rId4"/>
    <sheet name="C-car.3" sheetId="6" state="hidden" r:id="rId5"/>
    <sheet name="C-car.4" sheetId="7" state="hidden" r:id="rId6"/>
    <sheet name="C-car.5" sheetId="8" state="hidden" r:id="rId7"/>
    <sheet name="C-Vincoli trave" sheetId="3" state="hidden" r:id="rId8"/>
    <sheet name="CC-Trave" sheetId="9" state="hidden" r:id="rId9"/>
    <sheet name="CCC-Trave" sheetId="16" state="hidden" r:id="rId10"/>
    <sheet name="CCCC-Trave" sheetId="23" r:id="rId11"/>
    <sheet name="Foglio1" sheetId="35" r:id="rId12"/>
    <sheet name="CCCC-car.1" sheetId="24" state="hidden" r:id="rId13"/>
    <sheet name="CCCC-car.2" sheetId="25" state="hidden" r:id="rId14"/>
    <sheet name="CCCC-car.3" sheetId="26" state="hidden" r:id="rId15"/>
    <sheet name="CCCC-car.4" sheetId="27" state="hidden" r:id="rId16"/>
    <sheet name="CCCC-car.5" sheetId="28" state="hidden" r:id="rId17"/>
    <sheet name="CCCC-Vincoli trave" sheetId="29" state="hidden" r:id="rId18"/>
    <sheet name="CCC-car.1" sheetId="17" state="hidden" r:id="rId19"/>
    <sheet name="CCC-car.2" sheetId="18" state="hidden" r:id="rId20"/>
    <sheet name="CCC-car.3" sheetId="19" state="hidden" r:id="rId21"/>
    <sheet name="CCC-car.4" sheetId="20" state="hidden" r:id="rId22"/>
    <sheet name="CCC-car.5" sheetId="21" state="hidden" r:id="rId23"/>
    <sheet name="CCC-Vincoli trave" sheetId="22" state="hidden" r:id="rId24"/>
    <sheet name="CC-car.1" sheetId="10" state="hidden" r:id="rId25"/>
    <sheet name="CC-car.2" sheetId="11" state="hidden" r:id="rId26"/>
    <sheet name="CC-car.3" sheetId="12" state="hidden" r:id="rId27"/>
    <sheet name="CC-car.4" sheetId="13" state="hidden" r:id="rId28"/>
    <sheet name="CC-car.5" sheetId="14" state="hidden" r:id="rId29"/>
    <sheet name="CC-Vincoli trave" sheetId="15" state="hidden" r:id="rId30"/>
    <sheet name="Sezioni ca" sheetId="32" state="hidden" r:id="rId31"/>
    <sheet name="Sezioni acciaio" sheetId="33" state="hidden" r:id="rId32"/>
    <sheet name="Coordinate travi Menu" sheetId="34" state="hidden" r:id="rId33"/>
  </sheets>
  <definedNames>
    <definedName name="acciaio">'Sezioni acciaio'!$A$5:$A$303</definedName>
    <definedName name="assente" localSheetId="9">'CCC-Trave'!$E$70</definedName>
    <definedName name="assente" localSheetId="8">'CC-Trave'!$E$70</definedName>
    <definedName name="assente" localSheetId="1">'C-Trave'!$E$70</definedName>
    <definedName name="assente">'CCCC-Trave'!$E$70</definedName>
    <definedName name="ca">'Sezioni ca'!$C$4:$C$112</definedName>
    <definedName name="matacciaio">'Sezioni acciaio'!$A$5:$J$303</definedName>
    <definedName name="matC" localSheetId="12">'CCCC-car.1'!$V$16:$X$18</definedName>
    <definedName name="matC" localSheetId="13">'CCCC-car.2'!$V$16:$X$18</definedName>
    <definedName name="matC" localSheetId="14">'CCCC-car.3'!$V$16:$X$18</definedName>
    <definedName name="matC" localSheetId="15">'CCCC-car.4'!$V$16:$X$18</definedName>
    <definedName name="matC" localSheetId="16">'CCCC-car.5'!$V$16:$X$18</definedName>
    <definedName name="matC">'CCCC-Trave'!$AF$16:$AH$18</definedName>
    <definedName name="matca">'Sezioni ca'!$C$4:$F$112</definedName>
    <definedName name="matca1">'Sezioni ca'!$C$4:$F$112</definedName>
    <definedName name="matCiinv">'CCCC-Trave'!$AJ$15:$AL$17</definedName>
    <definedName name="matCinv" localSheetId="19">'CCC-car.2'!$Z$16:$AA$17</definedName>
    <definedName name="matCinv" localSheetId="20">'CCC-car.3'!$Z$16:$AA$17</definedName>
    <definedName name="matCinv" localSheetId="21">'CCC-car.4'!$Z$16:$AA$17</definedName>
    <definedName name="matCinv" localSheetId="22">'CCC-car.5'!$Z$16:$AA$17</definedName>
    <definedName name="matCinv" localSheetId="12">'CCCC-car.1'!$Z$16:$AB$18</definedName>
    <definedName name="matCinv" localSheetId="13">'CCCC-car.2'!$Z$16:$AB$18</definedName>
    <definedName name="matCinv" localSheetId="14">'CCCC-car.3'!$Z$16:$AB$18</definedName>
    <definedName name="matCinv" localSheetId="15">'CCCC-car.4'!$Z$16:$AB$18</definedName>
    <definedName name="matCinv" localSheetId="16">'CCCC-car.5'!$Z$16:$AB$18</definedName>
    <definedName name="matCinv">'CCC-car.1'!$Z$16:$AA$17</definedName>
    <definedName name="matM" localSheetId="12">'CCCC-car.1'!$W$21:$W$23</definedName>
    <definedName name="matM" localSheetId="13">'CCCC-car.2'!$W$21:$W$23</definedName>
    <definedName name="matM" localSheetId="14">'CCCC-car.3'!$W$21:$W$23</definedName>
    <definedName name="matM" localSheetId="15">'CCCC-car.4'!$W$21:$W$23</definedName>
    <definedName name="matM" localSheetId="16">'CCCC-car.5'!$W$21:$W$23</definedName>
    <definedName name="matM">'CCCC-Trave'!$AG$21:$AG$23</definedName>
    <definedName name="matN" localSheetId="19">'CCC-car.2'!$AE$16:$AE$17</definedName>
    <definedName name="matN" localSheetId="20">'CCC-car.3'!$AE$16:$AE$17</definedName>
    <definedName name="matN" localSheetId="21">'CCC-car.4'!$AE$16:$AE$17</definedName>
    <definedName name="matN" localSheetId="22">'CCC-car.5'!$AE$16:$AE$17</definedName>
    <definedName name="matN" localSheetId="12">'CCCC-car.1'!$AE$16:$AE$18</definedName>
    <definedName name="matN" localSheetId="13">'CCCC-car.2'!$AE$16:$AE$18</definedName>
    <definedName name="matN" localSheetId="14">'CCCC-car.3'!$AE$16:$AE$18</definedName>
    <definedName name="matN" localSheetId="15">'CCCC-car.4'!$AE$16:$AE$18</definedName>
    <definedName name="matN" localSheetId="16">'CCCC-car.5'!$AE$16:$AE$18</definedName>
    <definedName name="matN">'CCC-car.1'!$AE$16:$AE$17</definedName>
    <definedName name="mattN" localSheetId="31">'CCCC-Trave'!#REF!</definedName>
    <definedName name="mattN">'CCCC-Trave'!#REF!</definedName>
    <definedName name="No" localSheetId="9">'CCC-Trave'!$G$70</definedName>
    <definedName name="No" localSheetId="8">'CC-Trave'!$G$70</definedName>
    <definedName name="No" localSheetId="1">'C-Trave'!$G$70</definedName>
    <definedName name="NO">'CCCC-Trave'!$G$70</definedName>
    <definedName name="presente" localSheetId="9">'CCC-Trave'!$C$70</definedName>
    <definedName name="presente" localSheetId="8">'CC-Trave'!$C$70</definedName>
    <definedName name="presente" localSheetId="1">'C-Trave'!$C$70</definedName>
    <definedName name="presente">'CCCC-Trave'!$C$70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0" i="23" l="1"/>
  <c r="F30" i="23"/>
  <c r="G30" i="23"/>
  <c r="D30" i="23"/>
  <c r="K7" i="35"/>
  <c r="K8" i="35"/>
  <c r="K11" i="35"/>
  <c r="K12" i="35"/>
  <c r="K15" i="35"/>
  <c r="K16" i="35"/>
  <c r="K19" i="35"/>
  <c r="K20" i="35"/>
  <c r="K23" i="35"/>
  <c r="K24" i="35"/>
  <c r="K27" i="35"/>
  <c r="K35" i="35"/>
  <c r="K36" i="35"/>
  <c r="K39" i="35"/>
  <c r="K40" i="35"/>
  <c r="J5" i="35"/>
  <c r="K5" i="35" s="1"/>
  <c r="J6" i="35"/>
  <c r="K6" i="35" s="1"/>
  <c r="J7" i="35"/>
  <c r="J8" i="35"/>
  <c r="J9" i="35"/>
  <c r="K9" i="35" s="1"/>
  <c r="J10" i="35"/>
  <c r="K10" i="35" s="1"/>
  <c r="J11" i="35"/>
  <c r="J12" i="35"/>
  <c r="J13" i="35"/>
  <c r="K13" i="35" s="1"/>
  <c r="J14" i="35"/>
  <c r="K14" i="35" s="1"/>
  <c r="J15" i="35"/>
  <c r="J16" i="35"/>
  <c r="J17" i="35"/>
  <c r="K17" i="35" s="1"/>
  <c r="J18" i="35"/>
  <c r="K18" i="35" s="1"/>
  <c r="J19" i="35"/>
  <c r="J20" i="35"/>
  <c r="J21" i="35"/>
  <c r="K21" i="35" s="1"/>
  <c r="J22" i="35"/>
  <c r="K22" i="35" s="1"/>
  <c r="J23" i="35"/>
  <c r="J24" i="35"/>
  <c r="J25" i="35"/>
  <c r="K25" i="35" s="1"/>
  <c r="J26" i="35"/>
  <c r="K26" i="35" s="1"/>
  <c r="J27" i="35"/>
  <c r="J28" i="35"/>
  <c r="K28" i="35" s="1"/>
  <c r="J29" i="35"/>
  <c r="K29" i="35" s="1"/>
  <c r="J30" i="35"/>
  <c r="K30" i="35" s="1"/>
  <c r="J31" i="35"/>
  <c r="K31" i="35" s="1"/>
  <c r="J32" i="35"/>
  <c r="K32" i="35" s="1"/>
  <c r="J33" i="35"/>
  <c r="K33" i="35" s="1"/>
  <c r="J34" i="35"/>
  <c r="K34" i="35" s="1"/>
  <c r="J35" i="35"/>
  <c r="J36" i="35"/>
  <c r="J37" i="35"/>
  <c r="K37" i="35" s="1"/>
  <c r="J38" i="35"/>
  <c r="K38" i="35" s="1"/>
  <c r="J39" i="35"/>
  <c r="J40" i="35"/>
  <c r="J41" i="35"/>
  <c r="K41" i="35" s="1"/>
  <c r="J42" i="35"/>
  <c r="K42" i="35" s="1"/>
  <c r="J43" i="35"/>
  <c r="K43" i="35" s="1"/>
  <c r="J4" i="35"/>
  <c r="K4" i="35" s="1"/>
  <c r="A33" i="35"/>
  <c r="F33" i="35"/>
  <c r="A34" i="35"/>
  <c r="F34" i="35"/>
  <c r="A35" i="35"/>
  <c r="F35" i="35"/>
  <c r="A36" i="35"/>
  <c r="F36" i="35"/>
  <c r="A37" i="35"/>
  <c r="F37" i="35"/>
  <c r="A38" i="35"/>
  <c r="F38" i="35"/>
  <c r="A39" i="35"/>
  <c r="F39" i="35"/>
  <c r="A40" i="35"/>
  <c r="F40" i="35"/>
  <c r="A41" i="35"/>
  <c r="F41" i="35"/>
  <c r="A42" i="35"/>
  <c r="F42" i="35"/>
  <c r="A43" i="35"/>
  <c r="F43" i="35"/>
  <c r="A32" i="35"/>
  <c r="F32" i="35"/>
  <c r="A9" i="35"/>
  <c r="F9" i="35"/>
  <c r="A10" i="35"/>
  <c r="F10" i="35"/>
  <c r="A11" i="35"/>
  <c r="F11" i="35"/>
  <c r="A12" i="35"/>
  <c r="F12" i="35"/>
  <c r="A13" i="35"/>
  <c r="F13" i="35"/>
  <c r="A14" i="35"/>
  <c r="F14" i="35"/>
  <c r="A15" i="35"/>
  <c r="F15" i="35"/>
  <c r="A16" i="35"/>
  <c r="F16" i="35"/>
  <c r="A17" i="35"/>
  <c r="F17" i="35"/>
  <c r="A18" i="35"/>
  <c r="F18" i="35"/>
  <c r="A19" i="35"/>
  <c r="F19" i="35"/>
  <c r="A20" i="35"/>
  <c r="F20" i="35"/>
  <c r="A21" i="35"/>
  <c r="F21" i="35"/>
  <c r="A22" i="35"/>
  <c r="F22" i="35"/>
  <c r="A23" i="35"/>
  <c r="F23" i="35"/>
  <c r="A24" i="35"/>
  <c r="F24" i="35"/>
  <c r="A25" i="35"/>
  <c r="F25" i="35"/>
  <c r="A26" i="35"/>
  <c r="F26" i="35"/>
  <c r="A27" i="35"/>
  <c r="F27" i="35"/>
  <c r="A28" i="35"/>
  <c r="F28" i="35"/>
  <c r="A29" i="35"/>
  <c r="F29" i="35"/>
  <c r="A30" i="35"/>
  <c r="F30" i="35"/>
  <c r="A31" i="35"/>
  <c r="F31" i="35"/>
  <c r="A5" i="35"/>
  <c r="F5" i="35"/>
  <c r="A6" i="35"/>
  <c r="F6" i="35"/>
  <c r="A7" i="35"/>
  <c r="F7" i="35"/>
  <c r="A8" i="35"/>
  <c r="F8" i="35"/>
  <c r="R3" i="35"/>
  <c r="R5" i="35" s="1"/>
  <c r="R2" i="35"/>
  <c r="G29" i="23"/>
  <c r="A4" i="35"/>
  <c r="F4" i="35"/>
  <c r="E29" i="23"/>
  <c r="D29" i="23"/>
  <c r="F28" i="23"/>
  <c r="D28" i="23"/>
  <c r="F26" i="23"/>
  <c r="D26" i="23"/>
  <c r="G27" i="23"/>
  <c r="F27" i="23"/>
  <c r="E27" i="23"/>
  <c r="D27" i="23"/>
  <c r="G30" i="35" l="1"/>
  <c r="G24" i="35"/>
  <c r="G18" i="35"/>
  <c r="G12" i="35"/>
  <c r="G42" i="35"/>
  <c r="G40" i="35"/>
  <c r="G38" i="35"/>
  <c r="G7" i="35"/>
  <c r="G28" i="35"/>
  <c r="G22" i="35"/>
  <c r="G14" i="35"/>
  <c r="G10" i="35"/>
  <c r="G5" i="35"/>
  <c r="G26" i="35"/>
  <c r="G20" i="35"/>
  <c r="G16" i="35"/>
  <c r="G32" i="35"/>
  <c r="G36" i="35"/>
  <c r="G34" i="35"/>
  <c r="G29" i="35"/>
  <c r="G21" i="35"/>
  <c r="G13" i="35"/>
  <c r="G9" i="35"/>
  <c r="G37" i="35"/>
  <c r="G33" i="35"/>
  <c r="G15" i="35"/>
  <c r="G23" i="35"/>
  <c r="G31" i="35"/>
  <c r="G39" i="35"/>
  <c r="G11" i="35"/>
  <c r="G19" i="35"/>
  <c r="G27" i="35"/>
  <c r="G35" i="35"/>
  <c r="G43" i="35"/>
  <c r="G8" i="35"/>
  <c r="G4" i="35"/>
  <c r="G6" i="35"/>
  <c r="G25" i="35"/>
  <c r="G17" i="35"/>
  <c r="G41" i="35"/>
  <c r="G26" i="23"/>
  <c r="E26" i="23"/>
  <c r="F29" i="23"/>
  <c r="G28" i="23"/>
  <c r="E28" i="23"/>
  <c r="H17" i="9" l="1"/>
  <c r="H16" i="9"/>
  <c r="S25" i="34" l="1"/>
  <c r="S28" i="34" s="1"/>
  <c r="T24" i="34"/>
  <c r="T27" i="34" s="1"/>
  <c r="V19" i="34"/>
  <c r="S19" i="34"/>
  <c r="S22" i="34" s="1"/>
  <c r="W18" i="34"/>
  <c r="W21" i="34" s="1"/>
  <c r="T18" i="34"/>
  <c r="T20" i="34" s="1"/>
  <c r="S16" i="34"/>
  <c r="T15" i="34"/>
  <c r="S15" i="34"/>
  <c r="T14" i="34"/>
  <c r="V13" i="34"/>
  <c r="S13" i="34"/>
  <c r="S14" i="34" s="1"/>
  <c r="W12" i="34"/>
  <c r="W15" i="34" s="1"/>
  <c r="P18" i="34"/>
  <c r="P21" i="34" s="1"/>
  <c r="Q17" i="34"/>
  <c r="Q20" i="34"/>
  <c r="Q19" i="34"/>
  <c r="M18" i="34"/>
  <c r="M21" i="34" s="1"/>
  <c r="N17" i="34"/>
  <c r="N20" i="34" s="1"/>
  <c r="M15" i="34"/>
  <c r="N14" i="34"/>
  <c r="M14" i="34"/>
  <c r="N13" i="34"/>
  <c r="P12" i="34"/>
  <c r="P15" i="34" s="1"/>
  <c r="M12" i="34"/>
  <c r="M13" i="34" s="1"/>
  <c r="Q11" i="34"/>
  <c r="Q14" i="34" s="1"/>
  <c r="H17" i="34"/>
  <c r="H19" i="34" s="1"/>
  <c r="G18" i="34"/>
  <c r="G21" i="34" s="1"/>
  <c r="H20" i="34"/>
  <c r="G15" i="34"/>
  <c r="H14" i="34"/>
  <c r="G14" i="34"/>
  <c r="H13" i="34"/>
  <c r="J12" i="34"/>
  <c r="G12" i="34"/>
  <c r="G13" i="34" s="1"/>
  <c r="K11" i="34"/>
  <c r="K14" i="34" s="1"/>
  <c r="E10" i="34"/>
  <c r="E13" i="34" s="1"/>
  <c r="D11" i="34"/>
  <c r="D14" i="34" s="1"/>
  <c r="A14" i="34"/>
  <c r="B13" i="34"/>
  <c r="A13" i="34"/>
  <c r="B12" i="34"/>
  <c r="A11" i="34"/>
  <c r="A12" i="34" s="1"/>
  <c r="F16" i="2"/>
  <c r="F19" i="2"/>
  <c r="F77" i="2" s="1"/>
  <c r="C70" i="2"/>
  <c r="C70" i="9"/>
  <c r="F16" i="9"/>
  <c r="C70" i="16"/>
  <c r="E16" i="16"/>
  <c r="D16" i="23"/>
  <c r="C70" i="23"/>
  <c r="C288" i="33"/>
  <c r="C289" i="33"/>
  <c r="C290" i="33"/>
  <c r="C291" i="33"/>
  <c r="C292" i="33"/>
  <c r="C293" i="33"/>
  <c r="C294" i="33"/>
  <c r="C295" i="33"/>
  <c r="C296" i="33"/>
  <c r="C297" i="33"/>
  <c r="C298" i="33"/>
  <c r="C299" i="33"/>
  <c r="C300" i="33"/>
  <c r="C301" i="33"/>
  <c r="C302" i="33"/>
  <c r="C260" i="33"/>
  <c r="C261" i="33"/>
  <c r="C262" i="33"/>
  <c r="C263" i="33"/>
  <c r="C264" i="33"/>
  <c r="C265" i="33"/>
  <c r="C266" i="33"/>
  <c r="C267" i="33"/>
  <c r="C268" i="33"/>
  <c r="C269" i="33"/>
  <c r="C270" i="33"/>
  <c r="C271" i="33"/>
  <c r="C272" i="33"/>
  <c r="C273" i="33"/>
  <c r="C274" i="33"/>
  <c r="C275" i="33"/>
  <c r="C276" i="33"/>
  <c r="C277" i="33"/>
  <c r="C278" i="33"/>
  <c r="C279" i="33"/>
  <c r="C280" i="33"/>
  <c r="C281" i="33"/>
  <c r="C282" i="33"/>
  <c r="C283" i="33"/>
  <c r="C284" i="33"/>
  <c r="C285" i="33"/>
  <c r="C286" i="33"/>
  <c r="C287" i="33"/>
  <c r="C233" i="33"/>
  <c r="C234" i="33"/>
  <c r="C235" i="33"/>
  <c r="C236" i="33"/>
  <c r="C237" i="33"/>
  <c r="C238" i="33"/>
  <c r="C239" i="33"/>
  <c r="C240" i="33"/>
  <c r="C241" i="33"/>
  <c r="C242" i="33"/>
  <c r="C243" i="33"/>
  <c r="C244" i="33"/>
  <c r="C245" i="33"/>
  <c r="C246" i="33"/>
  <c r="C247" i="33"/>
  <c r="C248" i="33"/>
  <c r="C249" i="33"/>
  <c r="C250" i="33"/>
  <c r="C251" i="33"/>
  <c r="C252" i="33"/>
  <c r="C253" i="33"/>
  <c r="C254" i="33"/>
  <c r="C255" i="33"/>
  <c r="C256" i="33"/>
  <c r="C257" i="33"/>
  <c r="C258" i="33"/>
  <c r="C259" i="33"/>
  <c r="C206" i="33"/>
  <c r="C207" i="33"/>
  <c r="C208" i="33"/>
  <c r="C209" i="33"/>
  <c r="C210" i="33"/>
  <c r="C211" i="33"/>
  <c r="C212" i="33"/>
  <c r="C213" i="33"/>
  <c r="C214" i="33"/>
  <c r="C215" i="33"/>
  <c r="C216" i="33"/>
  <c r="C217" i="33"/>
  <c r="C218" i="33"/>
  <c r="C219" i="33"/>
  <c r="C220" i="33"/>
  <c r="C221" i="33"/>
  <c r="C222" i="33"/>
  <c r="C223" i="33"/>
  <c r="C224" i="33"/>
  <c r="C225" i="33"/>
  <c r="C226" i="33"/>
  <c r="C227" i="33"/>
  <c r="C228" i="33"/>
  <c r="C229" i="33"/>
  <c r="C230" i="33"/>
  <c r="C231" i="33"/>
  <c r="C232" i="33"/>
  <c r="C182" i="33"/>
  <c r="C183" i="33"/>
  <c r="C184" i="33"/>
  <c r="C185" i="33"/>
  <c r="C186" i="33"/>
  <c r="C187" i="33"/>
  <c r="C188" i="33"/>
  <c r="C189" i="33"/>
  <c r="C190" i="33"/>
  <c r="C191" i="33"/>
  <c r="C192" i="33"/>
  <c r="C193" i="33"/>
  <c r="C194" i="33"/>
  <c r="C195" i="33"/>
  <c r="C196" i="33"/>
  <c r="C197" i="33"/>
  <c r="C198" i="33"/>
  <c r="C199" i="33"/>
  <c r="C200" i="33"/>
  <c r="C201" i="33"/>
  <c r="C202" i="33"/>
  <c r="C203" i="33"/>
  <c r="C204" i="33"/>
  <c r="C205" i="33"/>
  <c r="C158" i="33"/>
  <c r="C159" i="33"/>
  <c r="C160" i="33"/>
  <c r="C161" i="33"/>
  <c r="C162" i="33"/>
  <c r="C163" i="33"/>
  <c r="C164" i="33"/>
  <c r="C165" i="33"/>
  <c r="C166" i="33"/>
  <c r="C167" i="33"/>
  <c r="C168" i="33"/>
  <c r="C169" i="33"/>
  <c r="C170" i="33"/>
  <c r="C171" i="33"/>
  <c r="C172" i="33"/>
  <c r="C173" i="33"/>
  <c r="C174" i="33"/>
  <c r="C175" i="33"/>
  <c r="C176" i="33"/>
  <c r="C177" i="33"/>
  <c r="C178" i="33"/>
  <c r="C179" i="33"/>
  <c r="C180" i="33"/>
  <c r="C181" i="33"/>
  <c r="C131" i="33"/>
  <c r="C132" i="33"/>
  <c r="C133" i="33"/>
  <c r="C134" i="33"/>
  <c r="C135" i="33"/>
  <c r="C136" i="33"/>
  <c r="C137" i="33"/>
  <c r="C138" i="33"/>
  <c r="C139" i="33"/>
  <c r="C140" i="33"/>
  <c r="C141" i="33"/>
  <c r="C142" i="33"/>
  <c r="C143" i="33"/>
  <c r="C144" i="33"/>
  <c r="C145" i="33"/>
  <c r="C146" i="33"/>
  <c r="C147" i="33"/>
  <c r="C148" i="33"/>
  <c r="C149" i="33"/>
  <c r="C150" i="33"/>
  <c r="C151" i="33"/>
  <c r="C152" i="33"/>
  <c r="C153" i="33"/>
  <c r="C154" i="33"/>
  <c r="C155" i="33"/>
  <c r="C156" i="33"/>
  <c r="C157" i="33"/>
  <c r="C104" i="33"/>
  <c r="C105" i="33"/>
  <c r="C106" i="33"/>
  <c r="C107" i="33"/>
  <c r="C108" i="33"/>
  <c r="C109" i="33"/>
  <c r="C110" i="33"/>
  <c r="C111" i="33"/>
  <c r="C112" i="33"/>
  <c r="C113" i="33"/>
  <c r="C114" i="33"/>
  <c r="C115" i="33"/>
  <c r="C116" i="33"/>
  <c r="C117" i="33"/>
  <c r="C118" i="33"/>
  <c r="C119" i="33"/>
  <c r="C120" i="33"/>
  <c r="C121" i="33"/>
  <c r="C122" i="33"/>
  <c r="C123" i="33"/>
  <c r="C124" i="33"/>
  <c r="C125" i="33"/>
  <c r="C126" i="33"/>
  <c r="C127" i="33"/>
  <c r="C128" i="33"/>
  <c r="C129" i="33"/>
  <c r="C130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102" i="33"/>
  <c r="C103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6" i="33"/>
  <c r="F18" i="2" s="1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5" i="33"/>
  <c r="D10" i="32"/>
  <c r="D16" i="32"/>
  <c r="D18" i="32"/>
  <c r="D22" i="32"/>
  <c r="D30" i="32"/>
  <c r="D42" i="32"/>
  <c r="D44" i="32"/>
  <c r="D46" i="32"/>
  <c r="D50" i="32"/>
  <c r="D54" i="32"/>
  <c r="D66" i="32"/>
  <c r="D68" i="32"/>
  <c r="D70" i="32"/>
  <c r="D74" i="32"/>
  <c r="D78" i="32"/>
  <c r="D90" i="32"/>
  <c r="D96" i="32"/>
  <c r="D98" i="32"/>
  <c r="D102" i="32"/>
  <c r="D106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E91" i="32"/>
  <c r="D91" i="32" s="1"/>
  <c r="E92" i="32"/>
  <c r="D92" i="32" s="1"/>
  <c r="E93" i="32"/>
  <c r="D93" i="32" s="1"/>
  <c r="E94" i="32"/>
  <c r="D94" i="32" s="1"/>
  <c r="E95" i="32"/>
  <c r="D95" i="32" s="1"/>
  <c r="E96" i="32"/>
  <c r="E97" i="32"/>
  <c r="D97" i="32" s="1"/>
  <c r="E98" i="32"/>
  <c r="E99" i="32"/>
  <c r="D99" i="32" s="1"/>
  <c r="E100" i="32"/>
  <c r="D100" i="32" s="1"/>
  <c r="E101" i="32"/>
  <c r="D101" i="32" s="1"/>
  <c r="E102" i="32"/>
  <c r="E103" i="32"/>
  <c r="D103" i="32" s="1"/>
  <c r="E104" i="32"/>
  <c r="D104" i="32" s="1"/>
  <c r="E105" i="32"/>
  <c r="D105" i="32" s="1"/>
  <c r="E106" i="32"/>
  <c r="E107" i="32"/>
  <c r="D107" i="32" s="1"/>
  <c r="E108" i="32"/>
  <c r="D108" i="32" s="1"/>
  <c r="E109" i="32"/>
  <c r="D109" i="32" s="1"/>
  <c r="E110" i="32"/>
  <c r="D110" i="32" s="1"/>
  <c r="E111" i="32"/>
  <c r="D111" i="32" s="1"/>
  <c r="C102" i="32"/>
  <c r="C103" i="32"/>
  <c r="C104" i="32"/>
  <c r="C105" i="32"/>
  <c r="C106" i="32"/>
  <c r="C107" i="32"/>
  <c r="C108" i="32"/>
  <c r="C109" i="32"/>
  <c r="C110" i="32"/>
  <c r="C111" i="32"/>
  <c r="E82" i="32"/>
  <c r="D82" i="32" s="1"/>
  <c r="F82" i="32"/>
  <c r="E83" i="32"/>
  <c r="D83" i="32" s="1"/>
  <c r="F83" i="32"/>
  <c r="E84" i="32"/>
  <c r="D84" i="32" s="1"/>
  <c r="F84" i="32"/>
  <c r="E85" i="32"/>
  <c r="D85" i="32" s="1"/>
  <c r="F85" i="32"/>
  <c r="E86" i="32"/>
  <c r="D86" i="32" s="1"/>
  <c r="F86" i="32"/>
  <c r="E87" i="32"/>
  <c r="D87" i="32" s="1"/>
  <c r="F87" i="32"/>
  <c r="E88" i="32"/>
  <c r="D88" i="32" s="1"/>
  <c r="F88" i="32"/>
  <c r="E89" i="32"/>
  <c r="D89" i="32" s="1"/>
  <c r="F89" i="32"/>
  <c r="E90" i="32"/>
  <c r="F90" i="32"/>
  <c r="E73" i="32"/>
  <c r="D73" i="32" s="1"/>
  <c r="F73" i="32"/>
  <c r="E74" i="32"/>
  <c r="F74" i="32"/>
  <c r="E75" i="32"/>
  <c r="D75" i="32" s="1"/>
  <c r="F75" i="32"/>
  <c r="E76" i="32"/>
  <c r="D76" i="32" s="1"/>
  <c r="F76" i="32"/>
  <c r="E77" i="32"/>
  <c r="D77" i="32" s="1"/>
  <c r="F77" i="32"/>
  <c r="E78" i="32"/>
  <c r="F78" i="32"/>
  <c r="E79" i="32"/>
  <c r="D79" i="32" s="1"/>
  <c r="F79" i="32"/>
  <c r="E80" i="32"/>
  <c r="D80" i="32" s="1"/>
  <c r="F80" i="32"/>
  <c r="E81" i="32"/>
  <c r="D81" i="32" s="1"/>
  <c r="F81" i="32"/>
  <c r="E64" i="32"/>
  <c r="D64" i="32" s="1"/>
  <c r="F64" i="32"/>
  <c r="E65" i="32"/>
  <c r="D65" i="32" s="1"/>
  <c r="F65" i="32"/>
  <c r="E66" i="32"/>
  <c r="F66" i="32"/>
  <c r="E67" i="32"/>
  <c r="D67" i="32" s="1"/>
  <c r="F67" i="32"/>
  <c r="E68" i="32"/>
  <c r="F68" i="32"/>
  <c r="E69" i="32"/>
  <c r="D69" i="32" s="1"/>
  <c r="F69" i="32"/>
  <c r="E70" i="32"/>
  <c r="F70" i="32"/>
  <c r="E71" i="32"/>
  <c r="D71" i="32" s="1"/>
  <c r="F71" i="32"/>
  <c r="E72" i="32"/>
  <c r="D72" i="32" s="1"/>
  <c r="F72" i="32"/>
  <c r="E55" i="32"/>
  <c r="D55" i="32" s="1"/>
  <c r="F55" i="32"/>
  <c r="E56" i="32"/>
  <c r="D56" i="32" s="1"/>
  <c r="F56" i="32"/>
  <c r="E57" i="32"/>
  <c r="D57" i="32" s="1"/>
  <c r="F57" i="32"/>
  <c r="E58" i="32"/>
  <c r="D58" i="32" s="1"/>
  <c r="F58" i="32"/>
  <c r="E59" i="32"/>
  <c r="D59" i="32" s="1"/>
  <c r="F59" i="32"/>
  <c r="E60" i="32"/>
  <c r="D60" i="32" s="1"/>
  <c r="F60" i="32"/>
  <c r="E61" i="32"/>
  <c r="D61" i="32" s="1"/>
  <c r="F61" i="32"/>
  <c r="E62" i="32"/>
  <c r="D62" i="32" s="1"/>
  <c r="F62" i="32"/>
  <c r="E63" i="32"/>
  <c r="D63" i="32" s="1"/>
  <c r="F63" i="32"/>
  <c r="E47" i="32"/>
  <c r="D47" i="32" s="1"/>
  <c r="F47" i="32"/>
  <c r="E48" i="32"/>
  <c r="D48" i="32" s="1"/>
  <c r="F48" i="32"/>
  <c r="E49" i="32"/>
  <c r="D49" i="32" s="1"/>
  <c r="F49" i="32"/>
  <c r="E50" i="32"/>
  <c r="F50" i="32"/>
  <c r="E51" i="32"/>
  <c r="D51" i="32" s="1"/>
  <c r="F51" i="32"/>
  <c r="E52" i="32"/>
  <c r="D52" i="32" s="1"/>
  <c r="F52" i="32"/>
  <c r="E53" i="32"/>
  <c r="D53" i="32" s="1"/>
  <c r="F53" i="32"/>
  <c r="E54" i="32"/>
  <c r="F54" i="32"/>
  <c r="E46" i="32"/>
  <c r="F46" i="32"/>
  <c r="E38" i="32"/>
  <c r="D38" i="32" s="1"/>
  <c r="F38" i="32"/>
  <c r="E39" i="32"/>
  <c r="D39" i="32" s="1"/>
  <c r="F39" i="32"/>
  <c r="E40" i="32"/>
  <c r="D40" i="32" s="1"/>
  <c r="F40" i="32"/>
  <c r="E41" i="32"/>
  <c r="D41" i="32" s="1"/>
  <c r="F41" i="32"/>
  <c r="E42" i="32"/>
  <c r="F42" i="32"/>
  <c r="E43" i="32"/>
  <c r="D43" i="32" s="1"/>
  <c r="F43" i="32"/>
  <c r="E44" i="32"/>
  <c r="F44" i="32"/>
  <c r="E45" i="32"/>
  <c r="D45" i="32" s="1"/>
  <c r="F45" i="32"/>
  <c r="E37" i="32"/>
  <c r="D37" i="32" s="1"/>
  <c r="F37" i="32"/>
  <c r="E29" i="32"/>
  <c r="D29" i="32" s="1"/>
  <c r="F29" i="32"/>
  <c r="E30" i="32"/>
  <c r="F30" i="32"/>
  <c r="E31" i="32"/>
  <c r="D31" i="32" s="1"/>
  <c r="F31" i="32"/>
  <c r="E32" i="32"/>
  <c r="D32" i="32" s="1"/>
  <c r="F32" i="32"/>
  <c r="E33" i="32"/>
  <c r="D33" i="32" s="1"/>
  <c r="F33" i="32"/>
  <c r="E34" i="32"/>
  <c r="D34" i="32" s="1"/>
  <c r="F34" i="32"/>
  <c r="E35" i="32"/>
  <c r="D35" i="32" s="1"/>
  <c r="F35" i="32"/>
  <c r="E36" i="32"/>
  <c r="D36" i="32" s="1"/>
  <c r="F36" i="32"/>
  <c r="E28" i="32"/>
  <c r="D28" i="32" s="1"/>
  <c r="F28" i="32"/>
  <c r="E17" i="32"/>
  <c r="D17" i="32" s="1"/>
  <c r="F17" i="32"/>
  <c r="E18" i="32"/>
  <c r="F18" i="32"/>
  <c r="E19" i="32"/>
  <c r="D19" i="32" s="1"/>
  <c r="F19" i="32"/>
  <c r="E20" i="32"/>
  <c r="D20" i="32" s="1"/>
  <c r="F20" i="32"/>
  <c r="E21" i="32"/>
  <c r="D21" i="32" s="1"/>
  <c r="F21" i="32"/>
  <c r="E22" i="32"/>
  <c r="F22" i="32"/>
  <c r="E23" i="32"/>
  <c r="D23" i="32" s="1"/>
  <c r="F23" i="32"/>
  <c r="E24" i="32"/>
  <c r="D24" i="32" s="1"/>
  <c r="F24" i="32"/>
  <c r="E25" i="32"/>
  <c r="D25" i="32" s="1"/>
  <c r="F25" i="32"/>
  <c r="E26" i="32"/>
  <c r="D26" i="32" s="1"/>
  <c r="F26" i="32"/>
  <c r="E27" i="32"/>
  <c r="D27" i="32" s="1"/>
  <c r="F27" i="32"/>
  <c r="E16" i="32"/>
  <c r="F16" i="32"/>
  <c r="C16" i="32"/>
  <c r="C17" i="32"/>
  <c r="C18" i="32"/>
  <c r="C19" i="32"/>
  <c r="C20" i="32"/>
  <c r="C21" i="32"/>
  <c r="C22" i="32"/>
  <c r="C23" i="32"/>
  <c r="C24" i="32"/>
  <c r="C25" i="32"/>
  <c r="E15" i="32"/>
  <c r="D15" i="32" s="1"/>
  <c r="F15" i="32"/>
  <c r="E14" i="32"/>
  <c r="D14" i="32" s="1"/>
  <c r="F14" i="32"/>
  <c r="E13" i="32"/>
  <c r="D13" i="32" s="1"/>
  <c r="F13" i="32"/>
  <c r="E12" i="32"/>
  <c r="D12" i="32" s="1"/>
  <c r="F12" i="32"/>
  <c r="E11" i="32"/>
  <c r="D11" i="32" s="1"/>
  <c r="F11" i="32"/>
  <c r="E10" i="32"/>
  <c r="F10" i="32"/>
  <c r="F5" i="32"/>
  <c r="F6" i="32"/>
  <c r="F7" i="32"/>
  <c r="F8" i="32"/>
  <c r="F9" i="32"/>
  <c r="F4" i="32"/>
  <c r="E5" i="32"/>
  <c r="D5" i="32" s="1"/>
  <c r="E6" i="32"/>
  <c r="D6" i="32" s="1"/>
  <c r="E7" i="32"/>
  <c r="D7" i="32" s="1"/>
  <c r="E8" i="32"/>
  <c r="D8" i="32" s="1"/>
  <c r="E9" i="32"/>
  <c r="D9" i="32" s="1"/>
  <c r="E4" i="32"/>
  <c r="D4" i="32" s="1"/>
  <c r="C5" i="32"/>
  <c r="C6" i="32"/>
  <c r="C7" i="32"/>
  <c r="C8" i="32"/>
  <c r="C9" i="32"/>
  <c r="C10" i="32"/>
  <c r="C11" i="32"/>
  <c r="C12" i="32"/>
  <c r="C13" i="32"/>
  <c r="C14" i="32"/>
  <c r="C1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4" i="32"/>
  <c r="T26" i="34" l="1"/>
  <c r="F19" i="9"/>
  <c r="C77" i="9" s="1"/>
  <c r="F18" i="9"/>
  <c r="F19" i="16"/>
  <c r="H77" i="16" s="1"/>
  <c r="G19" i="23"/>
  <c r="H80" i="23" s="1"/>
  <c r="H21" i="28" s="1"/>
  <c r="E19" i="23"/>
  <c r="H77" i="23" s="1"/>
  <c r="H18" i="28" s="1"/>
  <c r="D19" i="16"/>
  <c r="E18" i="9"/>
  <c r="G19" i="9"/>
  <c r="H77" i="9" s="1"/>
  <c r="G18" i="9"/>
  <c r="G19" i="16"/>
  <c r="C80" i="16" s="1"/>
  <c r="E19" i="16"/>
  <c r="C77" i="16" s="1"/>
  <c r="F19" i="23"/>
  <c r="C80" i="23" s="1"/>
  <c r="D19" i="23"/>
  <c r="C77" i="23" s="1"/>
  <c r="C18" i="24" s="1"/>
  <c r="E12" i="34"/>
  <c r="P13" i="34"/>
  <c r="D12" i="34"/>
  <c r="D13" i="34"/>
  <c r="G20" i="34"/>
  <c r="P14" i="34"/>
  <c r="G19" i="34"/>
  <c r="S26" i="34"/>
  <c r="S27" i="34"/>
  <c r="V15" i="34"/>
  <c r="V21" i="34"/>
  <c r="T21" i="34"/>
  <c r="W14" i="34"/>
  <c r="V16" i="34"/>
  <c r="W20" i="34"/>
  <c r="V22" i="34"/>
  <c r="V14" i="34"/>
  <c r="S20" i="34"/>
  <c r="V20" i="34"/>
  <c r="S21" i="34"/>
  <c r="P19" i="34"/>
  <c r="P20" i="34"/>
  <c r="M19" i="34"/>
  <c r="M20" i="34"/>
  <c r="Q13" i="34"/>
  <c r="N19" i="34"/>
  <c r="J14" i="34"/>
  <c r="K13" i="34"/>
  <c r="J15" i="34"/>
  <c r="J13" i="34"/>
  <c r="H19" i="16"/>
  <c r="G19" i="2"/>
  <c r="G18" i="2"/>
  <c r="E18" i="2"/>
  <c r="E19" i="2"/>
  <c r="H18" i="9"/>
  <c r="E19" i="9"/>
  <c r="H19" i="9"/>
  <c r="H18" i="16"/>
  <c r="D18" i="16"/>
  <c r="H19" i="23"/>
  <c r="C18" i="23"/>
  <c r="C19" i="23"/>
  <c r="H18" i="23"/>
  <c r="C21" i="28"/>
  <c r="G21" i="28"/>
  <c r="B21" i="28"/>
  <c r="G18" i="28"/>
  <c r="B18" i="28"/>
  <c r="C21" i="27"/>
  <c r="H18" i="27"/>
  <c r="G21" i="27"/>
  <c r="B21" i="27"/>
  <c r="G18" i="27"/>
  <c r="B18" i="27"/>
  <c r="C21" i="26"/>
  <c r="H18" i="26"/>
  <c r="G21" i="26"/>
  <c r="B21" i="26"/>
  <c r="G18" i="26"/>
  <c r="B18" i="26"/>
  <c r="C21" i="25"/>
  <c r="H18" i="25"/>
  <c r="G21" i="25"/>
  <c r="B21" i="25"/>
  <c r="G18" i="25"/>
  <c r="B18" i="25"/>
  <c r="G21" i="24"/>
  <c r="C21" i="24"/>
  <c r="B21" i="24"/>
  <c r="G18" i="24"/>
  <c r="B18" i="24"/>
  <c r="C18" i="27" l="1"/>
  <c r="C18" i="28"/>
  <c r="C18" i="26"/>
  <c r="D18" i="26" s="1"/>
  <c r="C18" i="25"/>
  <c r="H18" i="24"/>
  <c r="I18" i="24" s="1"/>
  <c r="H21" i="24"/>
  <c r="I21" i="24" s="1"/>
  <c r="H21" i="25"/>
  <c r="H21" i="26"/>
  <c r="H21" i="27"/>
  <c r="I21" i="27" s="1"/>
  <c r="N5" i="29"/>
  <c r="K5" i="29"/>
  <c r="H5" i="29"/>
  <c r="E5" i="29"/>
  <c r="B5" i="29"/>
  <c r="N4" i="29"/>
  <c r="K4" i="29"/>
  <c r="H4" i="29"/>
  <c r="E4" i="29"/>
  <c r="B4" i="29"/>
  <c r="M2" i="29"/>
  <c r="M5" i="29" s="1"/>
  <c r="J2" i="29"/>
  <c r="J5" i="29" s="1"/>
  <c r="G2" i="29"/>
  <c r="G5" i="29" s="1"/>
  <c r="D2" i="29"/>
  <c r="D5" i="29" s="1"/>
  <c r="A2" i="29"/>
  <c r="A5" i="29" s="1"/>
  <c r="AD47" i="28"/>
  <c r="I21" i="28"/>
  <c r="D21" i="28"/>
  <c r="I18" i="28"/>
  <c r="D18" i="28"/>
  <c r="H7" i="28"/>
  <c r="G7" i="28"/>
  <c r="F7" i="28"/>
  <c r="E7" i="28"/>
  <c r="D7" i="28"/>
  <c r="C7" i="28"/>
  <c r="H4" i="28"/>
  <c r="Z75" i="28" s="1"/>
  <c r="G4" i="28"/>
  <c r="V80" i="28" s="1"/>
  <c r="F4" i="28"/>
  <c r="Z67" i="28" s="1"/>
  <c r="E4" i="28"/>
  <c r="V66" i="28" s="1"/>
  <c r="D4" i="28"/>
  <c r="Z55" i="28" s="1"/>
  <c r="C4" i="28"/>
  <c r="AK55" i="28" s="1"/>
  <c r="AD47" i="27"/>
  <c r="AV4" i="23" s="1"/>
  <c r="D21" i="27"/>
  <c r="I18" i="27"/>
  <c r="D18" i="27"/>
  <c r="H7" i="27"/>
  <c r="G7" i="27"/>
  <c r="F7" i="27"/>
  <c r="E7" i="27"/>
  <c r="D7" i="27"/>
  <c r="C7" i="27"/>
  <c r="H4" i="27"/>
  <c r="Z75" i="27" s="1"/>
  <c r="G4" i="27"/>
  <c r="F4" i="27"/>
  <c r="Z66" i="27" s="1"/>
  <c r="E4" i="27"/>
  <c r="V67" i="27" s="1"/>
  <c r="D4" i="27"/>
  <c r="Z49" i="27" s="1"/>
  <c r="C4" i="27"/>
  <c r="V50" i="27" s="1"/>
  <c r="AD50" i="27" s="1"/>
  <c r="AV7" i="23" s="1"/>
  <c r="AD47" i="26"/>
  <c r="I21" i="26"/>
  <c r="D21" i="26"/>
  <c r="I18" i="26"/>
  <c r="H7" i="26"/>
  <c r="G7" i="26"/>
  <c r="F7" i="26"/>
  <c r="E7" i="26"/>
  <c r="D7" i="26"/>
  <c r="C7" i="26"/>
  <c r="H4" i="26"/>
  <c r="G4" i="26"/>
  <c r="F4" i="26"/>
  <c r="Z61" i="26" s="1"/>
  <c r="E4" i="26"/>
  <c r="D4" i="26"/>
  <c r="Z49" i="26" s="1"/>
  <c r="C4" i="26"/>
  <c r="V50" i="26" s="1"/>
  <c r="AD50" i="26" s="1"/>
  <c r="AQ7" i="23" s="1"/>
  <c r="AD47" i="25"/>
  <c r="I21" i="25"/>
  <c r="D21" i="25"/>
  <c r="I18" i="25"/>
  <c r="D18" i="25"/>
  <c r="H7" i="25"/>
  <c r="G7" i="25"/>
  <c r="F7" i="25"/>
  <c r="E7" i="25"/>
  <c r="D7" i="25"/>
  <c r="C7" i="25"/>
  <c r="H4" i="25"/>
  <c r="Z74" i="25" s="1"/>
  <c r="G4" i="25"/>
  <c r="V75" i="25" s="1"/>
  <c r="F4" i="25"/>
  <c r="Z66" i="25" s="1"/>
  <c r="E4" i="25"/>
  <c r="V67" i="25" s="1"/>
  <c r="D4" i="25"/>
  <c r="Z49" i="25" s="1"/>
  <c r="C4" i="25"/>
  <c r="V50" i="25" s="1"/>
  <c r="AD50" i="25" s="1"/>
  <c r="AL7" i="23" s="1"/>
  <c r="AI52" i="24"/>
  <c r="AI56" i="24" s="1"/>
  <c r="AD47" i="24"/>
  <c r="AI45" i="24"/>
  <c r="AI49" i="24" s="1"/>
  <c r="AI38" i="24"/>
  <c r="AI39" i="24" s="1"/>
  <c r="AI31" i="24"/>
  <c r="AI35" i="24" s="1"/>
  <c r="AI24" i="24"/>
  <c r="AI28" i="24" s="1"/>
  <c r="AI21" i="24"/>
  <c r="D21" i="24"/>
  <c r="AI18" i="24"/>
  <c r="D18" i="24"/>
  <c r="H7" i="24"/>
  <c r="G7" i="24"/>
  <c r="F7" i="24"/>
  <c r="E7" i="24"/>
  <c r="D7" i="24"/>
  <c r="C7" i="24"/>
  <c r="H4" i="24"/>
  <c r="G4" i="24"/>
  <c r="F4" i="24"/>
  <c r="E4" i="24"/>
  <c r="D4" i="24"/>
  <c r="C4" i="24"/>
  <c r="I80" i="23"/>
  <c r="D80" i="23"/>
  <c r="I77" i="23"/>
  <c r="D77" i="23"/>
  <c r="BA4" i="23"/>
  <c r="AQ4" i="23"/>
  <c r="AL4" i="23"/>
  <c r="AG4" i="23"/>
  <c r="AF4" i="23" s="1"/>
  <c r="AK4" i="23" s="1"/>
  <c r="AP4" i="23" s="1"/>
  <c r="AU4" i="23" s="1"/>
  <c r="AZ4" i="23" s="1"/>
  <c r="W18" i="24" l="1"/>
  <c r="V16" i="24"/>
  <c r="AE28" i="24"/>
  <c r="V50" i="24"/>
  <c r="AD50" i="24" s="1"/>
  <c r="V48" i="24"/>
  <c r="AD48" i="24" s="1"/>
  <c r="AG5" i="23" s="1"/>
  <c r="AF5" i="23" s="1"/>
  <c r="AK5" i="23" s="1"/>
  <c r="AP5" i="23" s="1"/>
  <c r="AU5" i="23" s="1"/>
  <c r="AZ5" i="23" s="1"/>
  <c r="AK55" i="24"/>
  <c r="V49" i="24"/>
  <c r="AD49" i="24" s="1"/>
  <c r="AG6" i="23" s="1"/>
  <c r="AF6" i="23" s="1"/>
  <c r="AK6" i="23" s="1"/>
  <c r="AP6" i="23" s="1"/>
  <c r="AU6" i="23" s="1"/>
  <c r="AZ6" i="23" s="1"/>
  <c r="V67" i="24"/>
  <c r="V65" i="24"/>
  <c r="V63" i="24"/>
  <c r="V61" i="24"/>
  <c r="V60" i="24"/>
  <c r="V66" i="24"/>
  <c r="V64" i="24"/>
  <c r="V62" i="24"/>
  <c r="V75" i="24"/>
  <c r="V73" i="24"/>
  <c r="V80" i="24"/>
  <c r="V79" i="24"/>
  <c r="V78" i="24"/>
  <c r="V77" i="24"/>
  <c r="V76" i="24"/>
  <c r="V74" i="24"/>
  <c r="X47" i="24"/>
  <c r="AF47" i="24" s="1"/>
  <c r="AI4" i="23" s="1"/>
  <c r="W47" i="24"/>
  <c r="AE47" i="24" s="1"/>
  <c r="AH4" i="23" s="1"/>
  <c r="AD53" i="25"/>
  <c r="AL10" i="23" s="1"/>
  <c r="AD51" i="25"/>
  <c r="AL8" i="23" s="1"/>
  <c r="W17" i="24"/>
  <c r="AI19" i="24"/>
  <c r="AI20" i="24" s="1"/>
  <c r="Z22" i="24"/>
  <c r="AC22" i="24"/>
  <c r="AE17" i="24" s="1"/>
  <c r="AI25" i="24"/>
  <c r="AI26" i="24" s="1"/>
  <c r="AI27" i="24" s="1"/>
  <c r="AI40" i="24"/>
  <c r="AI41" i="24" s="1"/>
  <c r="X50" i="25"/>
  <c r="AF50" i="25" s="1"/>
  <c r="AN7" i="23" s="1"/>
  <c r="U45" i="23" s="1"/>
  <c r="Z49" i="24"/>
  <c r="Z55" i="24"/>
  <c r="Z54" i="24"/>
  <c r="Z53" i="24"/>
  <c r="Z52" i="24"/>
  <c r="Z51" i="24"/>
  <c r="Z50" i="24"/>
  <c r="Z48" i="24"/>
  <c r="Z66" i="24"/>
  <c r="Z64" i="24"/>
  <c r="Z62" i="24"/>
  <c r="Z67" i="24"/>
  <c r="Z65" i="24"/>
  <c r="Z63" i="24"/>
  <c r="Z61" i="24"/>
  <c r="Z60" i="24"/>
  <c r="Z74" i="24"/>
  <c r="Z75" i="24"/>
  <c r="Z73" i="24"/>
  <c r="AD53" i="26"/>
  <c r="AQ10" i="23" s="1"/>
  <c r="AD51" i="26"/>
  <c r="AQ8" i="23" s="1"/>
  <c r="W16" i="24"/>
  <c r="V17" i="24"/>
  <c r="X17" i="24"/>
  <c r="X18" i="24"/>
  <c r="AH18" i="24"/>
  <c r="AH19" i="24" s="1"/>
  <c r="Z21" i="24"/>
  <c r="AB22" i="24"/>
  <c r="AE16" i="24" s="1"/>
  <c r="AD22" i="24"/>
  <c r="AE18" i="24" s="1"/>
  <c r="AH24" i="24"/>
  <c r="V28" i="24"/>
  <c r="AI32" i="24"/>
  <c r="AI33" i="24" s="1"/>
  <c r="AI34" i="24" s="1"/>
  <c r="X50" i="26"/>
  <c r="AF50" i="26" s="1"/>
  <c r="AS7" i="23" s="1"/>
  <c r="U48" i="23" s="1"/>
  <c r="V67" i="26"/>
  <c r="V65" i="26"/>
  <c r="V63" i="26"/>
  <c r="V66" i="26"/>
  <c r="V64" i="26"/>
  <c r="V75" i="26"/>
  <c r="V73" i="26"/>
  <c r="V80" i="26"/>
  <c r="V79" i="26"/>
  <c r="V78" i="26"/>
  <c r="V77" i="26"/>
  <c r="V76" i="26"/>
  <c r="V74" i="26"/>
  <c r="AD53" i="27"/>
  <c r="AV10" i="23" s="1"/>
  <c r="AD51" i="27"/>
  <c r="AV8" i="23" s="1"/>
  <c r="AI42" i="24"/>
  <c r="AI46" i="24"/>
  <c r="AI47" i="24" s="1"/>
  <c r="AI48" i="24" s="1"/>
  <c r="V16" i="25"/>
  <c r="W17" i="25"/>
  <c r="X18" i="25"/>
  <c r="AH18" i="25"/>
  <c r="AH19" i="25" s="1"/>
  <c r="Z21" i="25"/>
  <c r="AB22" i="25"/>
  <c r="AE16" i="25" s="1"/>
  <c r="AD22" i="25"/>
  <c r="AE18" i="25" s="1"/>
  <c r="AH24" i="25"/>
  <c r="V28" i="25"/>
  <c r="W47" i="25"/>
  <c r="AE47" i="25" s="1"/>
  <c r="AM4" i="23" s="1"/>
  <c r="Z48" i="25"/>
  <c r="AD52" i="25" s="1"/>
  <c r="AL9" i="23" s="1"/>
  <c r="V49" i="25"/>
  <c r="AD49" i="25" s="1"/>
  <c r="AL6" i="23" s="1"/>
  <c r="W50" i="25"/>
  <c r="AE50" i="25" s="1"/>
  <c r="Z50" i="25"/>
  <c r="AD54" i="25" s="1"/>
  <c r="AL11" i="23" s="1"/>
  <c r="Z51" i="25"/>
  <c r="AD55" i="25" s="1"/>
  <c r="AL12" i="23" s="1"/>
  <c r="Z52" i="25"/>
  <c r="AD56" i="25" s="1"/>
  <c r="AL13" i="23" s="1"/>
  <c r="Z53" i="25"/>
  <c r="AD57" i="25" s="1"/>
  <c r="AL14" i="23" s="1"/>
  <c r="Z54" i="25"/>
  <c r="AD58" i="25" s="1"/>
  <c r="AL15" i="23" s="1"/>
  <c r="Z55" i="25"/>
  <c r="AD59" i="25" s="1"/>
  <c r="AK55" i="25"/>
  <c r="Z60" i="25"/>
  <c r="Z61" i="25"/>
  <c r="V62" i="25"/>
  <c r="Z63" i="25"/>
  <c r="V64" i="25"/>
  <c r="Z65" i="25"/>
  <c r="V66" i="25"/>
  <c r="Z67" i="25"/>
  <c r="Z73" i="25"/>
  <c r="V74" i="25"/>
  <c r="Z75" i="25"/>
  <c r="V76" i="25"/>
  <c r="V77" i="25"/>
  <c r="V78" i="25"/>
  <c r="V79" i="25"/>
  <c r="V80" i="25"/>
  <c r="V16" i="26"/>
  <c r="W17" i="26"/>
  <c r="X18" i="26"/>
  <c r="AH18" i="26"/>
  <c r="AH19" i="26" s="1"/>
  <c r="Z21" i="26"/>
  <c r="AB22" i="26"/>
  <c r="AE16" i="26" s="1"/>
  <c r="AD22" i="26"/>
  <c r="AE18" i="26" s="1"/>
  <c r="AH24" i="26"/>
  <c r="V28" i="26"/>
  <c r="W47" i="26"/>
  <c r="AE47" i="26" s="1"/>
  <c r="AR4" i="23" s="1"/>
  <c r="Z48" i="26"/>
  <c r="AD52" i="26" s="1"/>
  <c r="AQ9" i="23" s="1"/>
  <c r="V49" i="26"/>
  <c r="AD49" i="26" s="1"/>
  <c r="AQ6" i="23" s="1"/>
  <c r="W50" i="26"/>
  <c r="AE50" i="26" s="1"/>
  <c r="Z50" i="26"/>
  <c r="AD54" i="26" s="1"/>
  <c r="AQ11" i="23" s="1"/>
  <c r="Z51" i="26"/>
  <c r="AD55" i="26" s="1"/>
  <c r="AQ12" i="23" s="1"/>
  <c r="Z52" i="26"/>
  <c r="AD56" i="26" s="1"/>
  <c r="AQ13" i="23" s="1"/>
  <c r="Z53" i="26"/>
  <c r="AD57" i="26" s="1"/>
  <c r="AQ14" i="23" s="1"/>
  <c r="Z54" i="26"/>
  <c r="AD58" i="26" s="1"/>
  <c r="AQ15" i="23" s="1"/>
  <c r="Z55" i="26"/>
  <c r="AD59" i="26" s="1"/>
  <c r="AK55" i="26"/>
  <c r="Z60" i="26"/>
  <c r="V62" i="26"/>
  <c r="X50" i="27"/>
  <c r="AF50" i="27" s="1"/>
  <c r="AX7" i="23" s="1"/>
  <c r="U51" i="23" s="1"/>
  <c r="Z66" i="26"/>
  <c r="Z64" i="26"/>
  <c r="Z67" i="26"/>
  <c r="Z65" i="26"/>
  <c r="Z63" i="26"/>
  <c r="Z74" i="26"/>
  <c r="Z75" i="26"/>
  <c r="Z73" i="26"/>
  <c r="AI53" i="24"/>
  <c r="AI54" i="24" s="1"/>
  <c r="AI55" i="24" s="1"/>
  <c r="W16" i="25"/>
  <c r="V17" i="25"/>
  <c r="X17" i="25"/>
  <c r="W18" i="25"/>
  <c r="Z22" i="25"/>
  <c r="AC22" i="25"/>
  <c r="AE17" i="25" s="1"/>
  <c r="AE28" i="25"/>
  <c r="AB72" i="25" s="1"/>
  <c r="AF87" i="25" s="1"/>
  <c r="AN44" i="23" s="1"/>
  <c r="AD45" i="23" s="1"/>
  <c r="X47" i="25"/>
  <c r="AF47" i="25" s="1"/>
  <c r="AN4" i="23" s="1"/>
  <c r="V48" i="25"/>
  <c r="AD48" i="25" s="1"/>
  <c r="AL5" i="23" s="1"/>
  <c r="V60" i="25"/>
  <c r="V61" i="25"/>
  <c r="Z62" i="25"/>
  <c r="V63" i="25"/>
  <c r="Z64" i="25"/>
  <c r="V65" i="25"/>
  <c r="V73" i="25"/>
  <c r="W16" i="26"/>
  <c r="V17" i="26"/>
  <c r="X17" i="26"/>
  <c r="W18" i="26"/>
  <c r="Z22" i="26"/>
  <c r="AC22" i="26"/>
  <c r="AE17" i="26" s="1"/>
  <c r="AE28" i="26"/>
  <c r="X47" i="26"/>
  <c r="AF47" i="26" s="1"/>
  <c r="AS4" i="23" s="1"/>
  <c r="V48" i="26"/>
  <c r="AD48" i="26" s="1"/>
  <c r="AQ5" i="23" s="1"/>
  <c r="W49" i="26"/>
  <c r="AE49" i="26" s="1"/>
  <c r="AR6" i="23" s="1"/>
  <c r="V60" i="26"/>
  <c r="V61" i="26"/>
  <c r="Z62" i="26"/>
  <c r="V80" i="27"/>
  <c r="V79" i="27"/>
  <c r="V78" i="27"/>
  <c r="V77" i="27"/>
  <c r="V76" i="27"/>
  <c r="V75" i="27"/>
  <c r="V16" i="27"/>
  <c r="W17" i="27"/>
  <c r="X18" i="27"/>
  <c r="AH18" i="27"/>
  <c r="AH19" i="27" s="1"/>
  <c r="Z21" i="27"/>
  <c r="AB22" i="27"/>
  <c r="AE16" i="27" s="1"/>
  <c r="AD22" i="27"/>
  <c r="AE18" i="27" s="1"/>
  <c r="AH24" i="27"/>
  <c r="V28" i="27"/>
  <c r="W47" i="27"/>
  <c r="AE47" i="27" s="1"/>
  <c r="AW4" i="23" s="1"/>
  <c r="Z48" i="27"/>
  <c r="AD52" i="27" s="1"/>
  <c r="AV9" i="23" s="1"/>
  <c r="V49" i="27"/>
  <c r="AD49" i="27" s="1"/>
  <c r="AV6" i="23" s="1"/>
  <c r="W50" i="27"/>
  <c r="AE50" i="27" s="1"/>
  <c r="Z50" i="27"/>
  <c r="AD54" i="27" s="1"/>
  <c r="AV11" i="23" s="1"/>
  <c r="Z51" i="27"/>
  <c r="AD55" i="27" s="1"/>
  <c r="AV12" i="23" s="1"/>
  <c r="Z52" i="27"/>
  <c r="AD56" i="27" s="1"/>
  <c r="AV13" i="23" s="1"/>
  <c r="Z53" i="27"/>
  <c r="AD57" i="27" s="1"/>
  <c r="AV14" i="23" s="1"/>
  <c r="Z54" i="27"/>
  <c r="AD58" i="27" s="1"/>
  <c r="AV15" i="23" s="1"/>
  <c r="Z55" i="27"/>
  <c r="AD59" i="27" s="1"/>
  <c r="AK55" i="27"/>
  <c r="Z60" i="27"/>
  <c r="Z61" i="27"/>
  <c r="V62" i="27"/>
  <c r="Z63" i="27"/>
  <c r="V64" i="27"/>
  <c r="Z65" i="27"/>
  <c r="V66" i="27"/>
  <c r="Z67" i="27"/>
  <c r="Z73" i="27"/>
  <c r="V74" i="27"/>
  <c r="AK56" i="28"/>
  <c r="V36" i="28"/>
  <c r="V37" i="28" s="1"/>
  <c r="AK17" i="28"/>
  <c r="AK18" i="28" s="1"/>
  <c r="W16" i="27"/>
  <c r="V17" i="27"/>
  <c r="X17" i="27"/>
  <c r="W18" i="27"/>
  <c r="Z22" i="27"/>
  <c r="AC22" i="27"/>
  <c r="AE17" i="27" s="1"/>
  <c r="AE28" i="27"/>
  <c r="X47" i="27"/>
  <c r="AF47" i="27" s="1"/>
  <c r="AX4" i="23" s="1"/>
  <c r="V48" i="27"/>
  <c r="AD48" i="27" s="1"/>
  <c r="AV5" i="23" s="1"/>
  <c r="V60" i="27"/>
  <c r="V61" i="27"/>
  <c r="Z62" i="27"/>
  <c r="V63" i="27"/>
  <c r="Z64" i="27"/>
  <c r="V65" i="27"/>
  <c r="V73" i="27"/>
  <c r="Z74" i="27"/>
  <c r="W16" i="28"/>
  <c r="V17" i="28"/>
  <c r="X17" i="28"/>
  <c r="W18" i="28"/>
  <c r="Z22" i="28"/>
  <c r="AC22" i="28"/>
  <c r="AE17" i="28" s="1"/>
  <c r="AE28" i="28"/>
  <c r="X47" i="28"/>
  <c r="AF47" i="28" s="1"/>
  <c r="BC4" i="23" s="1"/>
  <c r="V48" i="28"/>
  <c r="AD48" i="28" s="1"/>
  <c r="BA5" i="23" s="1"/>
  <c r="Z49" i="28"/>
  <c r="V50" i="28"/>
  <c r="AD50" i="28" s="1"/>
  <c r="V60" i="28"/>
  <c r="V61" i="28"/>
  <c r="Z62" i="28"/>
  <c r="V63" i="28"/>
  <c r="Z64" i="28"/>
  <c r="V65" i="28"/>
  <c r="Z66" i="28"/>
  <c r="V67" i="28"/>
  <c r="V73" i="28"/>
  <c r="Z74" i="28"/>
  <c r="V75" i="28"/>
  <c r="A3" i="29"/>
  <c r="G3" i="29"/>
  <c r="M3" i="29"/>
  <c r="V16" i="28"/>
  <c r="W17" i="28"/>
  <c r="X18" i="28"/>
  <c r="AH18" i="28"/>
  <c r="AH19" i="28" s="1"/>
  <c r="Z21" i="28"/>
  <c r="AB22" i="28"/>
  <c r="AE16" i="28" s="1"/>
  <c r="AD22" i="28"/>
  <c r="AE18" i="28" s="1"/>
  <c r="AH24" i="28"/>
  <c r="V28" i="28"/>
  <c r="W47" i="28"/>
  <c r="AE47" i="28" s="1"/>
  <c r="BB4" i="23" s="1"/>
  <c r="Z48" i="28"/>
  <c r="V49" i="28"/>
  <c r="AD49" i="28" s="1"/>
  <c r="BA6" i="23" s="1"/>
  <c r="Z50" i="28"/>
  <c r="Z51" i="28"/>
  <c r="Z52" i="28"/>
  <c r="Z53" i="28"/>
  <c r="Z54" i="28"/>
  <c r="Z60" i="28"/>
  <c r="Z61" i="28"/>
  <c r="V62" i="28"/>
  <c r="Z63" i="28"/>
  <c r="V64" i="28"/>
  <c r="Z65" i="28"/>
  <c r="Z73" i="28"/>
  <c r="V74" i="28"/>
  <c r="V76" i="28"/>
  <c r="V77" i="28"/>
  <c r="V78" i="28"/>
  <c r="V79" i="28"/>
  <c r="D3" i="29"/>
  <c r="J3" i="29"/>
  <c r="A4" i="29"/>
  <c r="D4" i="29"/>
  <c r="G4" i="29"/>
  <c r="J4" i="29"/>
  <c r="M4" i="29"/>
  <c r="AB74" i="27" l="1"/>
  <c r="AF89" i="27" s="1"/>
  <c r="AX46" i="23" s="1"/>
  <c r="W49" i="25"/>
  <c r="AE49" i="25" s="1"/>
  <c r="AM6" i="23" s="1"/>
  <c r="AB74" i="24"/>
  <c r="AF89" i="24" s="1"/>
  <c r="AI46" i="23" s="1"/>
  <c r="AB73" i="28"/>
  <c r="AF88" i="28" s="1"/>
  <c r="BC45" i="23" s="1"/>
  <c r="AB74" i="28"/>
  <c r="AF89" i="28" s="1"/>
  <c r="BC46" i="23" s="1"/>
  <c r="AB72" i="28"/>
  <c r="AF87" i="28" s="1"/>
  <c r="BC44" i="23" s="1"/>
  <c r="AD54" i="23" s="1"/>
  <c r="AB75" i="24"/>
  <c r="AF90" i="24" s="1"/>
  <c r="AI47" i="23" s="1"/>
  <c r="W48" i="28"/>
  <c r="AE48" i="28" s="1"/>
  <c r="BB5" i="23" s="1"/>
  <c r="X48" i="28"/>
  <c r="AF48" i="28" s="1"/>
  <c r="BC5" i="23" s="1"/>
  <c r="W50" i="24"/>
  <c r="AE50" i="24" s="1"/>
  <c r="AL18" i="24" s="1"/>
  <c r="AB73" i="24"/>
  <c r="AF88" i="24" s="1"/>
  <c r="AI45" i="23" s="1"/>
  <c r="AB72" i="27"/>
  <c r="AF87" i="27" s="1"/>
  <c r="AX44" i="23" s="1"/>
  <c r="AD51" i="23" s="1"/>
  <c r="X48" i="27"/>
  <c r="AF48" i="27" s="1"/>
  <c r="AX5" i="23" s="1"/>
  <c r="W48" i="24"/>
  <c r="AE48" i="24" s="1"/>
  <c r="AH5" i="23" s="1"/>
  <c r="X49" i="28"/>
  <c r="AF49" i="28" s="1"/>
  <c r="BC6" i="23" s="1"/>
  <c r="W49" i="27"/>
  <c r="AE49" i="27" s="1"/>
  <c r="AW6" i="23" s="1"/>
  <c r="X49" i="27"/>
  <c r="AF49" i="27" s="1"/>
  <c r="AX6" i="23" s="1"/>
  <c r="X48" i="24"/>
  <c r="AF48" i="24" s="1"/>
  <c r="AI5" i="23" s="1"/>
  <c r="AB73" i="26"/>
  <c r="AF88" i="26" s="1"/>
  <c r="AS45" i="23" s="1"/>
  <c r="AB72" i="24"/>
  <c r="AF87" i="24" s="1"/>
  <c r="AI44" i="23" s="1"/>
  <c r="AD42" i="23" s="1"/>
  <c r="Z16" i="24" a="1"/>
  <c r="AB18" i="24" s="1"/>
  <c r="AB73" i="27"/>
  <c r="AF88" i="27" s="1"/>
  <c r="AX45" i="23" s="1"/>
  <c r="AB75" i="26"/>
  <c r="AF90" i="26" s="1"/>
  <c r="AS47" i="23" s="1"/>
  <c r="AB75" i="27"/>
  <c r="AF90" i="27" s="1"/>
  <c r="AX47" i="23" s="1"/>
  <c r="AB75" i="25"/>
  <c r="AF90" i="25" s="1"/>
  <c r="AN47" i="23" s="1"/>
  <c r="AB73" i="25"/>
  <c r="AF88" i="25" s="1"/>
  <c r="AN45" i="23" s="1"/>
  <c r="X48" i="26"/>
  <c r="AF48" i="26" s="1"/>
  <c r="AS5" i="23" s="1"/>
  <c r="X49" i="24"/>
  <c r="AF49" i="24" s="1"/>
  <c r="AI6" i="23" s="1"/>
  <c r="W49" i="24"/>
  <c r="AE49" i="24" s="1"/>
  <c r="AH6" i="23" s="1"/>
  <c r="AD67" i="27"/>
  <c r="AV24" i="23" s="1"/>
  <c r="AD65" i="27"/>
  <c r="AV22" i="23" s="1"/>
  <c r="AD63" i="27"/>
  <c r="AV20" i="23" s="1"/>
  <c r="AD61" i="27"/>
  <c r="AV18" i="23" s="1"/>
  <c r="AD60" i="27"/>
  <c r="AV17" i="23" s="1"/>
  <c r="AD68" i="27"/>
  <c r="AD66" i="27"/>
  <c r="AV23" i="23" s="1"/>
  <c r="AD64" i="27"/>
  <c r="AV21" i="23" s="1"/>
  <c r="AD62" i="27"/>
  <c r="AV19" i="23" s="1"/>
  <c r="AV16" i="23"/>
  <c r="AD67" i="26"/>
  <c r="AQ24" i="23" s="1"/>
  <c r="AD65" i="26"/>
  <c r="AQ22" i="23" s="1"/>
  <c r="AD63" i="26"/>
  <c r="AQ20" i="23" s="1"/>
  <c r="AD68" i="26"/>
  <c r="AD66" i="26"/>
  <c r="AQ23" i="23" s="1"/>
  <c r="AD64" i="26"/>
  <c r="AQ21" i="23" s="1"/>
  <c r="AD62" i="26"/>
  <c r="AQ19" i="23" s="1"/>
  <c r="AD61" i="26"/>
  <c r="AQ18" i="23" s="1"/>
  <c r="AD60" i="26"/>
  <c r="AQ17" i="23" s="1"/>
  <c r="AQ16" i="23"/>
  <c r="AD67" i="25"/>
  <c r="AL24" i="23" s="1"/>
  <c r="AD65" i="25"/>
  <c r="AL22" i="23" s="1"/>
  <c r="AD63" i="25"/>
  <c r="AL20" i="23" s="1"/>
  <c r="AD61" i="25"/>
  <c r="AL18" i="23" s="1"/>
  <c r="AD60" i="25"/>
  <c r="AL17" i="23" s="1"/>
  <c r="AD68" i="25"/>
  <c r="AD66" i="25"/>
  <c r="AL23" i="23" s="1"/>
  <c r="AD64" i="25"/>
  <c r="AL21" i="23" s="1"/>
  <c r="AD62" i="25"/>
  <c r="AL19" i="23" s="1"/>
  <c r="AL16" i="23"/>
  <c r="AA74" i="28"/>
  <c r="AE89" i="28" s="1"/>
  <c r="BB46" i="23" s="1"/>
  <c r="AA72" i="28"/>
  <c r="AE87" i="28" s="1"/>
  <c r="BB44" i="23" s="1"/>
  <c r="AA75" i="28"/>
  <c r="AE90" i="28" s="1"/>
  <c r="AA73" i="28"/>
  <c r="AE88" i="28" s="1"/>
  <c r="BB45" i="23" s="1"/>
  <c r="AA75" i="27"/>
  <c r="AE90" i="27" s="1"/>
  <c r="AA73" i="27"/>
  <c r="AE88" i="27" s="1"/>
  <c r="AW45" i="23" s="1"/>
  <c r="AA74" i="27"/>
  <c r="AE89" i="27" s="1"/>
  <c r="AW46" i="23" s="1"/>
  <c r="AA72" i="27"/>
  <c r="AE87" i="27" s="1"/>
  <c r="AW44" i="23" s="1"/>
  <c r="AK57" i="28"/>
  <c r="AH31" i="28"/>
  <c r="AH25" i="28"/>
  <c r="AH26" i="28" s="1"/>
  <c r="AK19" i="28"/>
  <c r="AK20" i="28" s="1"/>
  <c r="Y36" i="28"/>
  <c r="Y37" i="28" s="1"/>
  <c r="AL18" i="27"/>
  <c r="AW7" i="23"/>
  <c r="AA75" i="26"/>
  <c r="AE90" i="26" s="1"/>
  <c r="AA73" i="26"/>
  <c r="AE88" i="26" s="1"/>
  <c r="AR45" i="23" s="1"/>
  <c r="AA74" i="26"/>
  <c r="AE89" i="26" s="1"/>
  <c r="AR46" i="23" s="1"/>
  <c r="AA72" i="26"/>
  <c r="AE87" i="26" s="1"/>
  <c r="AR44" i="23" s="1"/>
  <c r="AK56" i="26"/>
  <c r="V36" i="26"/>
  <c r="V37" i="26" s="1"/>
  <c r="AK17" i="26"/>
  <c r="AK18" i="26" s="1"/>
  <c r="AH27" i="26"/>
  <c r="AH28" i="26"/>
  <c r="AK56" i="25"/>
  <c r="V36" i="25"/>
  <c r="V37" i="25" s="1"/>
  <c r="AK17" i="25"/>
  <c r="AK18" i="25" s="1"/>
  <c r="AH27" i="25"/>
  <c r="AH28" i="25"/>
  <c r="AA75" i="24"/>
  <c r="AE90" i="24" s="1"/>
  <c r="AA73" i="24"/>
  <c r="AE88" i="24" s="1"/>
  <c r="AH45" i="23" s="1"/>
  <c r="AA74" i="24"/>
  <c r="AE89" i="24" s="1"/>
  <c r="AH46" i="23" s="1"/>
  <c r="AA72" i="24"/>
  <c r="AE87" i="24" s="1"/>
  <c r="AH44" i="23" s="1"/>
  <c r="AK56" i="24"/>
  <c r="V36" i="24"/>
  <c r="V37" i="24" s="1"/>
  <c r="AK17" i="24"/>
  <c r="AK18" i="24" s="1"/>
  <c r="Z16" i="28" a="1"/>
  <c r="X50" i="28"/>
  <c r="AF50" i="28" s="1"/>
  <c r="BC7" i="23" s="1"/>
  <c r="U54" i="23" s="1"/>
  <c r="W49" i="28"/>
  <c r="AE49" i="28" s="1"/>
  <c r="BB6" i="23" s="1"/>
  <c r="Z16" i="27" a="1"/>
  <c r="X48" i="25"/>
  <c r="AF48" i="25" s="1"/>
  <c r="AN5" i="23" s="1"/>
  <c r="AB74" i="26"/>
  <c r="AF89" i="26" s="1"/>
  <c r="AS46" i="23" s="1"/>
  <c r="X49" i="26"/>
  <c r="AF49" i="26" s="1"/>
  <c r="AS6" i="23" s="1"/>
  <c r="W48" i="26"/>
  <c r="AE48" i="26" s="1"/>
  <c r="AR5" i="23" s="1"/>
  <c r="X49" i="25"/>
  <c r="AF49" i="25" s="1"/>
  <c r="AN6" i="23" s="1"/>
  <c r="W48" i="25"/>
  <c r="AE48" i="25" s="1"/>
  <c r="AM5" i="23" s="1"/>
  <c r="AI17" i="25"/>
  <c r="X50" i="24"/>
  <c r="AF50" i="24" s="1"/>
  <c r="AI7" i="23" s="1"/>
  <c r="U42" i="23" s="1"/>
  <c r="AH28" i="28"/>
  <c r="AH27" i="28"/>
  <c r="AD59" i="28"/>
  <c r="AD58" i="28"/>
  <c r="BA15" i="23" s="1"/>
  <c r="AD57" i="28"/>
  <c r="BA14" i="23" s="1"/>
  <c r="AD56" i="28"/>
  <c r="BA13" i="23" s="1"/>
  <c r="AD55" i="28"/>
  <c r="BA12" i="23" s="1"/>
  <c r="AD54" i="28"/>
  <c r="BA11" i="23" s="1"/>
  <c r="AD53" i="28"/>
  <c r="BA10" i="23" s="1"/>
  <c r="AD52" i="28"/>
  <c r="BA9" i="23" s="1"/>
  <c r="AD51" i="28"/>
  <c r="BA8" i="23" s="1"/>
  <c r="BA7" i="23"/>
  <c r="AK56" i="27"/>
  <c r="V36" i="27"/>
  <c r="V37" i="27" s="1"/>
  <c r="AK17" i="27"/>
  <c r="AK18" i="27" s="1"/>
  <c r="AH27" i="27"/>
  <c r="AH28" i="27"/>
  <c r="AA75" i="25"/>
  <c r="AE90" i="25" s="1"/>
  <c r="AA73" i="25"/>
  <c r="AE88" i="25" s="1"/>
  <c r="AM45" i="23" s="1"/>
  <c r="AA74" i="25"/>
  <c r="AE89" i="25" s="1"/>
  <c r="AM46" i="23" s="1"/>
  <c r="AA72" i="25"/>
  <c r="AE87" i="25" s="1"/>
  <c r="AM44" i="23" s="1"/>
  <c r="AL18" i="26"/>
  <c r="AR7" i="23"/>
  <c r="AL18" i="25"/>
  <c r="AM7" i="23"/>
  <c r="AH28" i="24"/>
  <c r="AH27" i="24"/>
  <c r="AD59" i="24"/>
  <c r="AD58" i="24"/>
  <c r="AG15" i="23" s="1"/>
  <c r="AD57" i="24"/>
  <c r="AG14" i="23" s="1"/>
  <c r="AD56" i="24"/>
  <c r="AG13" i="23" s="1"/>
  <c r="AD55" i="24"/>
  <c r="AG12" i="23" s="1"/>
  <c r="AD54" i="24"/>
  <c r="AG11" i="23" s="1"/>
  <c r="AD53" i="24"/>
  <c r="AG10" i="23" s="1"/>
  <c r="AD52" i="24"/>
  <c r="AG9" i="23" s="1"/>
  <c r="AD51" i="24"/>
  <c r="AG8" i="23" s="1"/>
  <c r="AG7" i="23"/>
  <c r="AF7" i="23" s="1"/>
  <c r="AK7" i="23" s="1"/>
  <c r="AP7" i="23" s="1"/>
  <c r="AU7" i="23" s="1"/>
  <c r="AZ7" i="23" s="1"/>
  <c r="W50" i="28"/>
  <c r="AE50" i="28" s="1"/>
  <c r="AB75" i="28"/>
  <c r="AF90" i="28" s="1"/>
  <c r="BC47" i="23" s="1"/>
  <c r="W48" i="27"/>
  <c r="AE48" i="27" s="1"/>
  <c r="AW5" i="23" s="1"/>
  <c r="AB72" i="26"/>
  <c r="AF87" i="26" s="1"/>
  <c r="AS44" i="23" s="1"/>
  <c r="AD48" i="23" s="1"/>
  <c r="Z16" i="26" a="1"/>
  <c r="Z16" i="25" a="1"/>
  <c r="AB74" i="25"/>
  <c r="AF89" i="25" s="1"/>
  <c r="AN46" i="23" s="1"/>
  <c r="AH7" i="23" l="1"/>
  <c r="Z17" i="24"/>
  <c r="AA18" i="24"/>
  <c r="AB16" i="24"/>
  <c r="AA16" i="24"/>
  <c r="AB17" i="24"/>
  <c r="Z16" i="24"/>
  <c r="AA17" i="24"/>
  <c r="Z18" i="24"/>
  <c r="AF8" i="23"/>
  <c r="AK8" i="23" s="1"/>
  <c r="AP8" i="23" s="1"/>
  <c r="AU8" i="23" s="1"/>
  <c r="AZ8" i="23" s="1"/>
  <c r="AF10" i="23"/>
  <c r="AK10" i="23" s="1"/>
  <c r="AP10" i="23" s="1"/>
  <c r="AU10" i="23" s="1"/>
  <c r="AZ10" i="23" s="1"/>
  <c r="AF12" i="23"/>
  <c r="AK12" i="23" s="1"/>
  <c r="AP12" i="23" s="1"/>
  <c r="AU12" i="23" s="1"/>
  <c r="AZ12" i="23" s="1"/>
  <c r="AF14" i="23"/>
  <c r="AK14" i="23" s="1"/>
  <c r="AP14" i="23" s="1"/>
  <c r="AU14" i="23" s="1"/>
  <c r="AZ14" i="23" s="1"/>
  <c r="AB18" i="25"/>
  <c r="Z18" i="25"/>
  <c r="AA17" i="25"/>
  <c r="AB16" i="25"/>
  <c r="Z16" i="25"/>
  <c r="AA18" i="25"/>
  <c r="AB17" i="25"/>
  <c r="Z17" i="25"/>
  <c r="AA16" i="25"/>
  <c r="AL28" i="25"/>
  <c r="AM47" i="23"/>
  <c r="AB18" i="27"/>
  <c r="Z18" i="27"/>
  <c r="AA17" i="27"/>
  <c r="AB16" i="27"/>
  <c r="Z16" i="27"/>
  <c r="AA18" i="27"/>
  <c r="AB17" i="27"/>
  <c r="Z17" i="27"/>
  <c r="AA16" i="27"/>
  <c r="Y36" i="24"/>
  <c r="Y37" i="24" s="1"/>
  <c r="AK57" i="24"/>
  <c r="AH31" i="24"/>
  <c r="AH25" i="24"/>
  <c r="AH26" i="24" s="1"/>
  <c r="AK19" i="24"/>
  <c r="AK20" i="24" s="1"/>
  <c r="Y36" i="26"/>
  <c r="Y37" i="26" s="1"/>
  <c r="AK57" i="26"/>
  <c r="AH31" i="26"/>
  <c r="AH25" i="26"/>
  <c r="AH26" i="26" s="1"/>
  <c r="AK19" i="26"/>
  <c r="AK20" i="26" s="1"/>
  <c r="AH34" i="28"/>
  <c r="AH35" i="28"/>
  <c r="AL28" i="27"/>
  <c r="AW47" i="23"/>
  <c r="AL28" i="28"/>
  <c r="BB47" i="23"/>
  <c r="AF9" i="23"/>
  <c r="AK9" i="23" s="1"/>
  <c r="AP9" i="23" s="1"/>
  <c r="AU9" i="23" s="1"/>
  <c r="AZ9" i="23" s="1"/>
  <c r="AF11" i="23"/>
  <c r="AK11" i="23" s="1"/>
  <c r="AP11" i="23" s="1"/>
  <c r="AU11" i="23" s="1"/>
  <c r="AZ11" i="23" s="1"/>
  <c r="AF13" i="23"/>
  <c r="AK13" i="23" s="1"/>
  <c r="AP13" i="23" s="1"/>
  <c r="AU13" i="23" s="1"/>
  <c r="AZ13" i="23" s="1"/>
  <c r="AF15" i="23"/>
  <c r="AK15" i="23" s="1"/>
  <c r="AP15" i="23" s="1"/>
  <c r="AU15" i="23" s="1"/>
  <c r="AZ15" i="23" s="1"/>
  <c r="AB18" i="26"/>
  <c r="Z18" i="26"/>
  <c r="AA17" i="26"/>
  <c r="AB16" i="26"/>
  <c r="Z16" i="26"/>
  <c r="AA18" i="26"/>
  <c r="AB17" i="26"/>
  <c r="Z17" i="26"/>
  <c r="AA16" i="26"/>
  <c r="AL18" i="28"/>
  <c r="BB7" i="23"/>
  <c r="AD67" i="24"/>
  <c r="AG24" i="23" s="1"/>
  <c r="AD65" i="24"/>
  <c r="AG22" i="23" s="1"/>
  <c r="AD63" i="24"/>
  <c r="AG20" i="23" s="1"/>
  <c r="AD61" i="24"/>
  <c r="AG18" i="23" s="1"/>
  <c r="AD60" i="24"/>
  <c r="AG17" i="23" s="1"/>
  <c r="AD68" i="24"/>
  <c r="AD66" i="24"/>
  <c r="AG23" i="23" s="1"/>
  <c r="AD64" i="24"/>
  <c r="AG21" i="23" s="1"/>
  <c r="AD62" i="24"/>
  <c r="AG19" i="23" s="1"/>
  <c r="AG16" i="23"/>
  <c r="AF16" i="23" s="1"/>
  <c r="AK16" i="23" s="1"/>
  <c r="AP16" i="23" s="1"/>
  <c r="AU16" i="23" s="1"/>
  <c r="AZ16" i="23" s="1"/>
  <c r="Y36" i="27"/>
  <c r="Y37" i="27" s="1"/>
  <c r="AK57" i="27"/>
  <c r="AH31" i="27"/>
  <c r="AH25" i="27"/>
  <c r="AH26" i="27" s="1"/>
  <c r="AK19" i="27"/>
  <c r="AK20" i="27" s="1"/>
  <c r="AD68" i="28"/>
  <c r="AD66" i="28"/>
  <c r="BA23" i="23" s="1"/>
  <c r="AD64" i="28"/>
  <c r="BA21" i="23" s="1"/>
  <c r="AD62" i="28"/>
  <c r="BA19" i="23" s="1"/>
  <c r="AD67" i="28"/>
  <c r="BA24" i="23" s="1"/>
  <c r="AD65" i="28"/>
  <c r="BA22" i="23" s="1"/>
  <c r="AD63" i="28"/>
  <c r="BA20" i="23" s="1"/>
  <c r="AD61" i="28"/>
  <c r="BA18" i="23" s="1"/>
  <c r="AD60" i="28"/>
  <c r="BA17" i="23" s="1"/>
  <c r="BA16" i="23"/>
  <c r="AI52" i="25"/>
  <c r="AI38" i="25"/>
  <c r="AI31" i="25"/>
  <c r="AI24" i="25"/>
  <c r="AI21" i="25"/>
  <c r="AI18" i="25"/>
  <c r="AI19" i="25" s="1"/>
  <c r="AI20" i="25" s="1"/>
  <c r="AI45" i="25"/>
  <c r="AA18" i="28"/>
  <c r="AB17" i="28"/>
  <c r="Z17" i="28"/>
  <c r="AA16" i="28"/>
  <c r="AB18" i="28"/>
  <c r="Z18" i="28"/>
  <c r="AA17" i="28"/>
  <c r="AB16" i="28"/>
  <c r="Z16" i="28"/>
  <c r="AH47" i="23"/>
  <c r="AL28" i="24"/>
  <c r="Y36" i="25"/>
  <c r="Y37" i="25" s="1"/>
  <c r="AK57" i="25"/>
  <c r="AH31" i="25"/>
  <c r="AH25" i="25"/>
  <c r="AH26" i="25" s="1"/>
  <c r="AK19" i="25"/>
  <c r="AK20" i="25" s="1"/>
  <c r="AL28" i="26"/>
  <c r="AR47" i="23"/>
  <c r="AK58" i="28"/>
  <c r="AH38" i="28"/>
  <c r="AB36" i="28"/>
  <c r="AB37" i="28" s="1"/>
  <c r="AK21" i="28"/>
  <c r="AK22" i="28" s="1"/>
  <c r="AH32" i="28"/>
  <c r="AH33" i="28" s="1"/>
  <c r="AD77" i="25"/>
  <c r="AD76" i="25"/>
  <c r="AL33" i="23" s="1"/>
  <c r="AD75" i="25"/>
  <c r="AL32" i="23" s="1"/>
  <c r="AD73" i="25"/>
  <c r="AL30" i="23" s="1"/>
  <c r="AD71" i="25"/>
  <c r="AL28" i="23" s="1"/>
  <c r="AD69" i="25"/>
  <c r="AL26" i="23" s="1"/>
  <c r="AD74" i="25"/>
  <c r="AL31" i="23" s="1"/>
  <c r="AD72" i="25"/>
  <c r="AL29" i="23" s="1"/>
  <c r="AD70" i="25"/>
  <c r="AL27" i="23" s="1"/>
  <c r="AL25" i="23"/>
  <c r="AD77" i="26"/>
  <c r="AD76" i="26"/>
  <c r="AQ33" i="23" s="1"/>
  <c r="AD75" i="26"/>
  <c r="AQ32" i="23" s="1"/>
  <c r="AD73" i="26"/>
  <c r="AQ30" i="23" s="1"/>
  <c r="AD71" i="26"/>
  <c r="AQ28" i="23" s="1"/>
  <c r="AD69" i="26"/>
  <c r="AQ26" i="23" s="1"/>
  <c r="AD74" i="26"/>
  <c r="AQ31" i="23" s="1"/>
  <c r="AD72" i="26"/>
  <c r="AQ29" i="23" s="1"/>
  <c r="AD70" i="26"/>
  <c r="AQ27" i="23" s="1"/>
  <c r="AQ25" i="23"/>
  <c r="AD77" i="27"/>
  <c r="AD76" i="27"/>
  <c r="AV33" i="23" s="1"/>
  <c r="AD75" i="27"/>
  <c r="AV32" i="23" s="1"/>
  <c r="AD73" i="27"/>
  <c r="AV30" i="23" s="1"/>
  <c r="AD71" i="27"/>
  <c r="AV28" i="23" s="1"/>
  <c r="AD69" i="27"/>
  <c r="AV26" i="23" s="1"/>
  <c r="AD74" i="27"/>
  <c r="AV31" i="23" s="1"/>
  <c r="AD72" i="27"/>
  <c r="AV29" i="23" s="1"/>
  <c r="AD70" i="27"/>
  <c r="AV27" i="23" s="1"/>
  <c r="AV25" i="23"/>
  <c r="AF19" i="23" l="1"/>
  <c r="AK19" i="23" s="1"/>
  <c r="AP19" i="23" s="1"/>
  <c r="AU19" i="23" s="1"/>
  <c r="AZ19" i="23" s="1"/>
  <c r="AF23" i="23"/>
  <c r="AK23" i="23" s="1"/>
  <c r="AP23" i="23" s="1"/>
  <c r="AU23" i="23" s="1"/>
  <c r="AZ23" i="23" s="1"/>
  <c r="AF17" i="23"/>
  <c r="AK17" i="23" s="1"/>
  <c r="AP17" i="23" s="1"/>
  <c r="AU17" i="23" s="1"/>
  <c r="AZ17" i="23" s="1"/>
  <c r="AF20" i="23"/>
  <c r="AK20" i="23" s="1"/>
  <c r="AP20" i="23" s="1"/>
  <c r="AU20" i="23" s="1"/>
  <c r="AZ20" i="23" s="1"/>
  <c r="AF24" i="23"/>
  <c r="AK24" i="23" s="1"/>
  <c r="AP24" i="23" s="1"/>
  <c r="AU24" i="23" s="1"/>
  <c r="AZ24" i="23" s="1"/>
  <c r="W21" i="24" a="1"/>
  <c r="W22" i="24" s="1"/>
  <c r="AK59" i="28"/>
  <c r="V40" i="28"/>
  <c r="V41" i="28" s="1"/>
  <c r="AH39" i="28"/>
  <c r="AH40" i="28" s="1"/>
  <c r="AH45" i="28"/>
  <c r="AK23" i="28"/>
  <c r="AK24" i="28" s="1"/>
  <c r="AH32" i="25"/>
  <c r="AH33" i="25" s="1"/>
  <c r="AK58" i="25"/>
  <c r="AH38" i="25"/>
  <c r="AB36" i="25"/>
  <c r="AB37" i="25" s="1"/>
  <c r="AK21" i="25"/>
  <c r="AK22" i="25" s="1"/>
  <c r="AI28" i="25"/>
  <c r="AI25" i="25"/>
  <c r="AI26" i="25" s="1"/>
  <c r="AI27" i="25" s="1"/>
  <c r="AI39" i="25"/>
  <c r="AI40" i="25" s="1"/>
  <c r="AI41" i="25" s="1"/>
  <c r="AI42" i="25"/>
  <c r="AD74" i="28"/>
  <c r="BA31" i="23" s="1"/>
  <c r="AD72" i="28"/>
  <c r="BA29" i="23" s="1"/>
  <c r="AD70" i="28"/>
  <c r="BA27" i="23" s="1"/>
  <c r="AD77" i="28"/>
  <c r="AD76" i="28"/>
  <c r="BA33" i="23" s="1"/>
  <c r="AD75" i="28"/>
  <c r="BA32" i="23" s="1"/>
  <c r="AD73" i="28"/>
  <c r="BA30" i="23" s="1"/>
  <c r="AD71" i="28"/>
  <c r="BA28" i="23" s="1"/>
  <c r="AD69" i="28"/>
  <c r="BA26" i="23" s="1"/>
  <c r="BA25" i="23"/>
  <c r="AH32" i="27"/>
  <c r="AH33" i="27" s="1"/>
  <c r="AK58" i="27"/>
  <c r="AH38" i="27"/>
  <c r="AB36" i="27"/>
  <c r="AB37" i="27" s="1"/>
  <c r="AK21" i="27"/>
  <c r="AK22" i="27" s="1"/>
  <c r="AD77" i="24"/>
  <c r="AD76" i="24"/>
  <c r="AG33" i="23" s="1"/>
  <c r="AD75" i="24"/>
  <c r="AG32" i="23" s="1"/>
  <c r="AD73" i="24"/>
  <c r="AG30" i="23" s="1"/>
  <c r="AD71" i="24"/>
  <c r="AG28" i="23" s="1"/>
  <c r="AD69" i="24"/>
  <c r="AG26" i="23" s="1"/>
  <c r="AD74" i="24"/>
  <c r="AG31" i="23" s="1"/>
  <c r="AD72" i="24"/>
  <c r="AG29" i="23" s="1"/>
  <c r="AD70" i="24"/>
  <c r="AG27" i="23" s="1"/>
  <c r="AG25" i="23"/>
  <c r="AF25" i="23" s="1"/>
  <c r="AK25" i="23" s="1"/>
  <c r="AP25" i="23" s="1"/>
  <c r="AU25" i="23" s="1"/>
  <c r="AZ25" i="23" s="1"/>
  <c r="AH32" i="26"/>
  <c r="AH33" i="26" s="1"/>
  <c r="AK58" i="26"/>
  <c r="AH38" i="26"/>
  <c r="AB36" i="26"/>
  <c r="AB37" i="26" s="1"/>
  <c r="AK21" i="26"/>
  <c r="AK22" i="26" s="1"/>
  <c r="AH35" i="24"/>
  <c r="AH34" i="24"/>
  <c r="W21" i="28" a="1"/>
  <c r="AF21" i="23"/>
  <c r="AK21" i="23" s="1"/>
  <c r="AP21" i="23" s="1"/>
  <c r="AU21" i="23" s="1"/>
  <c r="AZ21" i="23" s="1"/>
  <c r="AF18" i="23"/>
  <c r="AK18" i="23" s="1"/>
  <c r="AP18" i="23" s="1"/>
  <c r="AU18" i="23" s="1"/>
  <c r="AZ18" i="23" s="1"/>
  <c r="AF22" i="23"/>
  <c r="AK22" i="23" s="1"/>
  <c r="AP22" i="23" s="1"/>
  <c r="AU22" i="23" s="1"/>
  <c r="AZ22" i="23" s="1"/>
  <c r="W21" i="26" a="1"/>
  <c r="W21" i="25" a="1"/>
  <c r="AD85" i="27"/>
  <c r="AV42" i="23" s="1"/>
  <c r="AD83" i="27"/>
  <c r="AV40" i="23" s="1"/>
  <c r="AD81" i="27"/>
  <c r="AV38" i="23" s="1"/>
  <c r="AD86" i="27"/>
  <c r="AD84" i="27"/>
  <c r="AV41" i="23" s="1"/>
  <c r="AD82" i="27"/>
  <c r="AV39" i="23" s="1"/>
  <c r="AD80" i="27"/>
  <c r="AV37" i="23" s="1"/>
  <c r="AD79" i="27"/>
  <c r="AV36" i="23" s="1"/>
  <c r="AD78" i="27"/>
  <c r="AV35" i="23" s="1"/>
  <c r="AV34" i="23"/>
  <c r="AD86" i="26"/>
  <c r="AD84" i="26"/>
  <c r="AQ41" i="23" s="1"/>
  <c r="AD82" i="26"/>
  <c r="AQ39" i="23" s="1"/>
  <c r="AD80" i="26"/>
  <c r="AQ37" i="23" s="1"/>
  <c r="AD79" i="26"/>
  <c r="AQ36" i="23" s="1"/>
  <c r="AD78" i="26"/>
  <c r="AQ35" i="23" s="1"/>
  <c r="AD85" i="26"/>
  <c r="AQ42" i="23" s="1"/>
  <c r="AD83" i="26"/>
  <c r="AQ40" i="23" s="1"/>
  <c r="AD81" i="26"/>
  <c r="AQ38" i="23" s="1"/>
  <c r="AQ34" i="23"/>
  <c r="AD86" i="25"/>
  <c r="AD84" i="25"/>
  <c r="AL41" i="23" s="1"/>
  <c r="AD82" i="25"/>
  <c r="AL39" i="23" s="1"/>
  <c r="AD80" i="25"/>
  <c r="AL37" i="23" s="1"/>
  <c r="AD79" i="25"/>
  <c r="AL36" i="23" s="1"/>
  <c r="AD78" i="25"/>
  <c r="AL35" i="23" s="1"/>
  <c r="AD85" i="25"/>
  <c r="AL42" i="23" s="1"/>
  <c r="AD83" i="25"/>
  <c r="AL40" i="23" s="1"/>
  <c r="AD81" i="25"/>
  <c r="AL38" i="23" s="1"/>
  <c r="AL34" i="23"/>
  <c r="AH42" i="28"/>
  <c r="AH41" i="28"/>
  <c r="AH35" i="25"/>
  <c r="AH34" i="25"/>
  <c r="AI49" i="25"/>
  <c r="AI46" i="25"/>
  <c r="AI47" i="25" s="1"/>
  <c r="AI48" i="25" s="1"/>
  <c r="AI35" i="25"/>
  <c r="AI32" i="25"/>
  <c r="AI33" i="25" s="1"/>
  <c r="AI34" i="25" s="1"/>
  <c r="AI56" i="25"/>
  <c r="AI53" i="25"/>
  <c r="AI54" i="25" s="1"/>
  <c r="AI55" i="25" s="1"/>
  <c r="AH35" i="27"/>
  <c r="AH34" i="27"/>
  <c r="AH35" i="26"/>
  <c r="AH34" i="26"/>
  <c r="AK58" i="24"/>
  <c r="AH38" i="24"/>
  <c r="AB36" i="24"/>
  <c r="AB37" i="24" s="1"/>
  <c r="AK21" i="24"/>
  <c r="AK22" i="24" s="1"/>
  <c r="AH32" i="24"/>
  <c r="AH33" i="24" s="1"/>
  <c r="W21" i="27" a="1"/>
  <c r="W23" i="24" l="1"/>
  <c r="AD28" i="24" s="1"/>
  <c r="W21" i="24"/>
  <c r="Z28" i="24" s="1"/>
  <c r="AF27" i="23"/>
  <c r="AK27" i="23" s="1"/>
  <c r="AP27" i="23" s="1"/>
  <c r="AU27" i="23" s="1"/>
  <c r="AZ27" i="23" s="1"/>
  <c r="AH45" i="24"/>
  <c r="AK59" i="24"/>
  <c r="V40" i="24"/>
  <c r="V41" i="24" s="1"/>
  <c r="AH39" i="24"/>
  <c r="AH40" i="24" s="1"/>
  <c r="AK23" i="24"/>
  <c r="AK24" i="24" s="1"/>
  <c r="AD90" i="25"/>
  <c r="AL47" i="23" s="1"/>
  <c r="AD88" i="25"/>
  <c r="AL45" i="23" s="1"/>
  <c r="AD89" i="25"/>
  <c r="AL46" i="23" s="1"/>
  <c r="AD87" i="25"/>
  <c r="AL44" i="23" s="1"/>
  <c r="AL43" i="23"/>
  <c r="AD90" i="26"/>
  <c r="AQ47" i="23" s="1"/>
  <c r="AD88" i="26"/>
  <c r="AQ45" i="23" s="1"/>
  <c r="AD89" i="26"/>
  <c r="AQ46" i="23" s="1"/>
  <c r="AD87" i="26"/>
  <c r="AQ44" i="23" s="1"/>
  <c r="AQ43" i="23"/>
  <c r="AB28" i="24"/>
  <c r="W23" i="25"/>
  <c r="W21" i="25"/>
  <c r="W22" i="25"/>
  <c r="W22" i="28"/>
  <c r="W23" i="28"/>
  <c r="W21" i="28"/>
  <c r="AH45" i="26"/>
  <c r="AK23" i="26"/>
  <c r="AK24" i="26" s="1"/>
  <c r="AK59" i="26"/>
  <c r="V40" i="26"/>
  <c r="V41" i="26" s="1"/>
  <c r="AH39" i="26"/>
  <c r="AH40" i="26" s="1"/>
  <c r="AH42" i="27"/>
  <c r="AH41" i="27"/>
  <c r="AH45" i="25"/>
  <c r="AK23" i="25"/>
  <c r="AK24" i="25" s="1"/>
  <c r="AK59" i="25"/>
  <c r="V40" i="25"/>
  <c r="V41" i="25" s="1"/>
  <c r="AH39" i="25"/>
  <c r="AH40" i="25" s="1"/>
  <c r="AK60" i="28"/>
  <c r="AH52" i="28"/>
  <c r="AK25" i="28"/>
  <c r="AK26" i="28" s="1"/>
  <c r="AH46" i="28"/>
  <c r="AH47" i="28" s="1"/>
  <c r="Y40" i="28"/>
  <c r="Y41" i="28" s="1"/>
  <c r="AF29" i="23"/>
  <c r="AK29" i="23" s="1"/>
  <c r="AP29" i="23" s="1"/>
  <c r="AU29" i="23" s="1"/>
  <c r="AZ29" i="23" s="1"/>
  <c r="AF26" i="23"/>
  <c r="AK26" i="23" s="1"/>
  <c r="AP26" i="23" s="1"/>
  <c r="AU26" i="23" s="1"/>
  <c r="AZ26" i="23" s="1"/>
  <c r="AF30" i="23"/>
  <c r="AK30" i="23" s="1"/>
  <c r="AP30" i="23" s="1"/>
  <c r="AU30" i="23" s="1"/>
  <c r="AZ30" i="23" s="1"/>
  <c r="AF33" i="23"/>
  <c r="AK33" i="23" s="1"/>
  <c r="AP33" i="23" s="1"/>
  <c r="AU33" i="23" s="1"/>
  <c r="AZ33" i="23" s="1"/>
  <c r="W23" i="27"/>
  <c r="W21" i="27"/>
  <c r="W22" i="27"/>
  <c r="AH42" i="24"/>
  <c r="AH41" i="24"/>
  <c r="AD89" i="27"/>
  <c r="AV46" i="23" s="1"/>
  <c r="AD87" i="27"/>
  <c r="AV44" i="23" s="1"/>
  <c r="AD90" i="27"/>
  <c r="AV47" i="23" s="1"/>
  <c r="AD88" i="27"/>
  <c r="AV45" i="23" s="1"/>
  <c r="AV43" i="23"/>
  <c r="W23" i="26"/>
  <c r="W21" i="26"/>
  <c r="W22" i="26"/>
  <c r="AH42" i="26"/>
  <c r="AH41" i="26"/>
  <c r="AD86" i="24"/>
  <c r="AD84" i="24"/>
  <c r="AG41" i="23" s="1"/>
  <c r="AD82" i="24"/>
  <c r="AG39" i="23" s="1"/>
  <c r="AD80" i="24"/>
  <c r="AG37" i="23" s="1"/>
  <c r="AD79" i="24"/>
  <c r="AG36" i="23" s="1"/>
  <c r="AD78" i="24"/>
  <c r="AG35" i="23" s="1"/>
  <c r="AD85" i="24"/>
  <c r="AG42" i="23" s="1"/>
  <c r="AD83" i="24"/>
  <c r="AG40" i="23" s="1"/>
  <c r="AD81" i="24"/>
  <c r="AG38" i="23" s="1"/>
  <c r="AG34" i="23"/>
  <c r="AF34" i="23" s="1"/>
  <c r="AK34" i="23" s="1"/>
  <c r="AP34" i="23" s="1"/>
  <c r="AU34" i="23" s="1"/>
  <c r="AZ34" i="23" s="1"/>
  <c r="AH45" i="27"/>
  <c r="AK23" i="27"/>
  <c r="AK24" i="27" s="1"/>
  <c r="AK59" i="27"/>
  <c r="V40" i="27"/>
  <c r="V41" i="27" s="1"/>
  <c r="AH39" i="27"/>
  <c r="AH40" i="27" s="1"/>
  <c r="AD85" i="28"/>
  <c r="BA42" i="23" s="1"/>
  <c r="AD83" i="28"/>
  <c r="BA40" i="23" s="1"/>
  <c r="AD81" i="28"/>
  <c r="BA38" i="23" s="1"/>
  <c r="AD86" i="28"/>
  <c r="AD84" i="28"/>
  <c r="BA41" i="23" s="1"/>
  <c r="AD82" i="28"/>
  <c r="BA39" i="23" s="1"/>
  <c r="AD80" i="28"/>
  <c r="BA37" i="23" s="1"/>
  <c r="AD79" i="28"/>
  <c r="BA36" i="23" s="1"/>
  <c r="AD78" i="28"/>
  <c r="BA35" i="23" s="1"/>
  <c r="BA34" i="23"/>
  <c r="AH42" i="25"/>
  <c r="AH41" i="25"/>
  <c r="AH48" i="28"/>
  <c r="AH49" i="28"/>
  <c r="AI17" i="26"/>
  <c r="AF31" i="23"/>
  <c r="AK31" i="23" s="1"/>
  <c r="AP31" i="23" s="1"/>
  <c r="AU31" i="23" s="1"/>
  <c r="AZ31" i="23" s="1"/>
  <c r="AF28" i="23"/>
  <c r="AK28" i="23" s="1"/>
  <c r="AP28" i="23" s="1"/>
  <c r="AU28" i="23" s="1"/>
  <c r="AZ28" i="23" s="1"/>
  <c r="AF32" i="23"/>
  <c r="AK32" i="23" s="1"/>
  <c r="AP32" i="23" s="1"/>
  <c r="AU32" i="23" s="1"/>
  <c r="AZ32" i="23" s="1"/>
  <c r="X28" i="24" l="1"/>
  <c r="AD89" i="28"/>
  <c r="BA46" i="23" s="1"/>
  <c r="AD87" i="28"/>
  <c r="BA44" i="23" s="1"/>
  <c r="AD90" i="28"/>
  <c r="BA47" i="23" s="1"/>
  <c r="AD88" i="28"/>
  <c r="BA45" i="23" s="1"/>
  <c r="BA43" i="23"/>
  <c r="AH46" i="27"/>
  <c r="AH47" i="27" s="1"/>
  <c r="Y40" i="27"/>
  <c r="Y41" i="27" s="1"/>
  <c r="AK60" i="27"/>
  <c r="AH52" i="27"/>
  <c r="AK25" i="27"/>
  <c r="AK26" i="27" s="1"/>
  <c r="AH49" i="27"/>
  <c r="AH48" i="27"/>
  <c r="AD90" i="24"/>
  <c r="AG47" i="23" s="1"/>
  <c r="AD88" i="24"/>
  <c r="AG45" i="23" s="1"/>
  <c r="AD89" i="24"/>
  <c r="AG46" i="23" s="1"/>
  <c r="AD87" i="24"/>
  <c r="AG44" i="23" s="1"/>
  <c r="AG43" i="23"/>
  <c r="AF43" i="23" s="1"/>
  <c r="AK43" i="23" s="1"/>
  <c r="AP43" i="23" s="1"/>
  <c r="AU43" i="23" s="1"/>
  <c r="AZ43" i="23" s="1"/>
  <c r="X28" i="26"/>
  <c r="Y28" i="24"/>
  <c r="X28" i="27"/>
  <c r="AH53" i="28"/>
  <c r="AH54" i="28" s="1"/>
  <c r="AK27" i="28"/>
  <c r="AK28" i="28" s="1"/>
  <c r="AH46" i="26"/>
  <c r="AH47" i="26" s="1"/>
  <c r="Y40" i="26"/>
  <c r="Y41" i="26" s="1"/>
  <c r="AK60" i="26"/>
  <c r="AH52" i="26"/>
  <c r="AK25" i="26"/>
  <c r="AK26" i="26" s="1"/>
  <c r="AH49" i="26"/>
  <c r="AH48" i="26"/>
  <c r="AB28" i="28"/>
  <c r="AD28" i="28"/>
  <c r="Z28" i="25"/>
  <c r="AB28" i="25"/>
  <c r="AD28" i="25"/>
  <c r="AA28" i="24"/>
  <c r="AH49" i="24"/>
  <c r="AH48" i="24"/>
  <c r="AF38" i="23"/>
  <c r="AK38" i="23" s="1"/>
  <c r="AP38" i="23" s="1"/>
  <c r="AU38" i="23" s="1"/>
  <c r="AZ38" i="23" s="1"/>
  <c r="AF42" i="23"/>
  <c r="AK42" i="23" s="1"/>
  <c r="AP42" i="23" s="1"/>
  <c r="AU42" i="23" s="1"/>
  <c r="AZ42" i="23" s="1"/>
  <c r="AF36" i="23"/>
  <c r="AK36" i="23" s="1"/>
  <c r="AP36" i="23" s="1"/>
  <c r="AU36" i="23" s="1"/>
  <c r="AZ36" i="23" s="1"/>
  <c r="AF39" i="23"/>
  <c r="AK39" i="23" s="1"/>
  <c r="AP39" i="23" s="1"/>
  <c r="AU39" i="23" s="1"/>
  <c r="AZ39" i="23" s="1"/>
  <c r="AI52" i="26"/>
  <c r="AI38" i="26"/>
  <c r="AI31" i="26"/>
  <c r="AI24" i="26"/>
  <c r="AI21" i="26"/>
  <c r="AI18" i="26"/>
  <c r="AI19" i="26" s="1"/>
  <c r="AI20" i="26" s="1"/>
  <c r="AI45" i="26"/>
  <c r="Z28" i="26"/>
  <c r="AB28" i="26"/>
  <c r="AD28" i="26"/>
  <c r="Z28" i="27"/>
  <c r="AB28" i="27"/>
  <c r="AD28" i="27"/>
  <c r="AH56" i="28"/>
  <c r="AH55" i="28"/>
  <c r="AH46" i="25"/>
  <c r="AH47" i="25" s="1"/>
  <c r="Y40" i="25"/>
  <c r="Y41" i="25" s="1"/>
  <c r="AK60" i="25"/>
  <c r="AH52" i="25"/>
  <c r="AK25" i="25"/>
  <c r="AK26" i="25" s="1"/>
  <c r="AH49" i="25"/>
  <c r="AH48" i="25"/>
  <c r="X28" i="28"/>
  <c r="Z28" i="28"/>
  <c r="X28" i="25"/>
  <c r="AB32" i="24"/>
  <c r="AC28" i="24"/>
  <c r="AH46" i="24"/>
  <c r="AH47" i="24" s="1"/>
  <c r="Y40" i="24"/>
  <c r="Y41" i="24" s="1"/>
  <c r="AK60" i="24"/>
  <c r="AH52" i="24"/>
  <c r="AK25" i="24"/>
  <c r="AK26" i="24" s="1"/>
  <c r="AF40" i="23"/>
  <c r="AK40" i="23" s="1"/>
  <c r="AP40" i="23" s="1"/>
  <c r="AU40" i="23" s="1"/>
  <c r="AZ40" i="23" s="1"/>
  <c r="AF35" i="23"/>
  <c r="AK35" i="23" s="1"/>
  <c r="AP35" i="23" s="1"/>
  <c r="AU35" i="23" s="1"/>
  <c r="AZ35" i="23" s="1"/>
  <c r="AF37" i="23"/>
  <c r="AK37" i="23" s="1"/>
  <c r="AP37" i="23" s="1"/>
  <c r="AU37" i="23" s="1"/>
  <c r="AZ37" i="23" s="1"/>
  <c r="AF41" i="23"/>
  <c r="AK41" i="23" s="1"/>
  <c r="AP41" i="23" s="1"/>
  <c r="AU41" i="23" s="1"/>
  <c r="AZ41" i="23" s="1"/>
  <c r="Y32" i="24" l="1"/>
  <c r="Z37" i="24" s="1"/>
  <c r="W28" i="24"/>
  <c r="AL33" i="24" s="1"/>
  <c r="AM33" i="24" s="1"/>
  <c r="AK40" i="24" s="1"/>
  <c r="AK41" i="24" s="1"/>
  <c r="AF44" i="23"/>
  <c r="AK44" i="23" s="1"/>
  <c r="AP44" i="23" s="1"/>
  <c r="AU44" i="23" s="1"/>
  <c r="AZ44" i="23" s="1"/>
  <c r="AF45" i="23"/>
  <c r="AK45" i="23" s="1"/>
  <c r="AP45" i="23" s="1"/>
  <c r="AU45" i="23" s="1"/>
  <c r="AZ45" i="23" s="1"/>
  <c r="AH53" i="24"/>
  <c r="AH54" i="24" s="1"/>
  <c r="AK27" i="24"/>
  <c r="AK28" i="24" s="1"/>
  <c r="AH56" i="24"/>
  <c r="AH55" i="24"/>
  <c r="AL36" i="24"/>
  <c r="AM36" i="24" s="1"/>
  <c r="AK46" i="24" s="1"/>
  <c r="AK47" i="24" s="1"/>
  <c r="X75" i="24"/>
  <c r="AF81" i="24" s="1"/>
  <c r="AI38" i="23" s="1"/>
  <c r="X72" i="24"/>
  <c r="AF78" i="24" s="1"/>
  <c r="AI35" i="23" s="1"/>
  <c r="AB42" i="23" s="1"/>
  <c r="X79" i="24"/>
  <c r="AF85" i="24" s="1"/>
  <c r="AI42" i="23" s="1"/>
  <c r="X77" i="24"/>
  <c r="AF83" i="24" s="1"/>
  <c r="AI40" i="23" s="1"/>
  <c r="X74" i="24"/>
  <c r="AF80" i="24" s="1"/>
  <c r="AI37" i="23" s="1"/>
  <c r="X73" i="24"/>
  <c r="AF79" i="24" s="1"/>
  <c r="AI36" i="23" s="1"/>
  <c r="X80" i="24"/>
  <c r="AF86" i="24" s="1"/>
  <c r="AI43" i="23" s="1"/>
  <c r="AC42" i="23" s="1"/>
  <c r="X78" i="24"/>
  <c r="AF84" i="24" s="1"/>
  <c r="AI41" i="23" s="1"/>
  <c r="X76" i="24"/>
  <c r="AF82" i="24" s="1"/>
  <c r="AI39" i="23" s="1"/>
  <c r="W80" i="24"/>
  <c r="AE86" i="24" s="1"/>
  <c r="W78" i="24"/>
  <c r="AE84" i="24" s="1"/>
  <c r="AH41" i="23" s="1"/>
  <c r="W76" i="24"/>
  <c r="AE82" i="24" s="1"/>
  <c r="AH39" i="23" s="1"/>
  <c r="W75" i="24"/>
  <c r="AE81" i="24" s="1"/>
  <c r="AH38" i="23" s="1"/>
  <c r="W72" i="24"/>
  <c r="AE78" i="24" s="1"/>
  <c r="AH35" i="23" s="1"/>
  <c r="W79" i="24"/>
  <c r="AE85" i="24" s="1"/>
  <c r="AH42" i="23" s="1"/>
  <c r="W77" i="24"/>
  <c r="AE83" i="24" s="1"/>
  <c r="AH40" i="23" s="1"/>
  <c r="W74" i="24"/>
  <c r="AE80" i="24" s="1"/>
  <c r="AH37" i="23" s="1"/>
  <c r="W73" i="24"/>
  <c r="AE79" i="24" s="1"/>
  <c r="AH36" i="23" s="1"/>
  <c r="Z41" i="24"/>
  <c r="AB60" i="23"/>
  <c r="AH56" i="25"/>
  <c r="AH55" i="25"/>
  <c r="AB32" i="27"/>
  <c r="AC28" i="27"/>
  <c r="AA32" i="27" s="1"/>
  <c r="AA28" i="26"/>
  <c r="Z32" i="26" s="1"/>
  <c r="Y28" i="26"/>
  <c r="Y32" i="26" s="1"/>
  <c r="AI49" i="26"/>
  <c r="AI46" i="26"/>
  <c r="AI47" i="26" s="1"/>
  <c r="AI48" i="26" s="1"/>
  <c r="AI35" i="26"/>
  <c r="AI32" i="26"/>
  <c r="AI33" i="26" s="1"/>
  <c r="AI34" i="26" s="1"/>
  <c r="AI56" i="26"/>
  <c r="AI53" i="26"/>
  <c r="AI54" i="26" s="1"/>
  <c r="AI55" i="26" s="1"/>
  <c r="AL35" i="24"/>
  <c r="AM35" i="24" s="1"/>
  <c r="AK44" i="24" s="1"/>
  <c r="AK45" i="24" s="1"/>
  <c r="AB66" i="24"/>
  <c r="AF76" i="24" s="1"/>
  <c r="AI33" i="23" s="1"/>
  <c r="AB62" i="24"/>
  <c r="AF72" i="24" s="1"/>
  <c r="AI29" i="23" s="1"/>
  <c r="AB65" i="24"/>
  <c r="AF75" i="24" s="1"/>
  <c r="AI32" i="23" s="1"/>
  <c r="AB61" i="24"/>
  <c r="AF71" i="24" s="1"/>
  <c r="AI28" i="23" s="1"/>
  <c r="AB59" i="24"/>
  <c r="AF69" i="24" s="1"/>
  <c r="AI26" i="23" s="1"/>
  <c r="Z42" i="23" s="1"/>
  <c r="AB64" i="24"/>
  <c r="AF74" i="24" s="1"/>
  <c r="AI31" i="23" s="1"/>
  <c r="AB67" i="24"/>
  <c r="AF77" i="24" s="1"/>
  <c r="AI34" i="23" s="1"/>
  <c r="AA42" i="23" s="1"/>
  <c r="AB63" i="24"/>
  <c r="AF73" i="24" s="1"/>
  <c r="AI30" i="23" s="1"/>
  <c r="AB60" i="24"/>
  <c r="AF70" i="24" s="1"/>
  <c r="AI27" i="23" s="1"/>
  <c r="AA67" i="24"/>
  <c r="AE77" i="24" s="1"/>
  <c r="AA63" i="24"/>
  <c r="AE73" i="24" s="1"/>
  <c r="AH30" i="23" s="1"/>
  <c r="AA60" i="24"/>
  <c r="AE70" i="24" s="1"/>
  <c r="AH27" i="23" s="1"/>
  <c r="AA66" i="24"/>
  <c r="AE76" i="24" s="1"/>
  <c r="AH33" i="23" s="1"/>
  <c r="AA62" i="24"/>
  <c r="AE72" i="24" s="1"/>
  <c r="AH29" i="23" s="1"/>
  <c r="AA65" i="24"/>
  <c r="AE75" i="24" s="1"/>
  <c r="AH32" i="23" s="1"/>
  <c r="AA61" i="24"/>
  <c r="AE71" i="24" s="1"/>
  <c r="AH28" i="23" s="1"/>
  <c r="AA59" i="24"/>
  <c r="AE69" i="24" s="1"/>
  <c r="AH26" i="23" s="1"/>
  <c r="AA64" i="24"/>
  <c r="AE74" i="24" s="1"/>
  <c r="AH31" i="23" s="1"/>
  <c r="AA28" i="25"/>
  <c r="Z32" i="25" s="1"/>
  <c r="Y28" i="25"/>
  <c r="Y32" i="25" s="1"/>
  <c r="AB32" i="28"/>
  <c r="AC28" i="28"/>
  <c r="AA32" i="28" s="1"/>
  <c r="AH56" i="26"/>
  <c r="AH55" i="26"/>
  <c r="W28" i="27"/>
  <c r="W28" i="26"/>
  <c r="AH56" i="27"/>
  <c r="AH55" i="27"/>
  <c r="AF46" i="23"/>
  <c r="AK46" i="23" s="1"/>
  <c r="AP46" i="23" s="1"/>
  <c r="AU46" i="23" s="1"/>
  <c r="AZ46" i="23" s="1"/>
  <c r="AF47" i="23"/>
  <c r="AK47" i="23" s="1"/>
  <c r="AP47" i="23" s="1"/>
  <c r="AU47" i="23" s="1"/>
  <c r="AZ47" i="23" s="1"/>
  <c r="W28" i="25"/>
  <c r="Y28" i="28"/>
  <c r="Y32" i="28" s="1"/>
  <c r="W28" i="28"/>
  <c r="AK27" i="25"/>
  <c r="AK28" i="25" s="1"/>
  <c r="AH53" i="25"/>
  <c r="AH54" i="25" s="1"/>
  <c r="AA28" i="27"/>
  <c r="Z32" i="27" s="1"/>
  <c r="Y28" i="27"/>
  <c r="AB32" i="26"/>
  <c r="AC28" i="26"/>
  <c r="AA32" i="26" s="1"/>
  <c r="AI28" i="26"/>
  <c r="AI25" i="26"/>
  <c r="AI26" i="26" s="1"/>
  <c r="AI27" i="26" s="1"/>
  <c r="AI39" i="26"/>
  <c r="AI40" i="26" s="1"/>
  <c r="AI41" i="26" s="1"/>
  <c r="AI42" i="26"/>
  <c r="AB32" i="25"/>
  <c r="AC28" i="25"/>
  <c r="AA28" i="28"/>
  <c r="AK27" i="26"/>
  <c r="AK28" i="26" s="1"/>
  <c r="AH53" i="26"/>
  <c r="AH54" i="26" s="1"/>
  <c r="AL34" i="24"/>
  <c r="AM34" i="24" s="1"/>
  <c r="AK42" i="24" s="1"/>
  <c r="AK43" i="24" s="1"/>
  <c r="X65" i="24"/>
  <c r="AF66" i="24" s="1"/>
  <c r="AI23" i="23" s="1"/>
  <c r="X61" i="24"/>
  <c r="AF62" i="24" s="1"/>
  <c r="AI19" i="23" s="1"/>
  <c r="X66" i="24"/>
  <c r="AF67" i="24" s="1"/>
  <c r="AI24" i="23" s="1"/>
  <c r="X62" i="24"/>
  <c r="AF63" i="24" s="1"/>
  <c r="AI20" i="23" s="1"/>
  <c r="X67" i="24"/>
  <c r="AF68" i="24" s="1"/>
  <c r="AI25" i="23" s="1"/>
  <c r="Y42" i="23" s="1"/>
  <c r="X63" i="24"/>
  <c r="AF64" i="24" s="1"/>
  <c r="AI21" i="23" s="1"/>
  <c r="X60" i="24"/>
  <c r="AF61" i="24" s="1"/>
  <c r="AI18" i="23" s="1"/>
  <c r="X64" i="24"/>
  <c r="AF65" i="24" s="1"/>
  <c r="AI22" i="23" s="1"/>
  <c r="X59" i="24"/>
  <c r="AF60" i="24" s="1"/>
  <c r="AI17" i="23" s="1"/>
  <c r="X42" i="23" s="1"/>
  <c r="W66" i="24"/>
  <c r="AE67" i="24" s="1"/>
  <c r="AH24" i="23" s="1"/>
  <c r="W62" i="24"/>
  <c r="AE63" i="24" s="1"/>
  <c r="AH20" i="23" s="1"/>
  <c r="W67" i="24"/>
  <c r="AE68" i="24" s="1"/>
  <c r="W63" i="24"/>
  <c r="AE64" i="24" s="1"/>
  <c r="AH21" i="23" s="1"/>
  <c r="W60" i="24"/>
  <c r="AE61" i="24" s="1"/>
  <c r="AH18" i="23" s="1"/>
  <c r="W64" i="24"/>
  <c r="AE65" i="24" s="1"/>
  <c r="AH22" i="23" s="1"/>
  <c r="W59" i="24"/>
  <c r="AE60" i="24" s="1"/>
  <c r="AH17" i="23" s="1"/>
  <c r="W65" i="24"/>
  <c r="AE66" i="24" s="1"/>
  <c r="AH23" i="23" s="1"/>
  <c r="W61" i="24"/>
  <c r="AE62" i="24" s="1"/>
  <c r="AH19" i="23" s="1"/>
  <c r="AK27" i="27"/>
  <c r="AK28" i="27" s="1"/>
  <c r="AH53" i="27"/>
  <c r="AH54" i="27" s="1"/>
  <c r="AA32" i="24"/>
  <c r="Z32" i="24"/>
  <c r="X32" i="24" l="1"/>
  <c r="W37" i="24" s="1"/>
  <c r="AB53" i="24"/>
  <c r="AF57" i="24" s="1"/>
  <c r="AI14" i="23" s="1"/>
  <c r="AA48" i="24"/>
  <c r="AE52" i="24" s="1"/>
  <c r="AH9" i="23" s="1"/>
  <c r="AA52" i="24"/>
  <c r="AE56" i="24" s="1"/>
  <c r="AH13" i="23" s="1"/>
  <c r="AB54" i="24"/>
  <c r="AF58" i="24" s="1"/>
  <c r="AI15" i="23" s="1"/>
  <c r="Y60" i="23"/>
  <c r="AA53" i="24"/>
  <c r="AE57" i="24" s="1"/>
  <c r="AH14" i="23" s="1"/>
  <c r="AA49" i="24"/>
  <c r="AE53" i="24" s="1"/>
  <c r="AH10" i="23" s="1"/>
  <c r="AB48" i="24"/>
  <c r="AF52" i="24" s="1"/>
  <c r="AI9" i="23" s="1"/>
  <c r="AB50" i="24"/>
  <c r="AF54" i="24" s="1"/>
  <c r="AI11" i="23" s="1"/>
  <c r="AA47" i="24"/>
  <c r="AE51" i="24" s="1"/>
  <c r="AH8" i="23" s="1"/>
  <c r="AA51" i="24"/>
  <c r="AE55" i="24" s="1"/>
  <c r="AH12" i="23" s="1"/>
  <c r="AA55" i="24"/>
  <c r="AE59" i="24" s="1"/>
  <c r="AL20" i="24" s="1"/>
  <c r="AB49" i="24"/>
  <c r="AF53" i="24" s="1"/>
  <c r="AI10" i="23" s="1"/>
  <c r="AA50" i="24"/>
  <c r="AE54" i="24" s="1"/>
  <c r="AH11" i="23" s="1"/>
  <c r="AA54" i="24"/>
  <c r="AE58" i="24" s="1"/>
  <c r="AH15" i="23" s="1"/>
  <c r="AB51" i="24"/>
  <c r="AF55" i="24" s="1"/>
  <c r="AI12" i="23" s="1"/>
  <c r="AB55" i="24"/>
  <c r="AF59" i="24" s="1"/>
  <c r="AI16" i="23" s="1"/>
  <c r="W42" i="23" s="1"/>
  <c r="AB52" i="24"/>
  <c r="AF56" i="24" s="1"/>
  <c r="AI13" i="23" s="1"/>
  <c r="AB47" i="24"/>
  <c r="AF51" i="24" s="1"/>
  <c r="AI8" i="23" s="1"/>
  <c r="V42" i="23" s="1"/>
  <c r="AN33" i="24"/>
  <c r="AL41" i="24" s="1"/>
  <c r="AI17" i="27"/>
  <c r="AI52" i="27" s="1"/>
  <c r="W41" i="26"/>
  <c r="AA62" i="23"/>
  <c r="Z37" i="28"/>
  <c r="Y64" i="23"/>
  <c r="AC37" i="27"/>
  <c r="Z63" i="23"/>
  <c r="AC37" i="25"/>
  <c r="Z61" i="23"/>
  <c r="AC37" i="24"/>
  <c r="Z60" i="23"/>
  <c r="AL35" i="28"/>
  <c r="AM35" i="28" s="1"/>
  <c r="AK44" i="28" s="1"/>
  <c r="AK45" i="28" s="1"/>
  <c r="AB59" i="28"/>
  <c r="AF69" i="28" s="1"/>
  <c r="BC26" i="23" s="1"/>
  <c r="Z54" i="23" s="1"/>
  <c r="AB60" i="28"/>
  <c r="AF70" i="28" s="1"/>
  <c r="BC27" i="23" s="1"/>
  <c r="AB61" i="28"/>
  <c r="AF71" i="28" s="1"/>
  <c r="BC28" i="23" s="1"/>
  <c r="AB63" i="28"/>
  <c r="AF73" i="28" s="1"/>
  <c r="BC30" i="23" s="1"/>
  <c r="AB65" i="28"/>
  <c r="AF75" i="28" s="1"/>
  <c r="BC32" i="23" s="1"/>
  <c r="AB67" i="28"/>
  <c r="AF77" i="28" s="1"/>
  <c r="BC34" i="23" s="1"/>
  <c r="AA54" i="23" s="1"/>
  <c r="AB64" i="28"/>
  <c r="AF74" i="28" s="1"/>
  <c r="BC31" i="23" s="1"/>
  <c r="AB66" i="28"/>
  <c r="AF76" i="28" s="1"/>
  <c r="BC33" i="23" s="1"/>
  <c r="AB62" i="28"/>
  <c r="AF72" i="28" s="1"/>
  <c r="BC29" i="23" s="1"/>
  <c r="AA64" i="28"/>
  <c r="AE74" i="28" s="1"/>
  <c r="BB31" i="23" s="1"/>
  <c r="AA65" i="28"/>
  <c r="AE75" i="28" s="1"/>
  <c r="BB32" i="23" s="1"/>
  <c r="AA61" i="28"/>
  <c r="AE71" i="28" s="1"/>
  <c r="BB28" i="23" s="1"/>
  <c r="AA59" i="28"/>
  <c r="AE69" i="28" s="1"/>
  <c r="BB26" i="23" s="1"/>
  <c r="AA66" i="28"/>
  <c r="AE76" i="28" s="1"/>
  <c r="BB33" i="23" s="1"/>
  <c r="AA62" i="28"/>
  <c r="AE72" i="28" s="1"/>
  <c r="BB29" i="23" s="1"/>
  <c r="AA67" i="28"/>
  <c r="AE77" i="28" s="1"/>
  <c r="AA63" i="28"/>
  <c r="AE73" i="28" s="1"/>
  <c r="BB30" i="23" s="1"/>
  <c r="AA60" i="28"/>
  <c r="AE70" i="28" s="1"/>
  <c r="BB27" i="23" s="1"/>
  <c r="W41" i="28"/>
  <c r="AA64" i="23"/>
  <c r="W41" i="24"/>
  <c r="AA60" i="23"/>
  <c r="AL22" i="24"/>
  <c r="AH25" i="23"/>
  <c r="AL36" i="25"/>
  <c r="AM36" i="25" s="1"/>
  <c r="AK46" i="25" s="1"/>
  <c r="AK47" i="25" s="1"/>
  <c r="X73" i="25"/>
  <c r="AF79" i="25" s="1"/>
  <c r="AN36" i="23" s="1"/>
  <c r="X75" i="25"/>
  <c r="AF81" i="25" s="1"/>
  <c r="AN38" i="23" s="1"/>
  <c r="X72" i="25"/>
  <c r="AF78" i="25" s="1"/>
  <c r="AN35" i="23" s="1"/>
  <c r="AB45" i="23" s="1"/>
  <c r="X77" i="25"/>
  <c r="AF83" i="25" s="1"/>
  <c r="AN40" i="23" s="1"/>
  <c r="X78" i="25"/>
  <c r="AF84" i="25" s="1"/>
  <c r="AN41" i="23" s="1"/>
  <c r="X74" i="25"/>
  <c r="AF80" i="25" s="1"/>
  <c r="AN37" i="23" s="1"/>
  <c r="X79" i="25"/>
  <c r="AF85" i="25" s="1"/>
  <c r="AN42" i="23" s="1"/>
  <c r="X80" i="25"/>
  <c r="AF86" i="25" s="1"/>
  <c r="AN43" i="23" s="1"/>
  <c r="AC45" i="23" s="1"/>
  <c r="X76" i="25"/>
  <c r="AF82" i="25" s="1"/>
  <c r="AN39" i="23" s="1"/>
  <c r="W80" i="25"/>
  <c r="AE86" i="25" s="1"/>
  <c r="W78" i="25"/>
  <c r="AE84" i="25" s="1"/>
  <c r="AM41" i="23" s="1"/>
  <c r="W76" i="25"/>
  <c r="AE82" i="25" s="1"/>
  <c r="AM39" i="23" s="1"/>
  <c r="W75" i="25"/>
  <c r="AE81" i="25" s="1"/>
  <c r="AM38" i="23" s="1"/>
  <c r="W72" i="25"/>
  <c r="AE78" i="25" s="1"/>
  <c r="AM35" i="23" s="1"/>
  <c r="W79" i="25"/>
  <c r="AE85" i="25" s="1"/>
  <c r="AM42" i="23" s="1"/>
  <c r="W77" i="25"/>
  <c r="AE83" i="25" s="1"/>
  <c r="AM40" i="23" s="1"/>
  <c r="W74" i="25"/>
  <c r="AE80" i="25" s="1"/>
  <c r="AM37" i="23" s="1"/>
  <c r="W73" i="25"/>
  <c r="AE79" i="25" s="1"/>
  <c r="AM36" i="23" s="1"/>
  <c r="Z41" i="25"/>
  <c r="AB61" i="23"/>
  <c r="AL34" i="27"/>
  <c r="AM34" i="27" s="1"/>
  <c r="AK42" i="27" s="1"/>
  <c r="AK43" i="27" s="1"/>
  <c r="X62" i="27"/>
  <c r="AF63" i="27" s="1"/>
  <c r="AX20" i="23" s="1"/>
  <c r="X64" i="27"/>
  <c r="AF65" i="27" s="1"/>
  <c r="AX22" i="23" s="1"/>
  <c r="X66" i="27"/>
  <c r="AF67" i="27" s="1"/>
  <c r="AX24" i="23" s="1"/>
  <c r="X67" i="27"/>
  <c r="AF68" i="27" s="1"/>
  <c r="AX25" i="23" s="1"/>
  <c r="Y51" i="23" s="1"/>
  <c r="X59" i="27"/>
  <c r="AF60" i="27" s="1"/>
  <c r="AX17" i="23" s="1"/>
  <c r="X51" i="23" s="1"/>
  <c r="X60" i="27"/>
  <c r="AF61" i="27" s="1"/>
  <c r="AX18" i="23" s="1"/>
  <c r="X63" i="27"/>
  <c r="AF64" i="27" s="1"/>
  <c r="AX21" i="23" s="1"/>
  <c r="X65" i="27"/>
  <c r="AF66" i="27" s="1"/>
  <c r="AX23" i="23" s="1"/>
  <c r="X61" i="27"/>
  <c r="AF62" i="27" s="1"/>
  <c r="AX19" i="23" s="1"/>
  <c r="W66" i="27"/>
  <c r="AE67" i="27" s="1"/>
  <c r="AW24" i="23" s="1"/>
  <c r="W62" i="27"/>
  <c r="AE63" i="27" s="1"/>
  <c r="AW20" i="23" s="1"/>
  <c r="W67" i="27"/>
  <c r="AE68" i="27" s="1"/>
  <c r="W63" i="27"/>
  <c r="AE64" i="27" s="1"/>
  <c r="AW21" i="23" s="1"/>
  <c r="W60" i="27"/>
  <c r="AE61" i="27" s="1"/>
  <c r="AW18" i="23" s="1"/>
  <c r="W64" i="27"/>
  <c r="AE65" i="27" s="1"/>
  <c r="AW22" i="23" s="1"/>
  <c r="W59" i="27"/>
  <c r="AE60" i="27" s="1"/>
  <c r="AW17" i="23" s="1"/>
  <c r="W65" i="27"/>
  <c r="AE66" i="27" s="1"/>
  <c r="AW23" i="23" s="1"/>
  <c r="W61" i="27"/>
  <c r="AE62" i="27" s="1"/>
  <c r="AW19" i="23" s="1"/>
  <c r="AL33" i="28"/>
  <c r="AM33" i="28" s="1"/>
  <c r="AK40" i="28" s="1"/>
  <c r="AK41" i="28" s="1"/>
  <c r="AB55" i="28"/>
  <c r="AF59" i="28" s="1"/>
  <c r="BC16" i="23" s="1"/>
  <c r="W54" i="23" s="1"/>
  <c r="AB47" i="28"/>
  <c r="AF51" i="28" s="1"/>
  <c r="BC8" i="23" s="1"/>
  <c r="V54" i="23" s="1"/>
  <c r="AB48" i="28"/>
  <c r="AF52" i="28" s="1"/>
  <c r="BC9" i="23" s="1"/>
  <c r="AB50" i="28"/>
  <c r="AF54" i="28" s="1"/>
  <c r="BC11" i="23" s="1"/>
  <c r="AB51" i="28"/>
  <c r="AF55" i="28" s="1"/>
  <c r="BC12" i="23" s="1"/>
  <c r="AB52" i="28"/>
  <c r="AF56" i="28" s="1"/>
  <c r="BC13" i="23" s="1"/>
  <c r="AB53" i="28"/>
  <c r="AF57" i="28" s="1"/>
  <c r="BC14" i="23" s="1"/>
  <c r="AB54" i="28"/>
  <c r="AF58" i="28" s="1"/>
  <c r="BC15" i="23" s="1"/>
  <c r="AA47" i="28"/>
  <c r="AE51" i="28" s="1"/>
  <c r="BB8" i="23" s="1"/>
  <c r="AA54" i="28"/>
  <c r="AE58" i="28" s="1"/>
  <c r="BB15" i="23" s="1"/>
  <c r="AA52" i="28"/>
  <c r="AE56" i="28" s="1"/>
  <c r="BB13" i="23" s="1"/>
  <c r="AA50" i="28"/>
  <c r="AE54" i="28" s="1"/>
  <c r="BB11" i="23" s="1"/>
  <c r="AB49" i="28"/>
  <c r="AF53" i="28" s="1"/>
  <c r="BC10" i="23" s="1"/>
  <c r="X32" i="28"/>
  <c r="AA49" i="28"/>
  <c r="AE53" i="28" s="1"/>
  <c r="BB10" i="23" s="1"/>
  <c r="AA55" i="28"/>
  <c r="AE59" i="28" s="1"/>
  <c r="AA53" i="28"/>
  <c r="AE57" i="28" s="1"/>
  <c r="BB14" i="23" s="1"/>
  <c r="AA51" i="28"/>
  <c r="AE55" i="28" s="1"/>
  <c r="BB12" i="23" s="1"/>
  <c r="AA48" i="28"/>
  <c r="AE52" i="28" s="1"/>
  <c r="BB9" i="23" s="1"/>
  <c r="AL33" i="25"/>
  <c r="AM33" i="25" s="1"/>
  <c r="AK40" i="25" s="1"/>
  <c r="AK41" i="25" s="1"/>
  <c r="AB49" i="25"/>
  <c r="AF53" i="25" s="1"/>
  <c r="AN10" i="23" s="1"/>
  <c r="AB50" i="25"/>
  <c r="AF54" i="25" s="1"/>
  <c r="AN11" i="23" s="1"/>
  <c r="AB51" i="25"/>
  <c r="AF55" i="25" s="1"/>
  <c r="AN12" i="23" s="1"/>
  <c r="AB52" i="25"/>
  <c r="AF56" i="25" s="1"/>
  <c r="AN13" i="23" s="1"/>
  <c r="AB53" i="25"/>
  <c r="AF57" i="25" s="1"/>
  <c r="AN14" i="23" s="1"/>
  <c r="AB54" i="25"/>
  <c r="AF58" i="25" s="1"/>
  <c r="AN15" i="23" s="1"/>
  <c r="AB55" i="25"/>
  <c r="AF59" i="25" s="1"/>
  <c r="AN16" i="23" s="1"/>
  <c r="W45" i="23" s="1"/>
  <c r="AB47" i="25"/>
  <c r="AF51" i="25" s="1"/>
  <c r="AN8" i="23" s="1"/>
  <c r="V45" i="23" s="1"/>
  <c r="AB48" i="25"/>
  <c r="AF52" i="25" s="1"/>
  <c r="AN9" i="23" s="1"/>
  <c r="AA54" i="25"/>
  <c r="AE58" i="25" s="1"/>
  <c r="AM15" i="23" s="1"/>
  <c r="AA52" i="25"/>
  <c r="AE56" i="25" s="1"/>
  <c r="AM13" i="23" s="1"/>
  <c r="AA50" i="25"/>
  <c r="AE54" i="25" s="1"/>
  <c r="AM11" i="23" s="1"/>
  <c r="AA49" i="25"/>
  <c r="AE53" i="25" s="1"/>
  <c r="AM10" i="23" s="1"/>
  <c r="X32" i="25"/>
  <c r="AA55" i="25"/>
  <c r="AE59" i="25" s="1"/>
  <c r="AA53" i="25"/>
  <c r="AE57" i="25" s="1"/>
  <c r="AM14" i="23" s="1"/>
  <c r="AA51" i="25"/>
  <c r="AE55" i="25" s="1"/>
  <c r="AM12" i="23" s="1"/>
  <c r="AA48" i="25"/>
  <c r="AE52" i="25" s="1"/>
  <c r="AM9" i="23" s="1"/>
  <c r="AA47" i="25"/>
  <c r="AE51" i="25" s="1"/>
  <c r="AM8" i="23" s="1"/>
  <c r="Z37" i="25"/>
  <c r="Y61" i="23"/>
  <c r="AL33" i="27"/>
  <c r="AM33" i="27" s="1"/>
  <c r="AK40" i="27" s="1"/>
  <c r="AK41" i="27" s="1"/>
  <c r="AB49" i="27"/>
  <c r="AF53" i="27" s="1"/>
  <c r="AX10" i="23" s="1"/>
  <c r="AB48" i="27"/>
  <c r="AF52" i="27" s="1"/>
  <c r="AX9" i="23" s="1"/>
  <c r="AB47" i="27"/>
  <c r="AF51" i="27" s="1"/>
  <c r="AX8" i="23" s="1"/>
  <c r="V51" i="23" s="1"/>
  <c r="AA54" i="27"/>
  <c r="AE58" i="27" s="1"/>
  <c r="AW15" i="23" s="1"/>
  <c r="AA52" i="27"/>
  <c r="AE56" i="27" s="1"/>
  <c r="AW13" i="23" s="1"/>
  <c r="AA50" i="27"/>
  <c r="AE54" i="27" s="1"/>
  <c r="AW11" i="23" s="1"/>
  <c r="AA49" i="27"/>
  <c r="AE53" i="27" s="1"/>
  <c r="AW10" i="23" s="1"/>
  <c r="AB54" i="27"/>
  <c r="AF58" i="27" s="1"/>
  <c r="AX15" i="23" s="1"/>
  <c r="AB52" i="27"/>
  <c r="AF56" i="27" s="1"/>
  <c r="AX13" i="23" s="1"/>
  <c r="AB50" i="27"/>
  <c r="AF54" i="27" s="1"/>
  <c r="AX11" i="23" s="1"/>
  <c r="X32" i="27"/>
  <c r="AA55" i="27"/>
  <c r="AE59" i="27" s="1"/>
  <c r="AA53" i="27"/>
  <c r="AE57" i="27" s="1"/>
  <c r="AW14" i="23" s="1"/>
  <c r="AA51" i="27"/>
  <c r="AE55" i="27" s="1"/>
  <c r="AW12" i="23" s="1"/>
  <c r="AA48" i="27"/>
  <c r="AE52" i="27" s="1"/>
  <c r="AW9" i="23" s="1"/>
  <c r="AA47" i="27"/>
  <c r="AE51" i="27" s="1"/>
  <c r="AW8" i="23" s="1"/>
  <c r="AB55" i="27"/>
  <c r="AF59" i="27" s="1"/>
  <c r="AX16" i="23" s="1"/>
  <c r="W51" i="23" s="1"/>
  <c r="AB53" i="27"/>
  <c r="AF57" i="27" s="1"/>
  <c r="AX14" i="23" s="1"/>
  <c r="AB51" i="27"/>
  <c r="AF55" i="27" s="1"/>
  <c r="AX12" i="23" s="1"/>
  <c r="AL34" i="25"/>
  <c r="AM34" i="25" s="1"/>
  <c r="AK42" i="25" s="1"/>
  <c r="AK43" i="25" s="1"/>
  <c r="X67" i="25"/>
  <c r="AF68" i="25" s="1"/>
  <c r="AN25" i="23" s="1"/>
  <c r="Y45" i="23" s="1"/>
  <c r="X59" i="25"/>
  <c r="AF60" i="25" s="1"/>
  <c r="AN17" i="23" s="1"/>
  <c r="X45" i="23" s="1"/>
  <c r="X60" i="25"/>
  <c r="AF61" i="25" s="1"/>
  <c r="AN18" i="23" s="1"/>
  <c r="X61" i="25"/>
  <c r="AF62" i="25" s="1"/>
  <c r="AN19" i="23" s="1"/>
  <c r="X63" i="25"/>
  <c r="AF64" i="25" s="1"/>
  <c r="AN21" i="23" s="1"/>
  <c r="X65" i="25"/>
  <c r="AF66" i="25" s="1"/>
  <c r="AN23" i="23" s="1"/>
  <c r="X64" i="25"/>
  <c r="AF65" i="25" s="1"/>
  <c r="AN22" i="23" s="1"/>
  <c r="X66" i="25"/>
  <c r="AF67" i="25" s="1"/>
  <c r="AN24" i="23" s="1"/>
  <c r="X62" i="25"/>
  <c r="AF63" i="25" s="1"/>
  <c r="AN20" i="23" s="1"/>
  <c r="W64" i="25"/>
  <c r="AE65" i="25" s="1"/>
  <c r="AM22" i="23" s="1"/>
  <c r="W59" i="25"/>
  <c r="AE60" i="25" s="1"/>
  <c r="AM17" i="23" s="1"/>
  <c r="W61" i="25"/>
  <c r="AE62" i="25" s="1"/>
  <c r="AM19" i="23" s="1"/>
  <c r="W66" i="25"/>
  <c r="AE67" i="25" s="1"/>
  <c r="AM24" i="23" s="1"/>
  <c r="W62" i="25"/>
  <c r="AE63" i="25" s="1"/>
  <c r="AM20" i="23" s="1"/>
  <c r="W67" i="25"/>
  <c r="AE68" i="25" s="1"/>
  <c r="W63" i="25"/>
  <c r="AE64" i="25" s="1"/>
  <c r="AM21" i="23" s="1"/>
  <c r="W60" i="25"/>
  <c r="AE61" i="25" s="1"/>
  <c r="AM18" i="23" s="1"/>
  <c r="W65" i="25"/>
  <c r="AE66" i="25" s="1"/>
  <c r="AM23" i="23" s="1"/>
  <c r="AH34" i="23"/>
  <c r="AL24" i="24"/>
  <c r="AL35" i="26"/>
  <c r="AM35" i="26" s="1"/>
  <c r="AK44" i="26" s="1"/>
  <c r="AK45" i="26" s="1"/>
  <c r="AB66" i="26"/>
  <c r="AF76" i="26" s="1"/>
  <c r="AS33" i="23" s="1"/>
  <c r="AB67" i="26"/>
  <c r="AF77" i="26" s="1"/>
  <c r="AS34" i="23" s="1"/>
  <c r="AA48" i="23" s="1"/>
  <c r="AB63" i="26"/>
  <c r="AF73" i="26" s="1"/>
  <c r="AS30" i="23" s="1"/>
  <c r="AB61" i="26"/>
  <c r="AF71" i="26" s="1"/>
  <c r="AS28" i="23" s="1"/>
  <c r="AB59" i="26"/>
  <c r="AF69" i="26" s="1"/>
  <c r="AS26" i="23" s="1"/>
  <c r="Z48" i="23" s="1"/>
  <c r="AB64" i="26"/>
  <c r="AF74" i="26" s="1"/>
  <c r="AS31" i="23" s="1"/>
  <c r="AB65" i="26"/>
  <c r="AF75" i="26" s="1"/>
  <c r="AS32" i="23" s="1"/>
  <c r="AB62" i="26"/>
  <c r="AF72" i="26" s="1"/>
  <c r="AS29" i="23" s="1"/>
  <c r="AB60" i="26"/>
  <c r="AF70" i="26" s="1"/>
  <c r="AS27" i="23" s="1"/>
  <c r="AA67" i="26"/>
  <c r="AE77" i="26" s="1"/>
  <c r="AA63" i="26"/>
  <c r="AE73" i="26" s="1"/>
  <c r="AR30" i="23" s="1"/>
  <c r="AA64" i="26"/>
  <c r="AE74" i="26" s="1"/>
  <c r="AR31" i="23" s="1"/>
  <c r="AA60" i="26"/>
  <c r="AE70" i="26" s="1"/>
  <c r="AR27" i="23" s="1"/>
  <c r="AA62" i="26"/>
  <c r="AE72" i="26" s="1"/>
  <c r="AR29" i="23" s="1"/>
  <c r="AA65" i="26"/>
  <c r="AE75" i="26" s="1"/>
  <c r="AR32" i="23" s="1"/>
  <c r="AA66" i="26"/>
  <c r="AE76" i="26" s="1"/>
  <c r="AR33" i="23" s="1"/>
  <c r="AA61" i="26"/>
  <c r="AE71" i="26" s="1"/>
  <c r="AR28" i="23" s="1"/>
  <c r="AA59" i="26"/>
  <c r="AE69" i="26" s="1"/>
  <c r="AR26" i="23" s="1"/>
  <c r="AL26" i="24"/>
  <c r="AH43" i="23"/>
  <c r="Y32" i="27"/>
  <c r="AN35" i="24"/>
  <c r="AL45" i="24" s="1"/>
  <c r="AN36" i="24"/>
  <c r="AL47" i="24" s="1"/>
  <c r="AL36" i="26"/>
  <c r="AM36" i="26" s="1"/>
  <c r="AK46" i="26" s="1"/>
  <c r="AK47" i="26" s="1"/>
  <c r="X75" i="26"/>
  <c r="AF81" i="26" s="1"/>
  <c r="AS38" i="23" s="1"/>
  <c r="X72" i="26"/>
  <c r="AF78" i="26" s="1"/>
  <c r="AS35" i="23" s="1"/>
  <c r="AB48" i="23" s="1"/>
  <c r="X79" i="26"/>
  <c r="AF85" i="26" s="1"/>
  <c r="AS42" i="23" s="1"/>
  <c r="X77" i="26"/>
  <c r="AF83" i="26" s="1"/>
  <c r="AS40" i="23" s="1"/>
  <c r="X74" i="26"/>
  <c r="AF80" i="26" s="1"/>
  <c r="AS37" i="23" s="1"/>
  <c r="X73" i="26"/>
  <c r="AF79" i="26" s="1"/>
  <c r="AS36" i="23" s="1"/>
  <c r="X80" i="26"/>
  <c r="AF86" i="26" s="1"/>
  <c r="AS43" i="23" s="1"/>
  <c r="AC48" i="23" s="1"/>
  <c r="X78" i="26"/>
  <c r="AF84" i="26" s="1"/>
  <c r="AS41" i="23" s="1"/>
  <c r="X76" i="26"/>
  <c r="AF82" i="26" s="1"/>
  <c r="AS39" i="23" s="1"/>
  <c r="W80" i="26"/>
  <c r="AE86" i="26" s="1"/>
  <c r="W78" i="26"/>
  <c r="AE84" i="26" s="1"/>
  <c r="AR41" i="23" s="1"/>
  <c r="W76" i="26"/>
  <c r="AE82" i="26" s="1"/>
  <c r="AR39" i="23" s="1"/>
  <c r="W75" i="26"/>
  <c r="AE81" i="26" s="1"/>
  <c r="AR38" i="23" s="1"/>
  <c r="W72" i="26"/>
  <c r="AE78" i="26" s="1"/>
  <c r="AR35" i="23" s="1"/>
  <c r="W79" i="26"/>
  <c r="AE85" i="26" s="1"/>
  <c r="AR42" i="23" s="1"/>
  <c r="W77" i="26"/>
  <c r="AE83" i="26" s="1"/>
  <c r="AR40" i="23" s="1"/>
  <c r="W74" i="26"/>
  <c r="AE80" i="26" s="1"/>
  <c r="AR37" i="23" s="1"/>
  <c r="W73" i="26"/>
  <c r="AE79" i="26" s="1"/>
  <c r="AR36" i="23" s="1"/>
  <c r="Z41" i="26"/>
  <c r="AB62" i="23"/>
  <c r="AL35" i="27"/>
  <c r="AM35" i="27" s="1"/>
  <c r="AK44" i="27" s="1"/>
  <c r="AK45" i="27" s="1"/>
  <c r="AB59" i="27"/>
  <c r="AF69" i="27" s="1"/>
  <c r="AX26" i="23" s="1"/>
  <c r="Z51" i="23" s="1"/>
  <c r="AB60" i="27"/>
  <c r="AF70" i="27" s="1"/>
  <c r="AX27" i="23" s="1"/>
  <c r="AB61" i="27"/>
  <c r="AF71" i="27" s="1"/>
  <c r="AX28" i="23" s="1"/>
  <c r="AB63" i="27"/>
  <c r="AF73" i="27" s="1"/>
  <c r="AX30" i="23" s="1"/>
  <c r="AB65" i="27"/>
  <c r="AF75" i="27" s="1"/>
  <c r="AX32" i="23" s="1"/>
  <c r="AB67" i="27"/>
  <c r="AF77" i="27" s="1"/>
  <c r="AX34" i="23" s="1"/>
  <c r="AA51" i="23" s="1"/>
  <c r="AB66" i="27"/>
  <c r="AF76" i="27" s="1"/>
  <c r="AX33" i="23" s="1"/>
  <c r="AB64" i="27"/>
  <c r="AF74" i="27" s="1"/>
  <c r="AX31" i="23" s="1"/>
  <c r="AB62" i="27"/>
  <c r="AF72" i="27" s="1"/>
  <c r="AX29" i="23" s="1"/>
  <c r="AA65" i="27"/>
  <c r="AE75" i="27" s="1"/>
  <c r="AW32" i="23" s="1"/>
  <c r="AA61" i="27"/>
  <c r="AE71" i="27" s="1"/>
  <c r="AW28" i="23" s="1"/>
  <c r="AA59" i="27"/>
  <c r="AE69" i="27" s="1"/>
  <c r="AW26" i="23" s="1"/>
  <c r="AA64" i="27"/>
  <c r="AE74" i="27" s="1"/>
  <c r="AW31" i="23" s="1"/>
  <c r="AA67" i="27"/>
  <c r="AE77" i="27" s="1"/>
  <c r="AA63" i="27"/>
  <c r="AE73" i="27" s="1"/>
  <c r="AW30" i="23" s="1"/>
  <c r="AA60" i="27"/>
  <c r="AE70" i="27" s="1"/>
  <c r="AW27" i="23" s="1"/>
  <c r="AA66" i="27"/>
  <c r="AE76" i="27" s="1"/>
  <c r="AW33" i="23" s="1"/>
  <c r="AA62" i="27"/>
  <c r="AE72" i="27" s="1"/>
  <c r="AW29" i="23" s="1"/>
  <c r="W41" i="27"/>
  <c r="AA63" i="23"/>
  <c r="AL34" i="28"/>
  <c r="AM34" i="28" s="1"/>
  <c r="AK42" i="28" s="1"/>
  <c r="AK43" i="28" s="1"/>
  <c r="X62" i="28"/>
  <c r="AF63" i="28" s="1"/>
  <c r="BC20" i="23" s="1"/>
  <c r="X64" i="28"/>
  <c r="AF65" i="28" s="1"/>
  <c r="BC22" i="23" s="1"/>
  <c r="X66" i="28"/>
  <c r="AF67" i="28" s="1"/>
  <c r="BC24" i="23" s="1"/>
  <c r="X59" i="28"/>
  <c r="AF60" i="28" s="1"/>
  <c r="BC17" i="23" s="1"/>
  <c r="X54" i="23" s="1"/>
  <c r="X65" i="28"/>
  <c r="AF66" i="28" s="1"/>
  <c r="BC23" i="23" s="1"/>
  <c r="X60" i="28"/>
  <c r="AF61" i="28" s="1"/>
  <c r="BC18" i="23" s="1"/>
  <c r="X67" i="28"/>
  <c r="AF68" i="28" s="1"/>
  <c r="BC25" i="23" s="1"/>
  <c r="Y54" i="23" s="1"/>
  <c r="X61" i="28"/>
  <c r="AF62" i="28" s="1"/>
  <c r="BC19" i="23" s="1"/>
  <c r="X63" i="28"/>
  <c r="AF64" i="28" s="1"/>
  <c r="BC21" i="23" s="1"/>
  <c r="W65" i="28"/>
  <c r="AE66" i="28" s="1"/>
  <c r="BB23" i="23" s="1"/>
  <c r="W61" i="28"/>
  <c r="AE62" i="28" s="1"/>
  <c r="BB19" i="23" s="1"/>
  <c r="W64" i="28"/>
  <c r="AE65" i="28" s="1"/>
  <c r="BB22" i="23" s="1"/>
  <c r="W59" i="28"/>
  <c r="AE60" i="28" s="1"/>
  <c r="BB17" i="23" s="1"/>
  <c r="W67" i="28"/>
  <c r="AE68" i="28" s="1"/>
  <c r="W63" i="28"/>
  <c r="AE64" i="28" s="1"/>
  <c r="BB21" i="23" s="1"/>
  <c r="W60" i="28"/>
  <c r="AE61" i="28" s="1"/>
  <c r="BB18" i="23" s="1"/>
  <c r="W66" i="28"/>
  <c r="AE67" i="28" s="1"/>
  <c r="BB24" i="23" s="1"/>
  <c r="W62" i="28"/>
  <c r="AE63" i="28" s="1"/>
  <c r="BB20" i="23" s="1"/>
  <c r="AL33" i="26"/>
  <c r="AM33" i="26" s="1"/>
  <c r="AK40" i="26" s="1"/>
  <c r="AK41" i="26" s="1"/>
  <c r="AB49" i="26"/>
  <c r="AF53" i="26" s="1"/>
  <c r="AS10" i="23" s="1"/>
  <c r="AB50" i="26"/>
  <c r="AF54" i="26" s="1"/>
  <c r="AS11" i="23" s="1"/>
  <c r="AB51" i="26"/>
  <c r="AF55" i="26" s="1"/>
  <c r="AS12" i="23" s="1"/>
  <c r="AB52" i="26"/>
  <c r="AF56" i="26" s="1"/>
  <c r="AS13" i="23" s="1"/>
  <c r="AB53" i="26"/>
  <c r="AF57" i="26" s="1"/>
  <c r="AS14" i="23" s="1"/>
  <c r="AB54" i="26"/>
  <c r="AF58" i="26" s="1"/>
  <c r="AS15" i="23" s="1"/>
  <c r="AB55" i="26"/>
  <c r="AF59" i="26" s="1"/>
  <c r="AS16" i="23" s="1"/>
  <c r="W48" i="23" s="1"/>
  <c r="AB47" i="26"/>
  <c r="AF51" i="26" s="1"/>
  <c r="AS8" i="23" s="1"/>
  <c r="V48" i="23" s="1"/>
  <c r="X32" i="26"/>
  <c r="AA55" i="26"/>
  <c r="AE59" i="26" s="1"/>
  <c r="AA53" i="26"/>
  <c r="AE57" i="26" s="1"/>
  <c r="AR14" i="23" s="1"/>
  <c r="AA51" i="26"/>
  <c r="AE55" i="26" s="1"/>
  <c r="AR12" i="23" s="1"/>
  <c r="AA48" i="26"/>
  <c r="AE52" i="26" s="1"/>
  <c r="AR9" i="23" s="1"/>
  <c r="AA47" i="26"/>
  <c r="AE51" i="26" s="1"/>
  <c r="AR8" i="23" s="1"/>
  <c r="AB48" i="26"/>
  <c r="AF52" i="26" s="1"/>
  <c r="AS9" i="23" s="1"/>
  <c r="AA54" i="26"/>
  <c r="AE58" i="26" s="1"/>
  <c r="AR15" i="23" s="1"/>
  <c r="AA52" i="26"/>
  <c r="AE56" i="26" s="1"/>
  <c r="AR13" i="23" s="1"/>
  <c r="AA50" i="26"/>
  <c r="AE54" i="26" s="1"/>
  <c r="AR11" i="23" s="1"/>
  <c r="AA49" i="26"/>
  <c r="AE53" i="26" s="1"/>
  <c r="AR10" i="23" s="1"/>
  <c r="Z37" i="26"/>
  <c r="Y62" i="23"/>
  <c r="AL36" i="28"/>
  <c r="AM36" i="28" s="1"/>
  <c r="AK46" i="28" s="1"/>
  <c r="AK47" i="28" s="1"/>
  <c r="X80" i="28"/>
  <c r="AF86" i="28" s="1"/>
  <c r="BC43" i="23" s="1"/>
  <c r="AC54" i="23" s="1"/>
  <c r="X72" i="28"/>
  <c r="AF78" i="28" s="1"/>
  <c r="BC35" i="23" s="1"/>
  <c r="AB54" i="23" s="1"/>
  <c r="X74" i="28"/>
  <c r="AF80" i="28" s="1"/>
  <c r="BC37" i="23" s="1"/>
  <c r="X76" i="28"/>
  <c r="AF82" i="28" s="1"/>
  <c r="BC39" i="23" s="1"/>
  <c r="X77" i="28"/>
  <c r="AF83" i="28" s="1"/>
  <c r="BC40" i="23" s="1"/>
  <c r="X78" i="28"/>
  <c r="AF84" i="28" s="1"/>
  <c r="BC41" i="23" s="1"/>
  <c r="X79" i="28"/>
  <c r="AF85" i="28" s="1"/>
  <c r="BC42" i="23" s="1"/>
  <c r="X73" i="28"/>
  <c r="AF79" i="28" s="1"/>
  <c r="BC36" i="23" s="1"/>
  <c r="X75" i="28"/>
  <c r="AF81" i="28" s="1"/>
  <c r="BC38" i="23" s="1"/>
  <c r="W73" i="28"/>
  <c r="AE79" i="28" s="1"/>
  <c r="BB36" i="23" s="1"/>
  <c r="W79" i="28"/>
  <c r="AE85" i="28" s="1"/>
  <c r="BB42" i="23" s="1"/>
  <c r="W77" i="28"/>
  <c r="AE83" i="28" s="1"/>
  <c r="BB40" i="23" s="1"/>
  <c r="W74" i="28"/>
  <c r="AE80" i="28" s="1"/>
  <c r="BB37" i="23" s="1"/>
  <c r="W75" i="28"/>
  <c r="AE81" i="28" s="1"/>
  <c r="BB38" i="23" s="1"/>
  <c r="W72" i="28"/>
  <c r="AE78" i="28" s="1"/>
  <c r="BB35" i="23" s="1"/>
  <c r="W80" i="28"/>
  <c r="AE86" i="28" s="1"/>
  <c r="W78" i="28"/>
  <c r="AE84" i="28" s="1"/>
  <c r="BB41" i="23" s="1"/>
  <c r="W76" i="28"/>
  <c r="AE82" i="28" s="1"/>
  <c r="BB39" i="23" s="1"/>
  <c r="Z41" i="28"/>
  <c r="AB64" i="23"/>
  <c r="AL35" i="25"/>
  <c r="AM35" i="25" s="1"/>
  <c r="AK44" i="25" s="1"/>
  <c r="AK45" i="25" s="1"/>
  <c r="AB62" i="25"/>
  <c r="AF72" i="25" s="1"/>
  <c r="AN29" i="23" s="1"/>
  <c r="AB64" i="25"/>
  <c r="AF74" i="25" s="1"/>
  <c r="AN31" i="23" s="1"/>
  <c r="AB66" i="25"/>
  <c r="AF76" i="25" s="1"/>
  <c r="AN33" i="23" s="1"/>
  <c r="AB59" i="25"/>
  <c r="AF69" i="25" s="1"/>
  <c r="AN26" i="23" s="1"/>
  <c r="Z45" i="23" s="1"/>
  <c r="AB60" i="25"/>
  <c r="AF70" i="25" s="1"/>
  <c r="AN27" i="23" s="1"/>
  <c r="AB65" i="25"/>
  <c r="AF75" i="25" s="1"/>
  <c r="AN32" i="23" s="1"/>
  <c r="AB61" i="25"/>
  <c r="AF71" i="25" s="1"/>
  <c r="AN28" i="23" s="1"/>
  <c r="AB67" i="25"/>
  <c r="AF77" i="25" s="1"/>
  <c r="AN34" i="23" s="1"/>
  <c r="AA45" i="23" s="1"/>
  <c r="AB63" i="25"/>
  <c r="AF73" i="25" s="1"/>
  <c r="AN30" i="23" s="1"/>
  <c r="AA67" i="25"/>
  <c r="AE77" i="25" s="1"/>
  <c r="AA63" i="25"/>
  <c r="AE73" i="25" s="1"/>
  <c r="AM30" i="23" s="1"/>
  <c r="AA60" i="25"/>
  <c r="AE70" i="25" s="1"/>
  <c r="AM27" i="23" s="1"/>
  <c r="AA66" i="25"/>
  <c r="AE76" i="25" s="1"/>
  <c r="AM33" i="23" s="1"/>
  <c r="AA62" i="25"/>
  <c r="AE72" i="25" s="1"/>
  <c r="AM29" i="23" s="1"/>
  <c r="AA65" i="25"/>
  <c r="AE75" i="25" s="1"/>
  <c r="AM32" i="23" s="1"/>
  <c r="AA61" i="25"/>
  <c r="AE71" i="25" s="1"/>
  <c r="AM28" i="23" s="1"/>
  <c r="AA59" i="25"/>
  <c r="AE69" i="25" s="1"/>
  <c r="AM26" i="23" s="1"/>
  <c r="AA64" i="25"/>
  <c r="AE74" i="25" s="1"/>
  <c r="AM31" i="23" s="1"/>
  <c r="AL34" i="26"/>
  <c r="AM34" i="26" s="1"/>
  <c r="AK42" i="26" s="1"/>
  <c r="AK43" i="26" s="1"/>
  <c r="X65" i="26"/>
  <c r="AF66" i="26" s="1"/>
  <c r="AS23" i="23" s="1"/>
  <c r="X66" i="26"/>
  <c r="AF67" i="26" s="1"/>
  <c r="AS24" i="23" s="1"/>
  <c r="X59" i="26"/>
  <c r="AF60" i="26" s="1"/>
  <c r="AS17" i="23" s="1"/>
  <c r="X48" i="23" s="1"/>
  <c r="X64" i="26"/>
  <c r="AF65" i="26" s="1"/>
  <c r="AS22" i="23" s="1"/>
  <c r="X62" i="26"/>
  <c r="AF63" i="26" s="1"/>
  <c r="AS20" i="23" s="1"/>
  <c r="X67" i="26"/>
  <c r="AF68" i="26" s="1"/>
  <c r="AS25" i="23" s="1"/>
  <c r="Y48" i="23" s="1"/>
  <c r="X60" i="26"/>
  <c r="AF61" i="26" s="1"/>
  <c r="AS18" i="23" s="1"/>
  <c r="X61" i="26"/>
  <c r="AF62" i="26" s="1"/>
  <c r="AS19" i="23" s="1"/>
  <c r="X63" i="26"/>
  <c r="AF64" i="26" s="1"/>
  <c r="AS21" i="23" s="1"/>
  <c r="W66" i="26"/>
  <c r="AE67" i="26" s="1"/>
  <c r="AR24" i="23" s="1"/>
  <c r="W67" i="26"/>
  <c r="AE68" i="26" s="1"/>
  <c r="W63" i="26"/>
  <c r="AE64" i="26" s="1"/>
  <c r="AR21" i="23" s="1"/>
  <c r="W59" i="26"/>
  <c r="AE60" i="26" s="1"/>
  <c r="AR17" i="23" s="1"/>
  <c r="W60" i="26"/>
  <c r="AE61" i="26" s="1"/>
  <c r="AR18" i="23" s="1"/>
  <c r="W64" i="26"/>
  <c r="AE65" i="26" s="1"/>
  <c r="AR22" i="23" s="1"/>
  <c r="W65" i="26"/>
  <c r="AE66" i="26" s="1"/>
  <c r="AR23" i="23" s="1"/>
  <c r="W62" i="26"/>
  <c r="AE63" i="26" s="1"/>
  <c r="AR20" i="23" s="1"/>
  <c r="W61" i="26"/>
  <c r="AE62" i="26" s="1"/>
  <c r="AR19" i="23" s="1"/>
  <c r="AC37" i="26"/>
  <c r="Z62" i="23"/>
  <c r="AL36" i="27"/>
  <c r="AM36" i="27" s="1"/>
  <c r="AK46" i="27" s="1"/>
  <c r="AK47" i="27" s="1"/>
  <c r="X79" i="27"/>
  <c r="AF85" i="27" s="1"/>
  <c r="AX42" i="23" s="1"/>
  <c r="X77" i="27"/>
  <c r="AF83" i="27" s="1"/>
  <c r="AX40" i="23" s="1"/>
  <c r="X75" i="27"/>
  <c r="AF81" i="27" s="1"/>
  <c r="AX38" i="23" s="1"/>
  <c r="X72" i="27"/>
  <c r="AF78" i="27" s="1"/>
  <c r="AX35" i="23" s="1"/>
  <c r="AB51" i="23" s="1"/>
  <c r="X80" i="27"/>
  <c r="AF86" i="27" s="1"/>
  <c r="AX43" i="23" s="1"/>
  <c r="AC51" i="23" s="1"/>
  <c r="X78" i="27"/>
  <c r="AF84" i="27" s="1"/>
  <c r="AX41" i="23" s="1"/>
  <c r="X76" i="27"/>
  <c r="AF82" i="27" s="1"/>
  <c r="AX39" i="23" s="1"/>
  <c r="X73" i="27"/>
  <c r="AF79" i="27" s="1"/>
  <c r="AX36" i="23" s="1"/>
  <c r="X74" i="27"/>
  <c r="AF80" i="27" s="1"/>
  <c r="AX37" i="23" s="1"/>
  <c r="W80" i="27"/>
  <c r="AE86" i="27" s="1"/>
  <c r="W78" i="27"/>
  <c r="AE84" i="27" s="1"/>
  <c r="AW41" i="23" s="1"/>
  <c r="W76" i="27"/>
  <c r="AE82" i="27" s="1"/>
  <c r="AW39" i="23" s="1"/>
  <c r="W73" i="27"/>
  <c r="AE79" i="27" s="1"/>
  <c r="AW36" i="23" s="1"/>
  <c r="W75" i="27"/>
  <c r="AE81" i="27" s="1"/>
  <c r="AW38" i="23" s="1"/>
  <c r="W79" i="27"/>
  <c r="AE85" i="27" s="1"/>
  <c r="AW42" i="23" s="1"/>
  <c r="W77" i="27"/>
  <c r="AE83" i="27" s="1"/>
  <c r="AW40" i="23" s="1"/>
  <c r="W74" i="27"/>
  <c r="AE80" i="27" s="1"/>
  <c r="AW37" i="23" s="1"/>
  <c r="W72" i="27"/>
  <c r="AE78" i="27" s="1"/>
  <c r="AW35" i="23" s="1"/>
  <c r="Z41" i="27"/>
  <c r="AB63" i="23"/>
  <c r="Z32" i="28"/>
  <c r="AA32" i="25"/>
  <c r="AH16" i="23" l="1"/>
  <c r="X60" i="23"/>
  <c r="AN34" i="24"/>
  <c r="AL43" i="24" s="1"/>
  <c r="AN36" i="26"/>
  <c r="AL47" i="26" s="1"/>
  <c r="AN36" i="27"/>
  <c r="AL47" i="27" s="1"/>
  <c r="AI24" i="27"/>
  <c r="AI25" i="27" s="1"/>
  <c r="AI26" i="27" s="1"/>
  <c r="AI27" i="27" s="1"/>
  <c r="AI18" i="27"/>
  <c r="AI19" i="27" s="1"/>
  <c r="AI20" i="27" s="1"/>
  <c r="AI38" i="27"/>
  <c r="AI42" i="27" s="1"/>
  <c r="AI45" i="27"/>
  <c r="AI49" i="27" s="1"/>
  <c r="AI21" i="27"/>
  <c r="AI31" i="27"/>
  <c r="AI35" i="27" s="1"/>
  <c r="AN35" i="25"/>
  <c r="AL45" i="25" s="1"/>
  <c r="AN34" i="28"/>
  <c r="AL43" i="28" s="1"/>
  <c r="AN34" i="25"/>
  <c r="AL43" i="25" s="1"/>
  <c r="AN33" i="27"/>
  <c r="AL41" i="27" s="1"/>
  <c r="AN33" i="25"/>
  <c r="AL41" i="25" s="1"/>
  <c r="AN33" i="28"/>
  <c r="AL41" i="28" s="1"/>
  <c r="W41" i="25"/>
  <c r="AA61" i="23"/>
  <c r="AC37" i="28"/>
  <c r="Z64" i="23"/>
  <c r="AL26" i="28"/>
  <c r="BB43" i="23"/>
  <c r="AL20" i="26"/>
  <c r="AR16" i="23"/>
  <c r="AL24" i="27"/>
  <c r="AW34" i="23"/>
  <c r="Z37" i="27"/>
  <c r="Y63" i="23"/>
  <c r="AL24" i="26"/>
  <c r="AR34" i="23"/>
  <c r="AL22" i="25"/>
  <c r="AM25" i="23"/>
  <c r="W37" i="27"/>
  <c r="X63" i="23"/>
  <c r="AL20" i="25"/>
  <c r="AM16" i="23"/>
  <c r="AL22" i="27"/>
  <c r="AW25" i="23"/>
  <c r="AL24" i="28"/>
  <c r="BB34" i="23"/>
  <c r="AI28" i="27"/>
  <c r="AN34" i="26"/>
  <c r="AL43" i="26" s="1"/>
  <c r="AN36" i="28"/>
  <c r="AL47" i="28" s="1"/>
  <c r="AN33" i="26"/>
  <c r="AL41" i="26" s="1"/>
  <c r="AN35" i="27"/>
  <c r="AL45" i="27" s="1"/>
  <c r="AN35" i="26"/>
  <c r="AL45" i="26" s="1"/>
  <c r="AN34" i="27"/>
  <c r="AL43" i="27" s="1"/>
  <c r="AN35" i="28"/>
  <c r="AL45" i="28" s="1"/>
  <c r="AL26" i="27"/>
  <c r="AW43" i="23"/>
  <c r="AL22" i="26"/>
  <c r="AR25" i="23"/>
  <c r="AL24" i="25"/>
  <c r="AM34" i="23"/>
  <c r="W37" i="26"/>
  <c r="X62" i="23"/>
  <c r="AL22" i="28"/>
  <c r="BB25" i="23"/>
  <c r="AL26" i="26"/>
  <c r="AR43" i="23"/>
  <c r="AL20" i="27"/>
  <c r="AW16" i="23"/>
  <c r="W37" i="25"/>
  <c r="X61" i="23"/>
  <c r="AL20" i="28"/>
  <c r="BB16" i="23"/>
  <c r="W37" i="28"/>
  <c r="X64" i="23"/>
  <c r="AL26" i="25"/>
  <c r="AM43" i="23"/>
  <c r="AI56" i="27"/>
  <c r="AI53" i="27"/>
  <c r="AI54" i="27" s="1"/>
  <c r="AI55" i="27" s="1"/>
  <c r="AN36" i="25"/>
  <c r="AL47" i="25" s="1"/>
  <c r="AI39" i="27" l="1"/>
  <c r="AI40" i="27" s="1"/>
  <c r="AI41" i="27" s="1"/>
  <c r="AI32" i="27"/>
  <c r="AI33" i="27" s="1"/>
  <c r="AI34" i="27" s="1"/>
  <c r="AI46" i="27"/>
  <c r="AI47" i="27" s="1"/>
  <c r="AI48" i="27" s="1"/>
  <c r="AI17" i="28" l="1"/>
  <c r="AI45" i="28" s="1"/>
  <c r="AI21" i="28" l="1"/>
  <c r="AI31" i="28"/>
  <c r="AI35" i="28" s="1"/>
  <c r="AI52" i="28"/>
  <c r="AI53" i="28" s="1"/>
  <c r="AI54" i="28" s="1"/>
  <c r="AI55" i="28" s="1"/>
  <c r="AI18" i="28"/>
  <c r="AI19" i="28" s="1"/>
  <c r="AI20" i="28" s="1"/>
  <c r="AI24" i="28"/>
  <c r="AI25" i="28" s="1"/>
  <c r="AI26" i="28" s="1"/>
  <c r="AI27" i="28" s="1"/>
  <c r="AI38" i="28"/>
  <c r="AI42" i="28" s="1"/>
  <c r="AI49" i="28"/>
  <c r="AI46" i="28"/>
  <c r="AI47" i="28" s="1"/>
  <c r="AI48" i="28" s="1"/>
  <c r="AI56" i="28" l="1"/>
  <c r="AI28" i="28"/>
  <c r="AI39" i="28"/>
  <c r="AI40" i="28" s="1"/>
  <c r="AI41" i="28" s="1"/>
  <c r="AI32" i="28"/>
  <c r="AI33" i="28" s="1"/>
  <c r="AI34" i="28" s="1"/>
  <c r="K5" i="22"/>
  <c r="H5" i="22"/>
  <c r="E5" i="22"/>
  <c r="B5" i="22"/>
  <c r="K4" i="22"/>
  <c r="H4" i="22"/>
  <c r="E4" i="22"/>
  <c r="B4" i="22"/>
  <c r="J2" i="22"/>
  <c r="J5" i="22" s="1"/>
  <c r="G2" i="22"/>
  <c r="G5" i="22" s="1"/>
  <c r="D2" i="22"/>
  <c r="D5" i="22" s="1"/>
  <c r="A2" i="22"/>
  <c r="A5" i="22" s="1"/>
  <c r="AD47" i="21"/>
  <c r="C21" i="21"/>
  <c r="B21" i="21"/>
  <c r="H18" i="21"/>
  <c r="G18" i="21"/>
  <c r="C18" i="21"/>
  <c r="B18" i="21"/>
  <c r="G7" i="21"/>
  <c r="F7" i="21"/>
  <c r="E7" i="21"/>
  <c r="D7" i="21"/>
  <c r="C7" i="21"/>
  <c r="G4" i="21"/>
  <c r="Z75" i="21" s="1"/>
  <c r="F4" i="21"/>
  <c r="Z66" i="21" s="1"/>
  <c r="E4" i="21"/>
  <c r="V67" i="21" s="1"/>
  <c r="D4" i="21"/>
  <c r="Z55" i="21" s="1"/>
  <c r="C4" i="21"/>
  <c r="AK55" i="21" s="1"/>
  <c r="AD47" i="20"/>
  <c r="AV4" i="16" s="1"/>
  <c r="C21" i="20"/>
  <c r="B21" i="20"/>
  <c r="H18" i="20"/>
  <c r="G18" i="20"/>
  <c r="C18" i="20"/>
  <c r="B18" i="20"/>
  <c r="G7" i="20"/>
  <c r="F7" i="20"/>
  <c r="E7" i="20"/>
  <c r="D7" i="20"/>
  <c r="C7" i="20"/>
  <c r="G4" i="20"/>
  <c r="F4" i="20"/>
  <c r="E4" i="20"/>
  <c r="D4" i="20"/>
  <c r="C4" i="20"/>
  <c r="AK55" i="20" s="1"/>
  <c r="AD47" i="19"/>
  <c r="C21" i="19"/>
  <c r="B21" i="19"/>
  <c r="H18" i="19"/>
  <c r="G18" i="19"/>
  <c r="C18" i="19"/>
  <c r="B18" i="19"/>
  <c r="G7" i="19"/>
  <c r="F7" i="19"/>
  <c r="E7" i="19"/>
  <c r="D7" i="19"/>
  <c r="C7" i="19"/>
  <c r="G4" i="19"/>
  <c r="Z75" i="19" s="1"/>
  <c r="F4" i="19"/>
  <c r="Z66" i="19" s="1"/>
  <c r="E4" i="19"/>
  <c r="V67" i="19" s="1"/>
  <c r="D4" i="19"/>
  <c r="Z55" i="19" s="1"/>
  <c r="C4" i="19"/>
  <c r="AK55" i="19" s="1"/>
  <c r="AD47" i="18"/>
  <c r="C21" i="18"/>
  <c r="B21" i="18"/>
  <c r="H18" i="18"/>
  <c r="G18" i="18"/>
  <c r="C18" i="18"/>
  <c r="B18" i="18"/>
  <c r="G7" i="18"/>
  <c r="F7" i="18"/>
  <c r="E7" i="18"/>
  <c r="D7" i="18"/>
  <c r="C7" i="18"/>
  <c r="G4" i="18"/>
  <c r="Z75" i="18" s="1"/>
  <c r="F4" i="18"/>
  <c r="Z66" i="18" s="1"/>
  <c r="E4" i="18"/>
  <c r="V67" i="18" s="1"/>
  <c r="D4" i="18"/>
  <c r="Z55" i="18" s="1"/>
  <c r="C4" i="18"/>
  <c r="AK55" i="18" s="1"/>
  <c r="AD47" i="17"/>
  <c r="AI45" i="17"/>
  <c r="AI49" i="17" s="1"/>
  <c r="AI38" i="17"/>
  <c r="AI42" i="17" s="1"/>
  <c r="AI31" i="17"/>
  <c r="AI35" i="17" s="1"/>
  <c r="AI24" i="17"/>
  <c r="AI28" i="17" s="1"/>
  <c r="AI21" i="17"/>
  <c r="C21" i="17"/>
  <c r="B21" i="17"/>
  <c r="AI18" i="17"/>
  <c r="H18" i="17"/>
  <c r="G18" i="17"/>
  <c r="C18" i="17"/>
  <c r="B18" i="17"/>
  <c r="G7" i="17"/>
  <c r="F7" i="17"/>
  <c r="E7" i="17"/>
  <c r="D7" i="17"/>
  <c r="C7" i="17"/>
  <c r="G4" i="17"/>
  <c r="Z75" i="17" s="1"/>
  <c r="F4" i="17"/>
  <c r="Z66" i="17" s="1"/>
  <c r="E4" i="17"/>
  <c r="V67" i="17" s="1"/>
  <c r="D4" i="17"/>
  <c r="Z55" i="17" s="1"/>
  <c r="C4" i="17"/>
  <c r="AK55" i="17" s="1"/>
  <c r="D80" i="16"/>
  <c r="I77" i="16"/>
  <c r="D77" i="16"/>
  <c r="BA4" i="16"/>
  <c r="AQ4" i="16"/>
  <c r="AL4" i="16"/>
  <c r="AG4" i="16"/>
  <c r="AF4" i="16" s="1"/>
  <c r="D21" i="17" l="1"/>
  <c r="D18" i="18"/>
  <c r="I18" i="18"/>
  <c r="D21" i="18"/>
  <c r="D18" i="20"/>
  <c r="I18" i="20"/>
  <c r="D18" i="17"/>
  <c r="D18" i="19"/>
  <c r="I18" i="19"/>
  <c r="W16" i="19" s="1"/>
  <c r="D21" i="19"/>
  <c r="D18" i="21"/>
  <c r="I18" i="21"/>
  <c r="W16" i="21" s="1"/>
  <c r="D21" i="21"/>
  <c r="D21" i="20"/>
  <c r="I18" i="17"/>
  <c r="W17" i="17" s="1"/>
  <c r="Z22" i="19"/>
  <c r="Z22" i="21"/>
  <c r="Z22" i="18"/>
  <c r="Z22" i="20"/>
  <c r="AI19" i="17"/>
  <c r="AI20" i="17" s="1"/>
  <c r="Z22" i="17"/>
  <c r="AK56" i="20"/>
  <c r="AK57" i="20" s="1"/>
  <c r="AK58" i="20" s="1"/>
  <c r="AK59" i="20" s="1"/>
  <c r="AH46" i="20" s="1"/>
  <c r="AH47" i="20" s="1"/>
  <c r="AZ4" i="16"/>
  <c r="AU4" i="16"/>
  <c r="AP4" i="16"/>
  <c r="AK4" i="16"/>
  <c r="AK56" i="17"/>
  <c r="AK17" i="17"/>
  <c r="AK18" i="17" s="1"/>
  <c r="V36" i="17"/>
  <c r="V37" i="17" s="1"/>
  <c r="AK56" i="18"/>
  <c r="AK17" i="18"/>
  <c r="AK18" i="18" s="1"/>
  <c r="V36" i="18"/>
  <c r="V37" i="18" s="1"/>
  <c r="AK56" i="19"/>
  <c r="AK17" i="19"/>
  <c r="AK18" i="19" s="1"/>
  <c r="V36" i="19"/>
  <c r="V37" i="19" s="1"/>
  <c r="AH18" i="17"/>
  <c r="AH19" i="17" s="1"/>
  <c r="Z21" i="17"/>
  <c r="AI25" i="17"/>
  <c r="AI26" i="17" s="1"/>
  <c r="AI27" i="17" s="1"/>
  <c r="AC28" i="17"/>
  <c r="AI32" i="17"/>
  <c r="AI33" i="17" s="1"/>
  <c r="AI34" i="17" s="1"/>
  <c r="AI39" i="17"/>
  <c r="AI40" i="17" s="1"/>
  <c r="AI41" i="17" s="1"/>
  <c r="AI46" i="17"/>
  <c r="AI47" i="17" s="1"/>
  <c r="AI48" i="17" s="1"/>
  <c r="X47" i="17"/>
  <c r="AF47" i="17" s="1"/>
  <c r="AI4" i="16" s="1"/>
  <c r="V48" i="17"/>
  <c r="AD48" i="17" s="1"/>
  <c r="AG5" i="16" s="1"/>
  <c r="AF5" i="16" s="1"/>
  <c r="Z49" i="17"/>
  <c r="V50" i="17"/>
  <c r="AD50" i="17" s="1"/>
  <c r="V60" i="17"/>
  <c r="Z61" i="17"/>
  <c r="V62" i="17"/>
  <c r="Z63" i="17"/>
  <c r="V64" i="17"/>
  <c r="Z65" i="17"/>
  <c r="V66" i="17"/>
  <c r="Z67" i="17"/>
  <c r="AH18" i="18"/>
  <c r="AH19" i="18" s="1"/>
  <c r="Z21" i="18"/>
  <c r="AC28" i="18"/>
  <c r="X47" i="18"/>
  <c r="AF47" i="18" s="1"/>
  <c r="AN4" i="16" s="1"/>
  <c r="V48" i="18"/>
  <c r="AD48" i="18" s="1"/>
  <c r="AL5" i="16" s="1"/>
  <c r="Z49" i="18"/>
  <c r="V50" i="18"/>
  <c r="AD50" i="18" s="1"/>
  <c r="V60" i="18"/>
  <c r="Z61" i="18"/>
  <c r="V62" i="18"/>
  <c r="Z63" i="18"/>
  <c r="V64" i="18"/>
  <c r="Z65" i="18"/>
  <c r="V66" i="18"/>
  <c r="Z67" i="18"/>
  <c r="AH24" i="17"/>
  <c r="V28" i="17"/>
  <c r="W47" i="17"/>
  <c r="AE47" i="17" s="1"/>
  <c r="AH4" i="16" s="1"/>
  <c r="Z48" i="17"/>
  <c r="V49" i="17"/>
  <c r="AD49" i="17" s="1"/>
  <c r="AG6" i="16" s="1"/>
  <c r="AF6" i="16" s="1"/>
  <c r="Z50" i="17"/>
  <c r="Z51" i="17"/>
  <c r="Z52" i="17"/>
  <c r="Z53" i="17"/>
  <c r="Z54" i="17"/>
  <c r="Z60" i="17"/>
  <c r="V61" i="17"/>
  <c r="Z62" i="17"/>
  <c r="V63" i="17"/>
  <c r="Z64" i="17"/>
  <c r="V65" i="17"/>
  <c r="Z73" i="17"/>
  <c r="Z74" i="17"/>
  <c r="AH24" i="18"/>
  <c r="V28" i="18"/>
  <c r="W47" i="18"/>
  <c r="AE47" i="18" s="1"/>
  <c r="AM4" i="16" s="1"/>
  <c r="Z48" i="18"/>
  <c r="V49" i="18"/>
  <c r="AD49" i="18" s="1"/>
  <c r="AL6" i="16" s="1"/>
  <c r="Z50" i="18"/>
  <c r="Z51" i="18"/>
  <c r="Z52" i="18"/>
  <c r="Z53" i="18"/>
  <c r="Z54" i="18"/>
  <c r="Z60" i="18"/>
  <c r="V61" i="18"/>
  <c r="Z62" i="18"/>
  <c r="V63" i="18"/>
  <c r="Z64" i="18"/>
  <c r="V65" i="18"/>
  <c r="Z73" i="18"/>
  <c r="Z74" i="18"/>
  <c r="Z55" i="20"/>
  <c r="Z54" i="20"/>
  <c r="Z66" i="20"/>
  <c r="Z64" i="20"/>
  <c r="Z62" i="20"/>
  <c r="Z60" i="20"/>
  <c r="Z67" i="20"/>
  <c r="Z65" i="20"/>
  <c r="Z63" i="20"/>
  <c r="Z61" i="20"/>
  <c r="AK56" i="21"/>
  <c r="AK17" i="21"/>
  <c r="AK18" i="21" s="1"/>
  <c r="V36" i="21"/>
  <c r="V37" i="21" s="1"/>
  <c r="AH18" i="19"/>
  <c r="AH19" i="19" s="1"/>
  <c r="Z21" i="19"/>
  <c r="AC28" i="19"/>
  <c r="X47" i="19"/>
  <c r="AF47" i="19" s="1"/>
  <c r="AS4" i="16" s="1"/>
  <c r="V48" i="19"/>
  <c r="AD48" i="19" s="1"/>
  <c r="AQ5" i="16" s="1"/>
  <c r="Z49" i="19"/>
  <c r="V50" i="19"/>
  <c r="AD50" i="19" s="1"/>
  <c r="V60" i="19"/>
  <c r="Z61" i="19"/>
  <c r="V62" i="19"/>
  <c r="Z63" i="19"/>
  <c r="V64" i="19"/>
  <c r="Z65" i="19"/>
  <c r="V66" i="19"/>
  <c r="Z67" i="19"/>
  <c r="W16" i="20"/>
  <c r="AH18" i="20"/>
  <c r="AH19" i="20" s="1"/>
  <c r="Z21" i="20"/>
  <c r="AC28" i="20"/>
  <c r="V36" i="20"/>
  <c r="V37" i="20" s="1"/>
  <c r="X47" i="20"/>
  <c r="AF47" i="20" s="1"/>
  <c r="AX4" i="16" s="1"/>
  <c r="V48" i="20"/>
  <c r="AD48" i="20" s="1"/>
  <c r="AV5" i="16" s="1"/>
  <c r="Z49" i="20"/>
  <c r="V50" i="20"/>
  <c r="AD50" i="20" s="1"/>
  <c r="V67" i="20"/>
  <c r="V65" i="20"/>
  <c r="V63" i="20"/>
  <c r="V61" i="20"/>
  <c r="V66" i="20"/>
  <c r="V64" i="20"/>
  <c r="V62" i="20"/>
  <c r="V60" i="20"/>
  <c r="Z75" i="20"/>
  <c r="Z74" i="20"/>
  <c r="Z73" i="20"/>
  <c r="AH24" i="19"/>
  <c r="V28" i="19"/>
  <c r="W47" i="19"/>
  <c r="AE47" i="19" s="1"/>
  <c r="AR4" i="16" s="1"/>
  <c r="Z48" i="19"/>
  <c r="V49" i="19"/>
  <c r="AD49" i="19" s="1"/>
  <c r="AQ6" i="16" s="1"/>
  <c r="Z50" i="19"/>
  <c r="Z51" i="19"/>
  <c r="Z52" i="19"/>
  <c r="Z53" i="19"/>
  <c r="Z54" i="19"/>
  <c r="Z60" i="19"/>
  <c r="V61" i="19"/>
  <c r="Z62" i="19"/>
  <c r="V63" i="19"/>
  <c r="Z64" i="19"/>
  <c r="V65" i="19"/>
  <c r="Z73" i="19"/>
  <c r="Z74" i="19"/>
  <c r="AK17" i="20"/>
  <c r="AK18" i="20" s="1"/>
  <c r="AH24" i="20"/>
  <c r="V28" i="20"/>
  <c r="W47" i="20"/>
  <c r="AE47" i="20" s="1"/>
  <c r="AW4" i="16" s="1"/>
  <c r="Z48" i="20"/>
  <c r="V49" i="20"/>
  <c r="AD49" i="20" s="1"/>
  <c r="AV6" i="16" s="1"/>
  <c r="Z50" i="20"/>
  <c r="Z51" i="20"/>
  <c r="Z52" i="20"/>
  <c r="Z53" i="20"/>
  <c r="AH18" i="21"/>
  <c r="AH19" i="21" s="1"/>
  <c r="Z21" i="21"/>
  <c r="AC28" i="21"/>
  <c r="X47" i="21"/>
  <c r="AF47" i="21" s="1"/>
  <c r="BC4" i="16" s="1"/>
  <c r="V48" i="21"/>
  <c r="AD48" i="21" s="1"/>
  <c r="BA5" i="16" s="1"/>
  <c r="Z49" i="21"/>
  <c r="V50" i="21"/>
  <c r="AD50" i="21" s="1"/>
  <c r="V60" i="21"/>
  <c r="Z61" i="21"/>
  <c r="V62" i="21"/>
  <c r="Z63" i="21"/>
  <c r="V64" i="21"/>
  <c r="Z65" i="21"/>
  <c r="V66" i="21"/>
  <c r="Z67" i="21"/>
  <c r="D3" i="22"/>
  <c r="J3" i="22"/>
  <c r="AH24" i="21"/>
  <c r="V28" i="21"/>
  <c r="W47" i="21"/>
  <c r="AE47" i="21" s="1"/>
  <c r="BB4" i="16" s="1"/>
  <c r="Z48" i="21"/>
  <c r="V49" i="21"/>
  <c r="AD49" i="21" s="1"/>
  <c r="BA6" i="16" s="1"/>
  <c r="Z50" i="21"/>
  <c r="Z51" i="21"/>
  <c r="Z52" i="21"/>
  <c r="Z53" i="21"/>
  <c r="Z54" i="21"/>
  <c r="Z60" i="21"/>
  <c r="V61" i="21"/>
  <c r="Z62" i="21"/>
  <c r="V63" i="21"/>
  <c r="Z64" i="21"/>
  <c r="V65" i="21"/>
  <c r="Z73" i="21"/>
  <c r="Z74" i="21"/>
  <c r="A3" i="22"/>
  <c r="G3" i="22"/>
  <c r="A4" i="22"/>
  <c r="D4" i="22"/>
  <c r="G4" i="22"/>
  <c r="J4" i="22"/>
  <c r="W17" i="18" l="1"/>
  <c r="W17" i="20"/>
  <c r="V17" i="19"/>
  <c r="W17" i="19"/>
  <c r="V17" i="17"/>
  <c r="W17" i="21"/>
  <c r="AH39" i="20"/>
  <c r="AH40" i="20" s="1"/>
  <c r="W48" i="19"/>
  <c r="AE48" i="19" s="1"/>
  <c r="AR5" i="16" s="1"/>
  <c r="V17" i="21"/>
  <c r="AH31" i="20"/>
  <c r="AH35" i="20" s="1"/>
  <c r="AH25" i="20"/>
  <c r="AH26" i="20" s="1"/>
  <c r="AK23" i="20"/>
  <c r="AK24" i="20" s="1"/>
  <c r="W48" i="17"/>
  <c r="AE48" i="17" s="1"/>
  <c r="AH5" i="16" s="1"/>
  <c r="AA72" i="21"/>
  <c r="AE78" i="21" s="1"/>
  <c r="BB35" i="16" s="1"/>
  <c r="AB22" i="19"/>
  <c r="AE16" i="19" s="1"/>
  <c r="W16" i="17"/>
  <c r="AA75" i="19"/>
  <c r="AE81" i="19" s="1"/>
  <c r="AR38" i="16" s="1"/>
  <c r="W16" i="18"/>
  <c r="AC22" i="18"/>
  <c r="AE17" i="18" s="1"/>
  <c r="AC22" i="19"/>
  <c r="AE17" i="19" s="1"/>
  <c r="AH45" i="20"/>
  <c r="AH48" i="20" s="1"/>
  <c r="Y36" i="20"/>
  <c r="Y37" i="20" s="1"/>
  <c r="AA74" i="19"/>
  <c r="AE80" i="19" s="1"/>
  <c r="AR37" i="16" s="1"/>
  <c r="W48" i="18"/>
  <c r="AE48" i="18" s="1"/>
  <c r="AM5" i="16" s="1"/>
  <c r="AA73" i="19"/>
  <c r="AE79" i="19" s="1"/>
  <c r="AR36" i="16" s="1"/>
  <c r="AA73" i="18"/>
  <c r="AE79" i="18" s="1"/>
  <c r="AM36" i="16" s="1"/>
  <c r="V40" i="20"/>
  <c r="V41" i="20" s="1"/>
  <c r="AH38" i="20"/>
  <c r="AH42" i="20" s="1"/>
  <c r="AH32" i="20"/>
  <c r="AH33" i="20" s="1"/>
  <c r="AB36" i="20"/>
  <c r="AB37" i="20" s="1"/>
  <c r="AK21" i="20"/>
  <c r="AK22" i="20" s="1"/>
  <c r="AK19" i="20"/>
  <c r="AK20" i="20" s="1"/>
  <c r="AB22" i="20"/>
  <c r="AE16" i="20" s="1"/>
  <c r="AC22" i="17"/>
  <c r="AE17" i="17" s="1"/>
  <c r="AA74" i="21"/>
  <c r="AE80" i="21" s="1"/>
  <c r="BB37" i="16" s="1"/>
  <c r="W48" i="20"/>
  <c r="AE48" i="20" s="1"/>
  <c r="AW5" i="16" s="1"/>
  <c r="AC22" i="20"/>
  <c r="AE17" i="20" s="1"/>
  <c r="V17" i="20"/>
  <c r="AA73" i="20"/>
  <c r="AE79" i="20" s="1"/>
  <c r="AW36" i="16" s="1"/>
  <c r="AA75" i="20"/>
  <c r="AE81" i="20" s="1"/>
  <c r="AW38" i="16" s="1"/>
  <c r="AA74" i="18"/>
  <c r="AE80" i="18" s="1"/>
  <c r="AM37" i="16" s="1"/>
  <c r="V16" i="18"/>
  <c r="AA73" i="17"/>
  <c r="AE79" i="17" s="1"/>
  <c r="AH36" i="16" s="1"/>
  <c r="AB22" i="18"/>
  <c r="AE16" i="18" s="1"/>
  <c r="V16" i="19"/>
  <c r="Z16" i="19" s="1" a="1"/>
  <c r="AB22" i="21"/>
  <c r="AE16" i="21" s="1"/>
  <c r="AC22" i="21"/>
  <c r="AE17" i="21" s="1"/>
  <c r="AA73" i="21"/>
  <c r="AE79" i="21" s="1"/>
  <c r="BB36" i="16" s="1"/>
  <c r="W48" i="21"/>
  <c r="AE48" i="21" s="1"/>
  <c r="BB5" i="16" s="1"/>
  <c r="V16" i="21"/>
  <c r="V16" i="20"/>
  <c r="AA74" i="20"/>
  <c r="AE80" i="20" s="1"/>
  <c r="AW37" i="16" s="1"/>
  <c r="V17" i="18"/>
  <c r="AA74" i="17"/>
  <c r="AE80" i="17" s="1"/>
  <c r="AH37" i="16" s="1"/>
  <c r="V16" i="17"/>
  <c r="X49" i="20"/>
  <c r="AF49" i="20" s="1"/>
  <c r="AX6" i="16" s="1"/>
  <c r="X48" i="17"/>
  <c r="AF48" i="17" s="1"/>
  <c r="AI5" i="16" s="1"/>
  <c r="AI17" i="18"/>
  <c r="AI18" i="18" s="1"/>
  <c r="AI19" i="18" s="1"/>
  <c r="AI20" i="18" s="1"/>
  <c r="AB22" i="17"/>
  <c r="AE16" i="17" s="1"/>
  <c r="W49" i="20"/>
  <c r="AE49" i="20" s="1"/>
  <c r="AW6" i="16" s="1"/>
  <c r="X49" i="17"/>
  <c r="AF49" i="17" s="1"/>
  <c r="AI6" i="16" s="1"/>
  <c r="X50" i="18"/>
  <c r="AF50" i="18" s="1"/>
  <c r="AN7" i="16" s="1"/>
  <c r="V45" i="16" s="1"/>
  <c r="X48" i="21"/>
  <c r="AF48" i="21" s="1"/>
  <c r="BC5" i="16" s="1"/>
  <c r="X48" i="19"/>
  <c r="AF48" i="19" s="1"/>
  <c r="AS5" i="16" s="1"/>
  <c r="X49" i="18"/>
  <c r="AF49" i="18" s="1"/>
  <c r="AN6" i="16" s="1"/>
  <c r="W49" i="18"/>
  <c r="AE49" i="18" s="1"/>
  <c r="AM6" i="16" s="1"/>
  <c r="AD59" i="21"/>
  <c r="AD58" i="21"/>
  <c r="BA15" i="16" s="1"/>
  <c r="AD57" i="21"/>
  <c r="BA14" i="16" s="1"/>
  <c r="AD56" i="21"/>
  <c r="BA13" i="16" s="1"/>
  <c r="AD55" i="21"/>
  <c r="BA12" i="16" s="1"/>
  <c r="AD54" i="21"/>
  <c r="BA11" i="16" s="1"/>
  <c r="AD53" i="21"/>
  <c r="BA10" i="16" s="1"/>
  <c r="AD52" i="21"/>
  <c r="BA9" i="16" s="1"/>
  <c r="AD51" i="21"/>
  <c r="BA8" i="16" s="1"/>
  <c r="BA7" i="16"/>
  <c r="AH28" i="21"/>
  <c r="AH27" i="21"/>
  <c r="AH28" i="19"/>
  <c r="AH27" i="19"/>
  <c r="AB75" i="20"/>
  <c r="AF81" i="20" s="1"/>
  <c r="AX38" i="16" s="1"/>
  <c r="AB74" i="20"/>
  <c r="AF80" i="20" s="1"/>
  <c r="AX37" i="16" s="1"/>
  <c r="AB73" i="20"/>
  <c r="AF79" i="20" s="1"/>
  <c r="AX36" i="16" s="1"/>
  <c r="AB72" i="20"/>
  <c r="AF78" i="20" s="1"/>
  <c r="AX35" i="16" s="1"/>
  <c r="AC51" i="16" s="1"/>
  <c r="AK57" i="21"/>
  <c r="Y36" i="21"/>
  <c r="Y37" i="21" s="1"/>
  <c r="AH31" i="21"/>
  <c r="AH25" i="21"/>
  <c r="AH26" i="21" s="1"/>
  <c r="AK19" i="21"/>
  <c r="AK20" i="21" s="1"/>
  <c r="AZ6" i="16"/>
  <c r="AU6" i="16"/>
  <c r="AP6" i="16"/>
  <c r="AK6" i="16"/>
  <c r="AD59" i="18"/>
  <c r="AD58" i="18"/>
  <c r="AL15" i="16" s="1"/>
  <c r="AD57" i="18"/>
  <c r="AL14" i="16" s="1"/>
  <c r="AD56" i="18"/>
  <c r="AL13" i="16" s="1"/>
  <c r="AD55" i="18"/>
  <c r="AL12" i="16" s="1"/>
  <c r="AD54" i="18"/>
  <c r="AL11" i="16" s="1"/>
  <c r="AD53" i="18"/>
  <c r="AL10" i="16" s="1"/>
  <c r="AD52" i="18"/>
  <c r="AL9" i="16" s="1"/>
  <c r="AD51" i="18"/>
  <c r="AL8" i="16" s="1"/>
  <c r="AL7" i="16"/>
  <c r="AB75" i="18"/>
  <c r="AF81" i="18" s="1"/>
  <c r="AN38" i="16" s="1"/>
  <c r="AB74" i="18"/>
  <c r="AF80" i="18" s="1"/>
  <c r="AN37" i="16" s="1"/>
  <c r="AB73" i="18"/>
  <c r="AF79" i="18" s="1"/>
  <c r="AN36" i="16" s="1"/>
  <c r="AB72" i="18"/>
  <c r="AF78" i="18" s="1"/>
  <c r="AN35" i="16" s="1"/>
  <c r="AC45" i="16" s="1"/>
  <c r="AZ5" i="16"/>
  <c r="AU5" i="16"/>
  <c r="AP5" i="16"/>
  <c r="AK5" i="16"/>
  <c r="AB75" i="17"/>
  <c r="AF81" i="17" s="1"/>
  <c r="AI38" i="16" s="1"/>
  <c r="AB74" i="17"/>
  <c r="AF80" i="17" s="1"/>
  <c r="AI37" i="16" s="1"/>
  <c r="AB73" i="17"/>
  <c r="AF79" i="17" s="1"/>
  <c r="AI36" i="16" s="1"/>
  <c r="AB72" i="17"/>
  <c r="AF78" i="17" s="1"/>
  <c r="AI35" i="16" s="1"/>
  <c r="AC42" i="16" s="1"/>
  <c r="AK57" i="18"/>
  <c r="Y36" i="18"/>
  <c r="Y37" i="18" s="1"/>
  <c r="AH31" i="18"/>
  <c r="AH25" i="18"/>
  <c r="AH26" i="18" s="1"/>
  <c r="AK19" i="18"/>
  <c r="AK20" i="18" s="1"/>
  <c r="AK57" i="17"/>
  <c r="Y36" i="17"/>
  <c r="Y37" i="17" s="1"/>
  <c r="AH31" i="17"/>
  <c r="AH25" i="17"/>
  <c r="AH26" i="17" s="1"/>
  <c r="AK19" i="17"/>
  <c r="AK20" i="17" s="1"/>
  <c r="W50" i="21"/>
  <c r="AE50" i="21" s="1"/>
  <c r="X49" i="21"/>
  <c r="AF49" i="21" s="1"/>
  <c r="BC6" i="16" s="1"/>
  <c r="X50" i="21"/>
  <c r="AF50" i="21" s="1"/>
  <c r="BC7" i="16" s="1"/>
  <c r="V54" i="16" s="1"/>
  <c r="W49" i="21"/>
  <c r="AE49" i="21" s="1"/>
  <c r="BB6" i="16" s="1"/>
  <c r="X49" i="19"/>
  <c r="AF49" i="19" s="1"/>
  <c r="AS6" i="16" s="1"/>
  <c r="X50" i="20"/>
  <c r="AF50" i="20" s="1"/>
  <c r="AX7" i="16" s="1"/>
  <c r="V51" i="16" s="1"/>
  <c r="X48" i="20"/>
  <c r="AF48" i="20" s="1"/>
  <c r="AX5" i="16" s="1"/>
  <c r="X50" i="19"/>
  <c r="AF50" i="19" s="1"/>
  <c r="AS7" i="16" s="1"/>
  <c r="V48" i="16" s="1"/>
  <c r="W49" i="19"/>
  <c r="AE49" i="19" s="1"/>
  <c r="AR6" i="16" s="1"/>
  <c r="W50" i="19"/>
  <c r="AE50" i="19" s="1"/>
  <c r="W50" i="20"/>
  <c r="AE50" i="20" s="1"/>
  <c r="X48" i="18"/>
  <c r="AF48" i="18" s="1"/>
  <c r="AN5" i="16" s="1"/>
  <c r="X50" i="17"/>
  <c r="AF50" i="17" s="1"/>
  <c r="AI7" i="16" s="1"/>
  <c r="V42" i="16" s="1"/>
  <c r="W49" i="17"/>
  <c r="AE49" i="17" s="1"/>
  <c r="AH6" i="16" s="1"/>
  <c r="AA75" i="17"/>
  <c r="AE81" i="17" s="1"/>
  <c r="AH38" i="16" s="1"/>
  <c r="W50" i="18"/>
  <c r="AE50" i="18" s="1"/>
  <c r="AA75" i="18"/>
  <c r="AE81" i="18" s="1"/>
  <c r="AM38" i="16" s="1"/>
  <c r="AB75" i="21"/>
  <c r="AF81" i="21" s="1"/>
  <c r="BC38" i="16" s="1"/>
  <c r="AB74" i="21"/>
  <c r="AF80" i="21" s="1"/>
  <c r="BC37" i="16" s="1"/>
  <c r="AB73" i="21"/>
  <c r="AF79" i="21" s="1"/>
  <c r="BC36" i="16" s="1"/>
  <c r="AB72" i="21"/>
  <c r="AF78" i="21" s="1"/>
  <c r="BC35" i="16" s="1"/>
  <c r="AC54" i="16" s="1"/>
  <c r="AH28" i="20"/>
  <c r="AH27" i="20"/>
  <c r="AD59" i="20"/>
  <c r="AD58" i="20"/>
  <c r="AV15" i="16" s="1"/>
  <c r="AD57" i="20"/>
  <c r="AV14" i="16" s="1"/>
  <c r="AD56" i="20"/>
  <c r="AV13" i="16" s="1"/>
  <c r="AD55" i="20"/>
  <c r="AV12" i="16" s="1"/>
  <c r="AD54" i="20"/>
  <c r="AV11" i="16" s="1"/>
  <c r="AD53" i="20"/>
  <c r="AV10" i="16" s="1"/>
  <c r="AD52" i="20"/>
  <c r="AV9" i="16" s="1"/>
  <c r="AD51" i="20"/>
  <c r="AV8" i="16" s="1"/>
  <c r="AV7" i="16"/>
  <c r="AD59" i="19"/>
  <c r="AD58" i="19"/>
  <c r="AQ15" i="16" s="1"/>
  <c r="AD57" i="19"/>
  <c r="AQ14" i="16" s="1"/>
  <c r="AD56" i="19"/>
  <c r="AQ13" i="16" s="1"/>
  <c r="AD55" i="19"/>
  <c r="AQ12" i="16" s="1"/>
  <c r="AD54" i="19"/>
  <c r="AQ11" i="16" s="1"/>
  <c r="AD53" i="19"/>
  <c r="AQ10" i="16" s="1"/>
  <c r="AD52" i="19"/>
  <c r="AQ9" i="16" s="1"/>
  <c r="AD51" i="19"/>
  <c r="AQ8" i="16" s="1"/>
  <c r="AQ7" i="16"/>
  <c r="AB75" i="19"/>
  <c r="AF81" i="19" s="1"/>
  <c r="AS38" i="16" s="1"/>
  <c r="AB74" i="19"/>
  <c r="AF80" i="19" s="1"/>
  <c r="AS37" i="16" s="1"/>
  <c r="AB73" i="19"/>
  <c r="AF79" i="19" s="1"/>
  <c r="AS36" i="16" s="1"/>
  <c r="AB72" i="19"/>
  <c r="AF78" i="19" s="1"/>
  <c r="AS35" i="16" s="1"/>
  <c r="AC48" i="16" s="1"/>
  <c r="AH28" i="18"/>
  <c r="AH27" i="18"/>
  <c r="AH28" i="17"/>
  <c r="AH27" i="17"/>
  <c r="AD59" i="17"/>
  <c r="AD58" i="17"/>
  <c r="AG15" i="16" s="1"/>
  <c r="AD57" i="17"/>
  <c r="AG14" i="16" s="1"/>
  <c r="AD56" i="17"/>
  <c r="AG13" i="16" s="1"/>
  <c r="AD55" i="17"/>
  <c r="AG12" i="16" s="1"/>
  <c r="AD54" i="17"/>
  <c r="AG11" i="16" s="1"/>
  <c r="AD53" i="17"/>
  <c r="AG10" i="16" s="1"/>
  <c r="AD52" i="17"/>
  <c r="AG9" i="16" s="1"/>
  <c r="AD51" i="17"/>
  <c r="AG8" i="16" s="1"/>
  <c r="AG7" i="16"/>
  <c r="AF7" i="16" s="1"/>
  <c r="AK57" i="19"/>
  <c r="Y36" i="19"/>
  <c r="Y37" i="19" s="1"/>
  <c r="AH31" i="19"/>
  <c r="AH25" i="19"/>
  <c r="AH26" i="19" s="1"/>
  <c r="AK19" i="19"/>
  <c r="AK20" i="19" s="1"/>
  <c r="AA75" i="21"/>
  <c r="AE81" i="21" s="1"/>
  <c r="BB38" i="16" s="1"/>
  <c r="AA72" i="19"/>
  <c r="AE78" i="19" s="1"/>
  <c r="AR35" i="16" s="1"/>
  <c r="AA72" i="20"/>
  <c r="AE78" i="20" s="1"/>
  <c r="AW35" i="16" s="1"/>
  <c r="W50" i="17"/>
  <c r="AE50" i="17" s="1"/>
  <c r="AA72" i="17"/>
  <c r="AE78" i="17" s="1"/>
  <c r="AH35" i="16" s="1"/>
  <c r="AA72" i="18"/>
  <c r="AE78" i="18" s="1"/>
  <c r="AM35" i="16" s="1"/>
  <c r="AH34" i="20" l="1"/>
  <c r="Z16" i="21" a="1"/>
  <c r="AA17" i="21" s="1"/>
  <c r="AH41" i="20"/>
  <c r="AH49" i="20"/>
  <c r="Z16" i="20" a="1"/>
  <c r="AA17" i="20" s="1"/>
  <c r="Z16" i="17" a="1"/>
  <c r="Z17" i="17" s="1"/>
  <c r="Z16" i="18" a="1"/>
  <c r="AA16" i="18" s="1"/>
  <c r="AI45" i="18"/>
  <c r="AI46" i="18" s="1"/>
  <c r="AI47" i="18" s="1"/>
  <c r="AI48" i="18" s="1"/>
  <c r="AI31" i="18"/>
  <c r="AI35" i="18" s="1"/>
  <c r="AI21" i="18"/>
  <c r="AA17" i="19"/>
  <c r="Z17" i="19"/>
  <c r="AA16" i="19"/>
  <c r="Z16" i="19"/>
  <c r="AI24" i="18"/>
  <c r="AI28" i="18" s="1"/>
  <c r="AI38" i="18"/>
  <c r="AI39" i="18" s="1"/>
  <c r="AI40" i="18" s="1"/>
  <c r="AI41" i="18" s="1"/>
  <c r="AL18" i="17"/>
  <c r="AH7" i="16"/>
  <c r="AZ7" i="16"/>
  <c r="AU7" i="16"/>
  <c r="AP7" i="16"/>
  <c r="AK7" i="16"/>
  <c r="AD67" i="19"/>
  <c r="AQ24" i="16" s="1"/>
  <c r="AD65" i="19"/>
  <c r="AQ22" i="16" s="1"/>
  <c r="AD63" i="19"/>
  <c r="AQ20" i="16" s="1"/>
  <c r="AD61" i="19"/>
  <c r="AQ18" i="16" s="1"/>
  <c r="AD68" i="19"/>
  <c r="AD66" i="19"/>
  <c r="AQ23" i="16" s="1"/>
  <c r="AD64" i="19"/>
  <c r="AQ21" i="16" s="1"/>
  <c r="AD62" i="19"/>
  <c r="AQ19" i="16" s="1"/>
  <c r="AD60" i="19"/>
  <c r="AQ17" i="16" s="1"/>
  <c r="AQ16" i="16"/>
  <c r="AD67" i="20"/>
  <c r="AV24" i="16" s="1"/>
  <c r="AD65" i="20"/>
  <c r="AV22" i="16" s="1"/>
  <c r="AD63" i="20"/>
  <c r="AV20" i="16" s="1"/>
  <c r="AD61" i="20"/>
  <c r="AV18" i="16" s="1"/>
  <c r="AD68" i="20"/>
  <c r="AD66" i="20"/>
  <c r="AV23" i="16" s="1"/>
  <c r="AD64" i="20"/>
  <c r="AV21" i="16" s="1"/>
  <c r="AD62" i="20"/>
  <c r="AV19" i="16" s="1"/>
  <c r="AD60" i="20"/>
  <c r="AV17" i="16" s="1"/>
  <c r="AV16" i="16"/>
  <c r="AL18" i="20"/>
  <c r="AW7" i="16"/>
  <c r="AL18" i="19"/>
  <c r="AR7" i="16"/>
  <c r="AH35" i="17"/>
  <c r="AH34" i="17"/>
  <c r="AK58" i="17"/>
  <c r="AH38" i="17"/>
  <c r="AH32" i="17"/>
  <c r="AH33" i="17" s="1"/>
  <c r="AB36" i="17"/>
  <c r="AB37" i="17" s="1"/>
  <c r="AK21" i="17"/>
  <c r="AK22" i="17" s="1"/>
  <c r="AD67" i="18"/>
  <c r="AL24" i="16" s="1"/>
  <c r="AD65" i="18"/>
  <c r="AL22" i="16" s="1"/>
  <c r="AD63" i="18"/>
  <c r="AL20" i="16" s="1"/>
  <c r="AD61" i="18"/>
  <c r="AL18" i="16" s="1"/>
  <c r="AD68" i="18"/>
  <c r="AD66" i="18"/>
  <c r="AL23" i="16" s="1"/>
  <c r="AD64" i="18"/>
  <c r="AL21" i="16" s="1"/>
  <c r="AD62" i="18"/>
  <c r="AL19" i="16" s="1"/>
  <c r="AD60" i="18"/>
  <c r="AL17" i="16" s="1"/>
  <c r="AL16" i="16"/>
  <c r="AF9" i="16"/>
  <c r="AF11" i="16"/>
  <c r="AF13" i="16"/>
  <c r="AF15" i="16"/>
  <c r="AH35" i="19"/>
  <c r="AH34" i="19"/>
  <c r="AK58" i="19"/>
  <c r="AH38" i="19"/>
  <c r="AH32" i="19"/>
  <c r="AH33" i="19" s="1"/>
  <c r="AB36" i="19"/>
  <c r="AB37" i="19" s="1"/>
  <c r="AK21" i="19"/>
  <c r="AK22" i="19" s="1"/>
  <c r="AD67" i="17"/>
  <c r="AG24" i="16" s="1"/>
  <c r="AD65" i="17"/>
  <c r="AG22" i="16" s="1"/>
  <c r="AD63" i="17"/>
  <c r="AG20" i="16" s="1"/>
  <c r="AD61" i="17"/>
  <c r="AG18" i="16" s="1"/>
  <c r="AD68" i="17"/>
  <c r="AD66" i="17"/>
  <c r="AG23" i="16" s="1"/>
  <c r="AD64" i="17"/>
  <c r="AG21" i="16" s="1"/>
  <c r="AD62" i="17"/>
  <c r="AG19" i="16" s="1"/>
  <c r="AD60" i="17"/>
  <c r="AG17" i="16" s="1"/>
  <c r="AG16" i="16"/>
  <c r="AF16" i="16" s="1"/>
  <c r="AL18" i="18"/>
  <c r="AM7" i="16"/>
  <c r="AL18" i="21"/>
  <c r="BB7" i="16"/>
  <c r="AH35" i="18"/>
  <c r="AH34" i="18"/>
  <c r="AK58" i="18"/>
  <c r="AH38" i="18"/>
  <c r="AH32" i="18"/>
  <c r="AH33" i="18" s="1"/>
  <c r="AB36" i="18"/>
  <c r="AB37" i="18" s="1"/>
  <c r="AK21" i="18"/>
  <c r="AK22" i="18" s="1"/>
  <c r="AH35" i="21"/>
  <c r="AH34" i="21"/>
  <c r="AK58" i="21"/>
  <c r="AH38" i="21"/>
  <c r="AH32" i="21"/>
  <c r="AH33" i="21" s="1"/>
  <c r="AB36" i="21"/>
  <c r="AB37" i="21" s="1"/>
  <c r="AK21" i="21"/>
  <c r="AK22" i="21" s="1"/>
  <c r="AD67" i="21"/>
  <c r="BA24" i="16" s="1"/>
  <c r="AD65" i="21"/>
  <c r="BA22" i="16" s="1"/>
  <c r="AD63" i="21"/>
  <c r="BA20" i="16" s="1"/>
  <c r="AD61" i="21"/>
  <c r="BA18" i="16" s="1"/>
  <c r="AD68" i="21"/>
  <c r="AD66" i="21"/>
  <c r="BA23" i="16" s="1"/>
  <c r="AD64" i="21"/>
  <c r="BA21" i="16" s="1"/>
  <c r="AD62" i="21"/>
  <c r="BA19" i="16" s="1"/>
  <c r="AD60" i="21"/>
  <c r="BA17" i="16" s="1"/>
  <c r="BA16" i="16"/>
  <c r="AF8" i="16"/>
  <c r="AF10" i="16"/>
  <c r="AF12" i="16"/>
  <c r="AF14" i="16"/>
  <c r="AI49" i="18" l="1"/>
  <c r="Z17" i="21"/>
  <c r="Z16" i="21"/>
  <c r="Z16" i="20"/>
  <c r="AI32" i="18"/>
  <c r="AI33" i="18" s="1"/>
  <c r="AI34" i="18" s="1"/>
  <c r="AA17" i="18"/>
  <c r="AA16" i="21"/>
  <c r="Z17" i="20"/>
  <c r="AA16" i="20"/>
  <c r="AA16" i="17"/>
  <c r="Z16" i="17"/>
  <c r="AA17" i="17"/>
  <c r="Z17" i="18"/>
  <c r="Z16" i="18"/>
  <c r="W21" i="19" a="1"/>
  <c r="W22" i="19" s="1"/>
  <c r="AI42" i="18"/>
  <c r="AI25" i="18"/>
  <c r="AI26" i="18" s="1"/>
  <c r="AI27" i="18" s="1"/>
  <c r="AZ12" i="16"/>
  <c r="AU12" i="16"/>
  <c r="AP12" i="16"/>
  <c r="AK12" i="16"/>
  <c r="AZ8" i="16"/>
  <c r="AU8" i="16"/>
  <c r="AP8" i="16"/>
  <c r="AK8" i="16"/>
  <c r="AD76" i="21"/>
  <c r="BA33" i="16" s="1"/>
  <c r="AD71" i="21"/>
  <c r="BA28" i="16" s="1"/>
  <c r="AD69" i="21"/>
  <c r="BA26" i="16" s="1"/>
  <c r="AD77" i="21"/>
  <c r="AD75" i="21"/>
  <c r="BA32" i="16" s="1"/>
  <c r="AD74" i="21"/>
  <c r="BA31" i="16" s="1"/>
  <c r="AD73" i="21"/>
  <c r="BA30" i="16" s="1"/>
  <c r="AD72" i="21"/>
  <c r="BA29" i="16" s="1"/>
  <c r="AD70" i="21"/>
  <c r="BA27" i="16" s="1"/>
  <c r="BA25" i="16"/>
  <c r="AH42" i="21"/>
  <c r="AH41" i="21"/>
  <c r="AK59" i="18"/>
  <c r="AH46" i="18" s="1"/>
  <c r="AH47" i="18" s="1"/>
  <c r="AH45" i="18"/>
  <c r="V40" i="18"/>
  <c r="V41" i="18" s="1"/>
  <c r="AH39" i="18"/>
  <c r="AH40" i="18" s="1"/>
  <c r="AK23" i="18"/>
  <c r="AK24" i="18" s="1"/>
  <c r="AD76" i="17"/>
  <c r="AG33" i="16" s="1"/>
  <c r="AD71" i="17"/>
  <c r="AG28" i="16" s="1"/>
  <c r="AD69" i="17"/>
  <c r="AG26" i="16" s="1"/>
  <c r="AG25" i="16"/>
  <c r="AF25" i="16" s="1"/>
  <c r="AD77" i="17"/>
  <c r="AD75" i="17"/>
  <c r="AG32" i="16" s="1"/>
  <c r="AF32" i="16" s="1"/>
  <c r="AD74" i="17"/>
  <c r="AG31" i="16" s="1"/>
  <c r="AD73" i="17"/>
  <c r="AG30" i="16" s="1"/>
  <c r="AD72" i="17"/>
  <c r="AG29" i="16" s="1"/>
  <c r="AD70" i="17"/>
  <c r="AG27" i="16" s="1"/>
  <c r="AH42" i="19"/>
  <c r="AH41" i="19"/>
  <c r="AZ15" i="16"/>
  <c r="AU15" i="16"/>
  <c r="AP15" i="16"/>
  <c r="AK15" i="16"/>
  <c r="AZ11" i="16"/>
  <c r="AU11" i="16"/>
  <c r="AP11" i="16"/>
  <c r="AK11" i="16"/>
  <c r="AK59" i="17"/>
  <c r="AH46" i="17" s="1"/>
  <c r="AH47" i="17" s="1"/>
  <c r="AH45" i="17"/>
  <c r="V40" i="17"/>
  <c r="V41" i="17" s="1"/>
  <c r="AH39" i="17"/>
  <c r="AH40" i="17" s="1"/>
  <c r="AK23" i="17"/>
  <c r="AK24" i="17" s="1"/>
  <c r="AD76" i="20"/>
  <c r="AV33" i="16" s="1"/>
  <c r="AD71" i="20"/>
  <c r="AV28" i="16" s="1"/>
  <c r="AD69" i="20"/>
  <c r="AV26" i="16" s="1"/>
  <c r="AD77" i="20"/>
  <c r="AD75" i="20"/>
  <c r="AV32" i="16" s="1"/>
  <c r="AD74" i="20"/>
  <c r="AV31" i="16" s="1"/>
  <c r="AD73" i="20"/>
  <c r="AV30" i="16" s="1"/>
  <c r="AD72" i="20"/>
  <c r="AV29" i="16" s="1"/>
  <c r="AD70" i="20"/>
  <c r="AV27" i="16" s="1"/>
  <c r="AV25" i="16"/>
  <c r="AD76" i="19"/>
  <c r="AQ33" i="16" s="1"/>
  <c r="AD71" i="19"/>
  <c r="AQ28" i="16" s="1"/>
  <c r="AD69" i="19"/>
  <c r="AQ26" i="16" s="1"/>
  <c r="AD77" i="19"/>
  <c r="AD75" i="19"/>
  <c r="AQ32" i="16" s="1"/>
  <c r="AD74" i="19"/>
  <c r="AQ31" i="16" s="1"/>
  <c r="AD73" i="19"/>
  <c r="AQ30" i="16" s="1"/>
  <c r="AD72" i="19"/>
  <c r="AQ29" i="16" s="1"/>
  <c r="AD70" i="19"/>
  <c r="AQ27" i="16" s="1"/>
  <c r="AQ25" i="16"/>
  <c r="AF17" i="16"/>
  <c r="AF21" i="16"/>
  <c r="AF20" i="16"/>
  <c r="AF24" i="16"/>
  <c r="AZ14" i="16"/>
  <c r="AU14" i="16"/>
  <c r="AP14" i="16"/>
  <c r="AK14" i="16"/>
  <c r="AZ10" i="16"/>
  <c r="AU10" i="16"/>
  <c r="AP10" i="16"/>
  <c r="AK10" i="16"/>
  <c r="AK59" i="21"/>
  <c r="AH46" i="21" s="1"/>
  <c r="AH47" i="21" s="1"/>
  <c r="AH45" i="21"/>
  <c r="V40" i="21"/>
  <c r="V41" i="21" s="1"/>
  <c r="AH39" i="21"/>
  <c r="AH40" i="21" s="1"/>
  <c r="AK23" i="21"/>
  <c r="AK24" i="21" s="1"/>
  <c r="AH42" i="18"/>
  <c r="AH41" i="18"/>
  <c r="AZ16" i="16"/>
  <c r="AU16" i="16"/>
  <c r="AP16" i="16"/>
  <c r="AK16" i="16"/>
  <c r="AK59" i="19"/>
  <c r="AH46" i="19" s="1"/>
  <c r="AH47" i="19" s="1"/>
  <c r="AH45" i="19"/>
  <c r="V40" i="19"/>
  <c r="V41" i="19" s="1"/>
  <c r="AH39" i="19"/>
  <c r="AH40" i="19" s="1"/>
  <c r="AK23" i="19"/>
  <c r="AK24" i="19" s="1"/>
  <c r="AZ13" i="16"/>
  <c r="AU13" i="16"/>
  <c r="AP13" i="16"/>
  <c r="AK13" i="16"/>
  <c r="AZ9" i="16"/>
  <c r="AU9" i="16"/>
  <c r="AP9" i="16"/>
  <c r="AK9" i="16"/>
  <c r="AD76" i="18"/>
  <c r="AL33" i="16" s="1"/>
  <c r="AD71" i="18"/>
  <c r="AL28" i="16" s="1"/>
  <c r="AD69" i="18"/>
  <c r="AL26" i="16" s="1"/>
  <c r="AL25" i="16"/>
  <c r="AD77" i="18"/>
  <c r="AD75" i="18"/>
  <c r="AL32" i="16" s="1"/>
  <c r="AD74" i="18"/>
  <c r="AL31" i="16" s="1"/>
  <c r="AD73" i="18"/>
  <c r="AL30" i="16" s="1"/>
  <c r="AD72" i="18"/>
  <c r="AL29" i="16" s="1"/>
  <c r="AD70" i="18"/>
  <c r="AL27" i="16" s="1"/>
  <c r="AH42" i="17"/>
  <c r="AH41" i="17"/>
  <c r="AF19" i="16"/>
  <c r="AF23" i="16"/>
  <c r="AF18" i="16"/>
  <c r="AF22" i="16"/>
  <c r="W21" i="21" l="1" a="1"/>
  <c r="W21" i="21" s="1"/>
  <c r="X28" i="21" s="1"/>
  <c r="AF27" i="16"/>
  <c r="AF30" i="16"/>
  <c r="AU30" i="16" s="1"/>
  <c r="AI17" i="19"/>
  <c r="AI18" i="19" s="1"/>
  <c r="AI19" i="19" s="1"/>
  <c r="AI20" i="19" s="1"/>
  <c r="W21" i="17" a="1"/>
  <c r="W22" i="17" s="1"/>
  <c r="W21" i="20" a="1"/>
  <c r="W21" i="20" s="1"/>
  <c r="X28" i="20" s="1"/>
  <c r="W28" i="20" s="1"/>
  <c r="W21" i="18" a="1"/>
  <c r="W22" i="18" s="1"/>
  <c r="AB28" i="18" s="1"/>
  <c r="W21" i="19"/>
  <c r="Z28" i="19" s="1"/>
  <c r="AF29" i="16"/>
  <c r="AZ29" i="16" s="1"/>
  <c r="AF31" i="16"/>
  <c r="AZ31" i="16" s="1"/>
  <c r="AZ22" i="16"/>
  <c r="AU22" i="16"/>
  <c r="AP22" i="16"/>
  <c r="AK22" i="16"/>
  <c r="AZ23" i="16"/>
  <c r="AU23" i="16"/>
  <c r="AP23" i="16"/>
  <c r="AK23" i="16"/>
  <c r="AH48" i="19"/>
  <c r="AH49" i="19"/>
  <c r="AZ20" i="16"/>
  <c r="AU20" i="16"/>
  <c r="AP20" i="16"/>
  <c r="AK20" i="16"/>
  <c r="AZ17" i="16"/>
  <c r="AU17" i="16"/>
  <c r="AP17" i="16"/>
  <c r="AK17" i="16"/>
  <c r="AH48" i="17"/>
  <c r="AH49" i="17"/>
  <c r="AZ27" i="16"/>
  <c r="AU27" i="16"/>
  <c r="AP27" i="16"/>
  <c r="AK27" i="16"/>
  <c r="AZ30" i="16"/>
  <c r="AP30" i="16"/>
  <c r="AK30" i="16"/>
  <c r="AZ32" i="16"/>
  <c r="AU32" i="16"/>
  <c r="AP32" i="16"/>
  <c r="AK32" i="16"/>
  <c r="AZ25" i="16"/>
  <c r="AU25" i="16"/>
  <c r="AP25" i="16"/>
  <c r="AK25" i="16"/>
  <c r="AB28" i="19"/>
  <c r="AF28" i="16"/>
  <c r="AZ18" i="16"/>
  <c r="AU18" i="16"/>
  <c r="AP18" i="16"/>
  <c r="AK18" i="16"/>
  <c r="AZ19" i="16"/>
  <c r="AU19" i="16"/>
  <c r="AP19" i="16"/>
  <c r="AK19" i="16"/>
  <c r="AD80" i="18"/>
  <c r="AL37" i="16" s="1"/>
  <c r="AD81" i="18"/>
  <c r="AL38" i="16" s="1"/>
  <c r="AD79" i="18"/>
  <c r="AL36" i="16" s="1"/>
  <c r="AD78" i="18"/>
  <c r="AL35" i="16" s="1"/>
  <c r="AL34" i="16"/>
  <c r="AH48" i="21"/>
  <c r="AH49" i="21"/>
  <c r="AZ24" i="16"/>
  <c r="AU24" i="16"/>
  <c r="AP24" i="16"/>
  <c r="AK24" i="16"/>
  <c r="AZ21" i="16"/>
  <c r="AU21" i="16"/>
  <c r="AP21" i="16"/>
  <c r="AK21" i="16"/>
  <c r="AD80" i="19"/>
  <c r="AQ37" i="16" s="1"/>
  <c r="AD78" i="19"/>
  <c r="AQ35" i="16" s="1"/>
  <c r="AD81" i="19"/>
  <c r="AQ38" i="16" s="1"/>
  <c r="AD79" i="19"/>
  <c r="AQ36" i="16" s="1"/>
  <c r="AQ34" i="16"/>
  <c r="AD80" i="20"/>
  <c r="AV37" i="16" s="1"/>
  <c r="AD78" i="20"/>
  <c r="AV35" i="16" s="1"/>
  <c r="AD81" i="20"/>
  <c r="AV38" i="16" s="1"/>
  <c r="AD79" i="20"/>
  <c r="AV36" i="16" s="1"/>
  <c r="AV34" i="16"/>
  <c r="AD80" i="17"/>
  <c r="AG37" i="16" s="1"/>
  <c r="AD78" i="17"/>
  <c r="AG35" i="16" s="1"/>
  <c r="AG34" i="16"/>
  <c r="AF34" i="16" s="1"/>
  <c r="AD81" i="17"/>
  <c r="AG38" i="16" s="1"/>
  <c r="AD79" i="17"/>
  <c r="AG36" i="16" s="1"/>
  <c r="AH48" i="18"/>
  <c r="AH49" i="18"/>
  <c r="AD80" i="21"/>
  <c r="BA37" i="16" s="1"/>
  <c r="AD78" i="21"/>
  <c r="BA35" i="16" s="1"/>
  <c r="AD81" i="21"/>
  <c r="BA38" i="16" s="1"/>
  <c r="AD79" i="21"/>
  <c r="BA36" i="16" s="1"/>
  <c r="BA34" i="16"/>
  <c r="AF26" i="16"/>
  <c r="AF33" i="16"/>
  <c r="W22" i="21" l="1"/>
  <c r="Z28" i="21" s="1"/>
  <c r="Y28" i="21" s="1"/>
  <c r="Y32" i="21" s="1"/>
  <c r="AF36" i="16"/>
  <c r="AK31" i="16"/>
  <c r="AU31" i="16"/>
  <c r="AP31" i="16"/>
  <c r="AI45" i="19"/>
  <c r="AI49" i="19" s="1"/>
  <c r="AI31" i="19"/>
  <c r="AI32" i="19" s="1"/>
  <c r="AI33" i="19" s="1"/>
  <c r="AI34" i="19" s="1"/>
  <c r="AI21" i="19"/>
  <c r="W21" i="17"/>
  <c r="X28" i="17" s="1"/>
  <c r="AU29" i="16"/>
  <c r="AI24" i="19"/>
  <c r="AI28" i="19" s="1"/>
  <c r="AI38" i="19"/>
  <c r="AI39" i="19" s="1"/>
  <c r="AI40" i="19" s="1"/>
  <c r="AI41" i="19" s="1"/>
  <c r="W22" i="20"/>
  <c r="AK29" i="16"/>
  <c r="W21" i="18"/>
  <c r="X28" i="18" s="1"/>
  <c r="W28" i="18" s="1"/>
  <c r="X28" i="19"/>
  <c r="AP29" i="16"/>
  <c r="AF38" i="16"/>
  <c r="AU38" i="16" s="1"/>
  <c r="AF35" i="16"/>
  <c r="AZ35" i="16" s="1"/>
  <c r="AZ33" i="16"/>
  <c r="AU33" i="16"/>
  <c r="AP33" i="16"/>
  <c r="AK33" i="16"/>
  <c r="AA32" i="19"/>
  <c r="AA28" i="19"/>
  <c r="Z32" i="19" s="1"/>
  <c r="Y28" i="19"/>
  <c r="W28" i="21"/>
  <c r="AB28" i="17"/>
  <c r="AZ26" i="16"/>
  <c r="AU26" i="16"/>
  <c r="AP26" i="16"/>
  <c r="AK26" i="16"/>
  <c r="AZ36" i="16"/>
  <c r="AU36" i="16"/>
  <c r="AP36" i="16"/>
  <c r="AK36" i="16"/>
  <c r="AZ34" i="16"/>
  <c r="AU34" i="16"/>
  <c r="AP34" i="16"/>
  <c r="AK34" i="16"/>
  <c r="AA32" i="18"/>
  <c r="AA28" i="18"/>
  <c r="AZ28" i="16"/>
  <c r="AU28" i="16"/>
  <c r="AP28" i="16"/>
  <c r="AK28" i="16"/>
  <c r="AL33" i="20"/>
  <c r="AM33" i="20" s="1"/>
  <c r="AK40" i="20" s="1"/>
  <c r="AK41" i="20" s="1"/>
  <c r="AB49" i="20"/>
  <c r="AF53" i="20" s="1"/>
  <c r="AX10" i="16" s="1"/>
  <c r="AB54" i="20"/>
  <c r="AF58" i="20" s="1"/>
  <c r="AX15" i="16" s="1"/>
  <c r="AB48" i="20"/>
  <c r="AF52" i="20" s="1"/>
  <c r="AX9" i="16" s="1"/>
  <c r="AB50" i="20"/>
  <c r="AF54" i="20" s="1"/>
  <c r="AX11" i="16" s="1"/>
  <c r="AB51" i="20"/>
  <c r="AF55" i="20" s="1"/>
  <c r="AX12" i="16" s="1"/>
  <c r="AB52" i="20"/>
  <c r="AF56" i="20" s="1"/>
  <c r="AX13" i="16" s="1"/>
  <c r="AB47" i="20"/>
  <c r="AF51" i="20" s="1"/>
  <c r="AX8" i="16" s="1"/>
  <c r="W51" i="16" s="1"/>
  <c r="AB55" i="20"/>
  <c r="AF59" i="20" s="1"/>
  <c r="AX16" i="16" s="1"/>
  <c r="X51" i="16" s="1"/>
  <c r="AA55" i="20"/>
  <c r="AE59" i="20" s="1"/>
  <c r="AA53" i="20"/>
  <c r="AE57" i="20" s="1"/>
  <c r="AW14" i="16" s="1"/>
  <c r="AA47" i="20"/>
  <c r="AE51" i="20" s="1"/>
  <c r="AW8" i="16" s="1"/>
  <c r="AA51" i="20"/>
  <c r="AE55" i="20" s="1"/>
  <c r="AW12" i="16" s="1"/>
  <c r="AA48" i="20"/>
  <c r="AE52" i="20" s="1"/>
  <c r="AW9" i="16" s="1"/>
  <c r="AB53" i="20"/>
  <c r="AF57" i="20" s="1"/>
  <c r="AX14" i="16" s="1"/>
  <c r="AA54" i="20"/>
  <c r="AE58" i="20" s="1"/>
  <c r="AW15" i="16" s="1"/>
  <c r="AA49" i="20"/>
  <c r="AE53" i="20" s="1"/>
  <c r="AW10" i="16" s="1"/>
  <c r="AA52" i="20"/>
  <c r="AE56" i="20" s="1"/>
  <c r="AW13" i="16" s="1"/>
  <c r="AA50" i="20"/>
  <c r="AE54" i="20" s="1"/>
  <c r="AW11" i="16" s="1"/>
  <c r="X32" i="20"/>
  <c r="AF37" i="16"/>
  <c r="AI46" i="19" l="1"/>
  <c r="AI47" i="19" s="1"/>
  <c r="AI48" i="19" s="1"/>
  <c r="Z28" i="18"/>
  <c r="Y28" i="18" s="1"/>
  <c r="X65" i="18" s="1"/>
  <c r="AF66" i="18" s="1"/>
  <c r="AN23" i="16" s="1"/>
  <c r="AB28" i="21"/>
  <c r="AA32" i="21" s="1"/>
  <c r="W41" i="21" s="1"/>
  <c r="AI42" i="19"/>
  <c r="AZ38" i="16"/>
  <c r="AI35" i="19"/>
  <c r="Z28" i="17"/>
  <c r="Y28" i="17" s="1"/>
  <c r="Y32" i="17" s="1"/>
  <c r="AI25" i="19"/>
  <c r="AI26" i="19" s="1"/>
  <c r="AI27" i="19" s="1"/>
  <c r="AB28" i="20"/>
  <c r="Z28" i="20"/>
  <c r="Y28" i="20" s="1"/>
  <c r="Y32" i="20" s="1"/>
  <c r="Y32" i="19"/>
  <c r="Z37" i="19" s="1"/>
  <c r="W28" i="19"/>
  <c r="AB47" i="19" s="1"/>
  <c r="AF51" i="19" s="1"/>
  <c r="AS8" i="16" s="1"/>
  <c r="W48" i="16" s="1"/>
  <c r="AK38" i="16"/>
  <c r="AP38" i="16"/>
  <c r="AK35" i="16"/>
  <c r="AU35" i="16"/>
  <c r="AP35" i="16"/>
  <c r="AN33" i="20"/>
  <c r="AL41" i="20" s="1"/>
  <c r="AC37" i="19"/>
  <c r="AA62" i="16"/>
  <c r="AL33" i="18"/>
  <c r="AM33" i="18" s="1"/>
  <c r="AK40" i="18" s="1"/>
  <c r="AK41" i="18" s="1"/>
  <c r="AB55" i="18"/>
  <c r="AF59" i="18" s="1"/>
  <c r="AN16" i="16" s="1"/>
  <c r="X45" i="16" s="1"/>
  <c r="AB49" i="18"/>
  <c r="AF53" i="18" s="1"/>
  <c r="AN10" i="16" s="1"/>
  <c r="AB48" i="18"/>
  <c r="AF52" i="18" s="1"/>
  <c r="AN9" i="16" s="1"/>
  <c r="AB50" i="18"/>
  <c r="AF54" i="18" s="1"/>
  <c r="AN11" i="16" s="1"/>
  <c r="AB51" i="18"/>
  <c r="AF55" i="18" s="1"/>
  <c r="AN12" i="16" s="1"/>
  <c r="AB52" i="18"/>
  <c r="AF56" i="18" s="1"/>
  <c r="AN13" i="16" s="1"/>
  <c r="AB53" i="18"/>
  <c r="AF57" i="18" s="1"/>
  <c r="AN14" i="16" s="1"/>
  <c r="AB54" i="18"/>
  <c r="AF58" i="18" s="1"/>
  <c r="AN15" i="16" s="1"/>
  <c r="AB47" i="18"/>
  <c r="AF51" i="18" s="1"/>
  <c r="AN8" i="16" s="1"/>
  <c r="W45" i="16" s="1"/>
  <c r="AA49" i="18"/>
  <c r="AE53" i="18" s="1"/>
  <c r="AM10" i="16" s="1"/>
  <c r="AA55" i="18"/>
  <c r="AE59" i="18" s="1"/>
  <c r="AA53" i="18"/>
  <c r="AE57" i="18" s="1"/>
  <c r="AM14" i="16" s="1"/>
  <c r="AA51" i="18"/>
  <c r="AE55" i="18" s="1"/>
  <c r="AM12" i="16" s="1"/>
  <c r="AA48" i="18"/>
  <c r="AE52" i="18" s="1"/>
  <c r="AM9" i="16" s="1"/>
  <c r="X32" i="18"/>
  <c r="AA47" i="18"/>
  <c r="AE51" i="18" s="1"/>
  <c r="AM8" i="16" s="1"/>
  <c r="AA54" i="18"/>
  <c r="AE58" i="18" s="1"/>
  <c r="AM15" i="16" s="1"/>
  <c r="AA52" i="18"/>
  <c r="AE56" i="18" s="1"/>
  <c r="AM13" i="16" s="1"/>
  <c r="AA50" i="18"/>
  <c r="AE54" i="18" s="1"/>
  <c r="AM11" i="16" s="1"/>
  <c r="AL35" i="18"/>
  <c r="AM35" i="18" s="1"/>
  <c r="AK44" i="18" s="1"/>
  <c r="AK45" i="18" s="1"/>
  <c r="AB61" i="18"/>
  <c r="AF71" i="18" s="1"/>
  <c r="AN28" i="16" s="1"/>
  <c r="AB63" i="18"/>
  <c r="AF73" i="18" s="1"/>
  <c r="AN30" i="16" s="1"/>
  <c r="AB65" i="18"/>
  <c r="AF75" i="18" s="1"/>
  <c r="AN32" i="16" s="1"/>
  <c r="AB67" i="18"/>
  <c r="AF77" i="18" s="1"/>
  <c r="AN34" i="16" s="1"/>
  <c r="AB45" i="16" s="1"/>
  <c r="AB59" i="18"/>
  <c r="AF69" i="18" s="1"/>
  <c r="AN26" i="16" s="1"/>
  <c r="AA45" i="16" s="1"/>
  <c r="AB60" i="18"/>
  <c r="AF70" i="18" s="1"/>
  <c r="AN27" i="16" s="1"/>
  <c r="AB62" i="18"/>
  <c r="AF72" i="18" s="1"/>
  <c r="AN29" i="16" s="1"/>
  <c r="AB64" i="18"/>
  <c r="AF74" i="18" s="1"/>
  <c r="AN31" i="16" s="1"/>
  <c r="AB66" i="18"/>
  <c r="AF76" i="18" s="1"/>
  <c r="AN33" i="16" s="1"/>
  <c r="AA67" i="18"/>
  <c r="AE77" i="18" s="1"/>
  <c r="AA63" i="18"/>
  <c r="AE73" i="18" s="1"/>
  <c r="AM30" i="16" s="1"/>
  <c r="AA64" i="18"/>
  <c r="AE74" i="18" s="1"/>
  <c r="AM31" i="16" s="1"/>
  <c r="AA60" i="18"/>
  <c r="AE70" i="18" s="1"/>
  <c r="AM27" i="16" s="1"/>
  <c r="AA65" i="18"/>
  <c r="AE75" i="18" s="1"/>
  <c r="AM32" i="16" s="1"/>
  <c r="AA61" i="18"/>
  <c r="AE71" i="18" s="1"/>
  <c r="AM28" i="16" s="1"/>
  <c r="AA66" i="18"/>
  <c r="AE76" i="18" s="1"/>
  <c r="AM33" i="16" s="1"/>
  <c r="AA62" i="18"/>
  <c r="AE72" i="18" s="1"/>
  <c r="AM29" i="16" s="1"/>
  <c r="AA59" i="18"/>
  <c r="AE69" i="18" s="1"/>
  <c r="AM26" i="16" s="1"/>
  <c r="AB61" i="16"/>
  <c r="W41" i="18"/>
  <c r="AL34" i="19"/>
  <c r="AM34" i="19" s="1"/>
  <c r="AK42" i="19" s="1"/>
  <c r="AK43" i="19" s="1"/>
  <c r="X67" i="19"/>
  <c r="AF68" i="19" s="1"/>
  <c r="AS25" i="16" s="1"/>
  <c r="Z48" i="16" s="1"/>
  <c r="X59" i="19"/>
  <c r="AF60" i="19" s="1"/>
  <c r="AS17" i="16" s="1"/>
  <c r="Y48" i="16" s="1"/>
  <c r="X65" i="19"/>
  <c r="AF66" i="19" s="1"/>
  <c r="AS23" i="16" s="1"/>
  <c r="X61" i="19"/>
  <c r="AF62" i="19" s="1"/>
  <c r="AS19" i="16" s="1"/>
  <c r="X64" i="19"/>
  <c r="AF65" i="19" s="1"/>
  <c r="AS22" i="16" s="1"/>
  <c r="X60" i="19"/>
  <c r="AF61" i="19" s="1"/>
  <c r="AS18" i="16" s="1"/>
  <c r="X63" i="19"/>
  <c r="AF64" i="19" s="1"/>
  <c r="AS21" i="16" s="1"/>
  <c r="X66" i="19"/>
  <c r="AF67" i="19" s="1"/>
  <c r="AS24" i="16" s="1"/>
  <c r="X62" i="19"/>
  <c r="AF63" i="19" s="1"/>
  <c r="AS20" i="16" s="1"/>
  <c r="W66" i="19"/>
  <c r="AE67" i="19" s="1"/>
  <c r="AR24" i="16" s="1"/>
  <c r="W62" i="19"/>
  <c r="AE63" i="19" s="1"/>
  <c r="AR20" i="16" s="1"/>
  <c r="W65" i="19"/>
  <c r="AE66" i="19" s="1"/>
  <c r="AR23" i="16" s="1"/>
  <c r="W61" i="19"/>
  <c r="AE62" i="19" s="1"/>
  <c r="AR19" i="16" s="1"/>
  <c r="W64" i="19"/>
  <c r="AE65" i="19" s="1"/>
  <c r="AR22" i="16" s="1"/>
  <c r="W60" i="19"/>
  <c r="AE61" i="19" s="1"/>
  <c r="AR18" i="16" s="1"/>
  <c r="W67" i="19"/>
  <c r="AE68" i="19" s="1"/>
  <c r="W63" i="19"/>
  <c r="AE64" i="19" s="1"/>
  <c r="AR21" i="16" s="1"/>
  <c r="W59" i="19"/>
  <c r="AE60" i="19" s="1"/>
  <c r="AR17" i="16" s="1"/>
  <c r="AZ37" i="16"/>
  <c r="AU37" i="16"/>
  <c r="AP37" i="16"/>
  <c r="AK37" i="16"/>
  <c r="W28" i="17"/>
  <c r="W37" i="20"/>
  <c r="Y63" i="16"/>
  <c r="AL20" i="20"/>
  <c r="AW16" i="16"/>
  <c r="X64" i="18"/>
  <c r="AF65" i="18" s="1"/>
  <c r="AN22" i="16" s="1"/>
  <c r="X66" i="18"/>
  <c r="AF67" i="18" s="1"/>
  <c r="AN24" i="16" s="1"/>
  <c r="X61" i="18"/>
  <c r="AF62" i="18" s="1"/>
  <c r="AN19" i="16" s="1"/>
  <c r="X63" i="18"/>
  <c r="AF64" i="18" s="1"/>
  <c r="AN21" i="16" s="1"/>
  <c r="W65" i="18"/>
  <c r="AE66" i="18" s="1"/>
  <c r="AM23" i="16" s="1"/>
  <c r="W67" i="18"/>
  <c r="AE68" i="18" s="1"/>
  <c r="AA32" i="17"/>
  <c r="AA28" i="17"/>
  <c r="AL33" i="21"/>
  <c r="AM33" i="21" s="1"/>
  <c r="AK40" i="21" s="1"/>
  <c r="AK41" i="21" s="1"/>
  <c r="AB55" i="21"/>
  <c r="AF59" i="21" s="1"/>
  <c r="BC16" i="16" s="1"/>
  <c r="X54" i="16" s="1"/>
  <c r="AB47" i="21"/>
  <c r="AF51" i="21" s="1"/>
  <c r="BC8" i="16" s="1"/>
  <c r="W54" i="16" s="1"/>
  <c r="AB54" i="21"/>
  <c r="AF58" i="21" s="1"/>
  <c r="BC15" i="16" s="1"/>
  <c r="AB50" i="21"/>
  <c r="AF54" i="21" s="1"/>
  <c r="BC11" i="16" s="1"/>
  <c r="AB53" i="21"/>
  <c r="AF57" i="21" s="1"/>
  <c r="BC14" i="16" s="1"/>
  <c r="AB49" i="21"/>
  <c r="AF53" i="21" s="1"/>
  <c r="BC10" i="16" s="1"/>
  <c r="AA49" i="21"/>
  <c r="AE53" i="21" s="1"/>
  <c r="BB10" i="16" s="1"/>
  <c r="AA55" i="21"/>
  <c r="AE59" i="21" s="1"/>
  <c r="AA53" i="21"/>
  <c r="AE57" i="21" s="1"/>
  <c r="BB14" i="16" s="1"/>
  <c r="AA51" i="21"/>
  <c r="AE55" i="21" s="1"/>
  <c r="BB12" i="16" s="1"/>
  <c r="AA48" i="21"/>
  <c r="AE52" i="21" s="1"/>
  <c r="BB9" i="16" s="1"/>
  <c r="X32" i="21"/>
  <c r="AB52" i="21"/>
  <c r="AF56" i="21" s="1"/>
  <c r="BC13" i="16" s="1"/>
  <c r="AB48" i="21"/>
  <c r="AF52" i="21" s="1"/>
  <c r="BC9" i="16" s="1"/>
  <c r="AB51" i="21"/>
  <c r="AF55" i="21" s="1"/>
  <c r="BC12" i="16" s="1"/>
  <c r="AA47" i="21"/>
  <c r="AE51" i="21" s="1"/>
  <c r="BB8" i="16" s="1"/>
  <c r="AA54" i="21"/>
  <c r="AE58" i="21" s="1"/>
  <c r="BB15" i="16" s="1"/>
  <c r="AA52" i="21"/>
  <c r="AE56" i="21" s="1"/>
  <c r="BB13" i="16" s="1"/>
  <c r="AA50" i="21"/>
  <c r="AE54" i="21" s="1"/>
  <c r="BB11" i="16" s="1"/>
  <c r="Z37" i="21"/>
  <c r="Z64" i="16"/>
  <c r="AL35" i="19"/>
  <c r="AM35" i="19" s="1"/>
  <c r="AK44" i="19" s="1"/>
  <c r="AK45" i="19" s="1"/>
  <c r="AB66" i="19"/>
  <c r="AF76" i="19" s="1"/>
  <c r="AS33" i="16" s="1"/>
  <c r="AB59" i="19"/>
  <c r="AF69" i="19" s="1"/>
  <c r="AS26" i="16" s="1"/>
  <c r="AA48" i="16" s="1"/>
  <c r="AB65" i="19"/>
  <c r="AF75" i="19" s="1"/>
  <c r="AS32" i="16" s="1"/>
  <c r="AB61" i="19"/>
  <c r="AF71" i="19" s="1"/>
  <c r="AS28" i="16" s="1"/>
  <c r="AB64" i="19"/>
  <c r="AF74" i="19" s="1"/>
  <c r="AS31" i="16" s="1"/>
  <c r="AB60" i="19"/>
  <c r="AF70" i="19" s="1"/>
  <c r="AS27" i="16" s="1"/>
  <c r="AB67" i="19"/>
  <c r="AF77" i="19" s="1"/>
  <c r="AS34" i="16" s="1"/>
  <c r="AB48" i="16" s="1"/>
  <c r="AB63" i="19"/>
  <c r="AF73" i="19" s="1"/>
  <c r="AS30" i="16" s="1"/>
  <c r="AB62" i="19"/>
  <c r="AF72" i="19" s="1"/>
  <c r="AS29" i="16" s="1"/>
  <c r="AA65" i="19"/>
  <c r="AE75" i="19" s="1"/>
  <c r="AR32" i="16" s="1"/>
  <c r="AA61" i="19"/>
  <c r="AE71" i="19" s="1"/>
  <c r="AR28" i="16" s="1"/>
  <c r="AA66" i="19"/>
  <c r="AE76" i="19" s="1"/>
  <c r="AR33" i="16" s="1"/>
  <c r="AA62" i="19"/>
  <c r="AE72" i="19" s="1"/>
  <c r="AR29" i="16" s="1"/>
  <c r="AA59" i="19"/>
  <c r="AE69" i="19" s="1"/>
  <c r="AR26" i="16" s="1"/>
  <c r="AA67" i="19"/>
  <c r="AE77" i="19" s="1"/>
  <c r="AA63" i="19"/>
  <c r="AE73" i="19" s="1"/>
  <c r="AR30" i="16" s="1"/>
  <c r="AA64" i="19"/>
  <c r="AE74" i="19" s="1"/>
  <c r="AR31" i="16" s="1"/>
  <c r="AA60" i="19"/>
  <c r="AE70" i="19" s="1"/>
  <c r="AR27" i="16" s="1"/>
  <c r="W41" i="19"/>
  <c r="AB62" i="16"/>
  <c r="AL34" i="21"/>
  <c r="AM34" i="21" s="1"/>
  <c r="AK42" i="21" s="1"/>
  <c r="AK43" i="21" s="1"/>
  <c r="X67" i="21"/>
  <c r="AF68" i="21" s="1"/>
  <c r="BC25" i="16" s="1"/>
  <c r="Z54" i="16" s="1"/>
  <c r="X59" i="21"/>
  <c r="AF60" i="21" s="1"/>
  <c r="BC17" i="16" s="1"/>
  <c r="Y54" i="16" s="1"/>
  <c r="X63" i="21"/>
  <c r="AF64" i="21" s="1"/>
  <c r="BC21" i="16" s="1"/>
  <c r="X66" i="21"/>
  <c r="AF67" i="21" s="1"/>
  <c r="BC24" i="16" s="1"/>
  <c r="X62" i="21"/>
  <c r="AF63" i="21" s="1"/>
  <c r="BC20" i="16" s="1"/>
  <c r="X65" i="21"/>
  <c r="AF66" i="21" s="1"/>
  <c r="BC23" i="16" s="1"/>
  <c r="X61" i="21"/>
  <c r="AF62" i="21" s="1"/>
  <c r="BC19" i="16" s="1"/>
  <c r="X64" i="21"/>
  <c r="AF65" i="21" s="1"/>
  <c r="BC22" i="16" s="1"/>
  <c r="X60" i="21"/>
  <c r="AF61" i="21" s="1"/>
  <c r="BC18" i="16" s="1"/>
  <c r="W64" i="21"/>
  <c r="AE65" i="21" s="1"/>
  <c r="BB22" i="16" s="1"/>
  <c r="W60" i="21"/>
  <c r="AE61" i="21" s="1"/>
  <c r="BB18" i="16" s="1"/>
  <c r="W67" i="21"/>
  <c r="AE68" i="21" s="1"/>
  <c r="W63" i="21"/>
  <c r="AE64" i="21" s="1"/>
  <c r="BB21" i="16" s="1"/>
  <c r="W59" i="21"/>
  <c r="AE60" i="21" s="1"/>
  <c r="BB17" i="16" s="1"/>
  <c r="W66" i="21"/>
  <c r="AE67" i="21" s="1"/>
  <c r="BB24" i="16" s="1"/>
  <c r="W62" i="21"/>
  <c r="AE63" i="21" s="1"/>
  <c r="BB20" i="16" s="1"/>
  <c r="W65" i="21"/>
  <c r="AE66" i="21" s="1"/>
  <c r="BB23" i="16" s="1"/>
  <c r="W61" i="21"/>
  <c r="AE62" i="21" s="1"/>
  <c r="BB19" i="16" s="1"/>
  <c r="Z32" i="18"/>
  <c r="X62" i="18" l="1"/>
  <c r="AF63" i="18" s="1"/>
  <c r="AN20" i="16" s="1"/>
  <c r="AL34" i="18"/>
  <c r="AM34" i="18" s="1"/>
  <c r="AK42" i="18" s="1"/>
  <c r="AK43" i="18" s="1"/>
  <c r="W59" i="18"/>
  <c r="AE60" i="18" s="1"/>
  <c r="AM17" i="16" s="1"/>
  <c r="W63" i="18"/>
  <c r="AE64" i="18" s="1"/>
  <c r="AM21" i="16" s="1"/>
  <c r="W60" i="18"/>
  <c r="AE61" i="18" s="1"/>
  <c r="AM18" i="16" s="1"/>
  <c r="AI17" i="20"/>
  <c r="AI21" i="20" s="1"/>
  <c r="Y32" i="18"/>
  <c r="Z37" i="18" s="1"/>
  <c r="W64" i="18"/>
  <c r="AE65" i="18" s="1"/>
  <c r="AM22" i="16" s="1"/>
  <c r="X60" i="18"/>
  <c r="AF61" i="18" s="1"/>
  <c r="AN18" i="16" s="1"/>
  <c r="AA28" i="21"/>
  <c r="Z32" i="21" s="1"/>
  <c r="AC37" i="21" s="1"/>
  <c r="W61" i="18"/>
  <c r="AE62" i="18" s="1"/>
  <c r="AM19" i="16" s="1"/>
  <c r="X67" i="18"/>
  <c r="AF68" i="18" s="1"/>
  <c r="AN25" i="16" s="1"/>
  <c r="Z45" i="16" s="1"/>
  <c r="AB64" i="16"/>
  <c r="W66" i="18"/>
  <c r="AE67" i="18" s="1"/>
  <c r="AM24" i="16" s="1"/>
  <c r="W62" i="18"/>
  <c r="AE63" i="18" s="1"/>
  <c r="AM20" i="16" s="1"/>
  <c r="X59" i="18"/>
  <c r="AF60" i="18" s="1"/>
  <c r="AN17" i="16" s="1"/>
  <c r="Y45" i="16" s="1"/>
  <c r="AB59" i="21"/>
  <c r="AF69" i="21" s="1"/>
  <c r="BC26" i="16" s="1"/>
  <c r="AA54" i="16" s="1"/>
  <c r="Z32" i="17"/>
  <c r="AC37" i="17" s="1"/>
  <c r="AA50" i="19"/>
  <c r="AE54" i="19" s="1"/>
  <c r="AR11" i="16" s="1"/>
  <c r="AA51" i="19"/>
  <c r="AE55" i="19" s="1"/>
  <c r="AR12" i="16" s="1"/>
  <c r="AB55" i="19"/>
  <c r="AF59" i="19" s="1"/>
  <c r="AS16" i="16" s="1"/>
  <c r="X48" i="16" s="1"/>
  <c r="AB49" i="19"/>
  <c r="AF53" i="19" s="1"/>
  <c r="AS10" i="16" s="1"/>
  <c r="X32" i="19"/>
  <c r="Y62" i="16" s="1"/>
  <c r="Z62" i="16"/>
  <c r="AA65" i="21"/>
  <c r="AE75" i="21" s="1"/>
  <c r="BB32" i="16" s="1"/>
  <c r="AA59" i="21"/>
  <c r="AE69" i="21" s="1"/>
  <c r="BB26" i="16" s="1"/>
  <c r="AB65" i="21"/>
  <c r="AF75" i="21" s="1"/>
  <c r="BC32" i="16" s="1"/>
  <c r="X59" i="20"/>
  <c r="AF60" i="20" s="1"/>
  <c r="AX17" i="16" s="1"/>
  <c r="Y51" i="16" s="1"/>
  <c r="W63" i="20"/>
  <c r="AE64" i="20" s="1"/>
  <c r="AW21" i="16" s="1"/>
  <c r="W67" i="20"/>
  <c r="AE68" i="20" s="1"/>
  <c r="AL22" i="20" s="1"/>
  <c r="W64" i="20"/>
  <c r="AE65" i="20" s="1"/>
  <c r="AW22" i="16" s="1"/>
  <c r="X66" i="20"/>
  <c r="AF67" i="20" s="1"/>
  <c r="AX24" i="16" s="1"/>
  <c r="X63" i="20"/>
  <c r="AF64" i="20" s="1"/>
  <c r="AX21" i="16" s="1"/>
  <c r="X60" i="20"/>
  <c r="AF61" i="20" s="1"/>
  <c r="AX18" i="16" s="1"/>
  <c r="W61" i="20"/>
  <c r="AE62" i="20" s="1"/>
  <c r="AW19" i="16" s="1"/>
  <c r="AL34" i="20"/>
  <c r="AM34" i="20" s="1"/>
  <c r="AK42" i="20" s="1"/>
  <c r="AK43" i="20" s="1"/>
  <c r="Z63" i="16"/>
  <c r="Z37" i="20"/>
  <c r="AA28" i="20"/>
  <c r="AA32" i="20"/>
  <c r="AA55" i="19"/>
  <c r="AE59" i="19" s="1"/>
  <c r="AL20" i="19" s="1"/>
  <c r="AB50" i="19"/>
  <c r="AF54" i="19" s="1"/>
  <c r="AS11" i="16" s="1"/>
  <c r="AA54" i="19"/>
  <c r="AE58" i="19" s="1"/>
  <c r="AR15" i="16" s="1"/>
  <c r="AB48" i="19"/>
  <c r="AF52" i="19" s="1"/>
  <c r="AS9" i="16" s="1"/>
  <c r="AL33" i="19"/>
  <c r="AM33" i="19" s="1"/>
  <c r="AK40" i="19" s="1"/>
  <c r="AK41" i="19" s="1"/>
  <c r="X64" i="20"/>
  <c r="AF65" i="20" s="1"/>
  <c r="AX22" i="16" s="1"/>
  <c r="X65" i="20"/>
  <c r="AF66" i="20" s="1"/>
  <c r="AX23" i="16" s="1"/>
  <c r="X67" i="20"/>
  <c r="AF68" i="20" s="1"/>
  <c r="AX25" i="16" s="1"/>
  <c r="Z51" i="16" s="1"/>
  <c r="W66" i="20"/>
  <c r="AE67" i="20" s="1"/>
  <c r="AW24" i="16" s="1"/>
  <c r="W59" i="20"/>
  <c r="AE60" i="20" s="1"/>
  <c r="AW17" i="16" s="1"/>
  <c r="X61" i="20"/>
  <c r="AF62" i="20" s="1"/>
  <c r="AX19" i="16" s="1"/>
  <c r="W60" i="20"/>
  <c r="AE61" i="20" s="1"/>
  <c r="AW18" i="16" s="1"/>
  <c r="X62" i="20"/>
  <c r="AF63" i="20" s="1"/>
  <c r="AX20" i="16" s="1"/>
  <c r="W62" i="20"/>
  <c r="AE63" i="20" s="1"/>
  <c r="AW20" i="16" s="1"/>
  <c r="W65" i="20"/>
  <c r="AE66" i="20" s="1"/>
  <c r="AW23" i="16" s="1"/>
  <c r="AA48" i="19"/>
  <c r="AE52" i="19" s="1"/>
  <c r="AR9" i="16" s="1"/>
  <c r="AA53" i="19"/>
  <c r="AE57" i="19" s="1"/>
  <c r="AR14" i="16" s="1"/>
  <c r="AA49" i="19"/>
  <c r="AE53" i="19" s="1"/>
  <c r="AR10" i="16" s="1"/>
  <c r="AB53" i="19"/>
  <c r="AF57" i="19" s="1"/>
  <c r="AS14" i="16" s="1"/>
  <c r="AB54" i="19"/>
  <c r="AF58" i="19" s="1"/>
  <c r="AS15" i="16" s="1"/>
  <c r="AA52" i="19"/>
  <c r="AE56" i="19" s="1"/>
  <c r="AR13" i="16" s="1"/>
  <c r="AA47" i="19"/>
  <c r="AE51" i="19" s="1"/>
  <c r="AR8" i="16" s="1"/>
  <c r="AB51" i="19"/>
  <c r="AF55" i="19" s="1"/>
  <c r="AS12" i="16" s="1"/>
  <c r="AB52" i="19"/>
  <c r="AF56" i="19" s="1"/>
  <c r="AS13" i="16" s="1"/>
  <c r="AN34" i="21"/>
  <c r="AL43" i="21" s="1"/>
  <c r="Z60" i="16"/>
  <c r="Z37" i="17"/>
  <c r="AC37" i="18"/>
  <c r="AA61" i="16"/>
  <c r="W37" i="21"/>
  <c r="Y64" i="16"/>
  <c r="AL20" i="21"/>
  <c r="BB16" i="16"/>
  <c r="AL35" i="17"/>
  <c r="AM35" i="17" s="1"/>
  <c r="AK44" i="17" s="1"/>
  <c r="AK45" i="17" s="1"/>
  <c r="AB66" i="17"/>
  <c r="AF76" i="17" s="1"/>
  <c r="AI33" i="16" s="1"/>
  <c r="AB59" i="17"/>
  <c r="AF69" i="17" s="1"/>
  <c r="AI26" i="16" s="1"/>
  <c r="AA42" i="16" s="1"/>
  <c r="AB60" i="17"/>
  <c r="AF70" i="17" s="1"/>
  <c r="AI27" i="16" s="1"/>
  <c r="AB62" i="17"/>
  <c r="AF72" i="17" s="1"/>
  <c r="AI29" i="16" s="1"/>
  <c r="AB64" i="17"/>
  <c r="AF74" i="17" s="1"/>
  <c r="AI31" i="16" s="1"/>
  <c r="AB65" i="17"/>
  <c r="AF75" i="17" s="1"/>
  <c r="AI32" i="16" s="1"/>
  <c r="AB61" i="17"/>
  <c r="AF71" i="17" s="1"/>
  <c r="AI28" i="16" s="1"/>
  <c r="AB67" i="17"/>
  <c r="AF77" i="17" s="1"/>
  <c r="AI34" i="16" s="1"/>
  <c r="AB42" i="16" s="1"/>
  <c r="AB63" i="17"/>
  <c r="AF73" i="17" s="1"/>
  <c r="AI30" i="16" s="1"/>
  <c r="AA67" i="17"/>
  <c r="AE77" i="17" s="1"/>
  <c r="AA63" i="17"/>
  <c r="AE73" i="17" s="1"/>
  <c r="AH30" i="16" s="1"/>
  <c r="AA64" i="17"/>
  <c r="AE74" i="17" s="1"/>
  <c r="AH31" i="16" s="1"/>
  <c r="AA60" i="17"/>
  <c r="AE70" i="17" s="1"/>
  <c r="AH27" i="16" s="1"/>
  <c r="AA65" i="17"/>
  <c r="AE75" i="17" s="1"/>
  <c r="AH32" i="16" s="1"/>
  <c r="AA61" i="17"/>
  <c r="AE71" i="17" s="1"/>
  <c r="AH28" i="16" s="1"/>
  <c r="AA66" i="17"/>
  <c r="AE76" i="17" s="1"/>
  <c r="AH33" i="16" s="1"/>
  <c r="AA62" i="17"/>
  <c r="AE72" i="17" s="1"/>
  <c r="AH29" i="16" s="1"/>
  <c r="AA59" i="17"/>
  <c r="AE69" i="17" s="1"/>
  <c r="AH26" i="16" s="1"/>
  <c r="AB60" i="16"/>
  <c r="W41" i="17"/>
  <c r="AL33" i="17"/>
  <c r="AM33" i="17" s="1"/>
  <c r="AK40" i="17" s="1"/>
  <c r="AK41" i="17" s="1"/>
  <c r="AB47" i="17"/>
  <c r="AF51" i="17" s="1"/>
  <c r="AI8" i="16" s="1"/>
  <c r="W42" i="16" s="1"/>
  <c r="AB48" i="17"/>
  <c r="AF52" i="17" s="1"/>
  <c r="AI9" i="16" s="1"/>
  <c r="AB50" i="17"/>
  <c r="AF54" i="17" s="1"/>
  <c r="AI11" i="16" s="1"/>
  <c r="AB51" i="17"/>
  <c r="AF55" i="17" s="1"/>
  <c r="AI12" i="16" s="1"/>
  <c r="AB52" i="17"/>
  <c r="AF56" i="17" s="1"/>
  <c r="AI13" i="16" s="1"/>
  <c r="AB53" i="17"/>
  <c r="AF57" i="17" s="1"/>
  <c r="AI14" i="16" s="1"/>
  <c r="AB54" i="17"/>
  <c r="AF58" i="17" s="1"/>
  <c r="AI15" i="16" s="1"/>
  <c r="AB55" i="17"/>
  <c r="AF59" i="17" s="1"/>
  <c r="AI16" i="16" s="1"/>
  <c r="X42" i="16" s="1"/>
  <c r="AA47" i="17"/>
  <c r="AE51" i="17" s="1"/>
  <c r="AH8" i="16" s="1"/>
  <c r="AA54" i="17"/>
  <c r="AE58" i="17" s="1"/>
  <c r="AH15" i="16" s="1"/>
  <c r="AA52" i="17"/>
  <c r="AE56" i="17" s="1"/>
  <c r="AH13" i="16" s="1"/>
  <c r="AA50" i="17"/>
  <c r="AE54" i="17" s="1"/>
  <c r="AH11" i="16" s="1"/>
  <c r="AB49" i="17"/>
  <c r="AF53" i="17" s="1"/>
  <c r="AI10" i="16" s="1"/>
  <c r="X32" i="17"/>
  <c r="AA49" i="17"/>
  <c r="AE53" i="17" s="1"/>
  <c r="AH10" i="16" s="1"/>
  <c r="AA55" i="17"/>
  <c r="AE59" i="17" s="1"/>
  <c r="AA53" i="17"/>
  <c r="AE57" i="17" s="1"/>
  <c r="AH14" i="16" s="1"/>
  <c r="AA51" i="17"/>
  <c r="AE55" i="17" s="1"/>
  <c r="AH12" i="16" s="1"/>
  <c r="AA48" i="17"/>
  <c r="AE52" i="17" s="1"/>
  <c r="AH9" i="16" s="1"/>
  <c r="AL24" i="18"/>
  <c r="AM34" i="16"/>
  <c r="AN35" i="19"/>
  <c r="AL45" i="19" s="1"/>
  <c r="AN33" i="21"/>
  <c r="AL41" i="21" s="1"/>
  <c r="AN34" i="18"/>
  <c r="AL43" i="18" s="1"/>
  <c r="AN35" i="18"/>
  <c r="AL45" i="18" s="1"/>
  <c r="AN33" i="18"/>
  <c r="AL41" i="18" s="1"/>
  <c r="AL22" i="21"/>
  <c r="BB25" i="16"/>
  <c r="AL24" i="19"/>
  <c r="AR34" i="16"/>
  <c r="AL34" i="17"/>
  <c r="AM34" i="17" s="1"/>
  <c r="AK42" i="17" s="1"/>
  <c r="AK43" i="17" s="1"/>
  <c r="X61" i="17"/>
  <c r="AF62" i="17" s="1"/>
  <c r="AI19" i="16" s="1"/>
  <c r="X63" i="17"/>
  <c r="AF64" i="17" s="1"/>
  <c r="AI21" i="16" s="1"/>
  <c r="X65" i="17"/>
  <c r="AF66" i="17" s="1"/>
  <c r="AI23" i="16" s="1"/>
  <c r="X67" i="17"/>
  <c r="AF68" i="17" s="1"/>
  <c r="AI25" i="16" s="1"/>
  <c r="Z42" i="16" s="1"/>
  <c r="X59" i="17"/>
  <c r="AF60" i="17" s="1"/>
  <c r="AI17" i="16" s="1"/>
  <c r="Y42" i="16" s="1"/>
  <c r="X64" i="17"/>
  <c r="AF65" i="17" s="1"/>
  <c r="AI22" i="16" s="1"/>
  <c r="X60" i="17"/>
  <c r="AF61" i="17" s="1"/>
  <c r="AI18" i="16" s="1"/>
  <c r="X66" i="17"/>
  <c r="AF67" i="17" s="1"/>
  <c r="AI24" i="16" s="1"/>
  <c r="X62" i="17"/>
  <c r="AF63" i="17" s="1"/>
  <c r="AI20" i="16" s="1"/>
  <c r="W66" i="17"/>
  <c r="AE67" i="17" s="1"/>
  <c r="AH24" i="16" s="1"/>
  <c r="W62" i="17"/>
  <c r="AE63" i="17" s="1"/>
  <c r="AH20" i="16" s="1"/>
  <c r="W65" i="17"/>
  <c r="AE66" i="17" s="1"/>
  <c r="AH23" i="16" s="1"/>
  <c r="W61" i="17"/>
  <c r="AE62" i="17" s="1"/>
  <c r="AH19" i="16" s="1"/>
  <c r="W64" i="17"/>
  <c r="AE65" i="17" s="1"/>
  <c r="AH22" i="16" s="1"/>
  <c r="W60" i="17"/>
  <c r="AE61" i="17" s="1"/>
  <c r="AH18" i="16" s="1"/>
  <c r="W67" i="17"/>
  <c r="AE68" i="17" s="1"/>
  <c r="W63" i="17"/>
  <c r="AE64" i="17" s="1"/>
  <c r="AH21" i="16" s="1"/>
  <c r="W59" i="17"/>
  <c r="AE60" i="17" s="1"/>
  <c r="AH17" i="16" s="1"/>
  <c r="AL22" i="18"/>
  <c r="AM25" i="16"/>
  <c r="AL22" i="19"/>
  <c r="AR25" i="16"/>
  <c r="W37" i="18"/>
  <c r="Y61" i="16"/>
  <c r="AL20" i="18"/>
  <c r="AM16" i="16"/>
  <c r="Z61" i="16" l="1"/>
  <c r="AB60" i="21"/>
  <c r="AF70" i="21" s="1"/>
  <c r="BC27" i="16" s="1"/>
  <c r="AB61" i="21"/>
  <c r="AF71" i="21" s="1"/>
  <c r="BC28" i="16" s="1"/>
  <c r="AA61" i="21"/>
  <c r="AE71" i="21" s="1"/>
  <c r="BB28" i="16" s="1"/>
  <c r="AA62" i="21"/>
  <c r="AE72" i="21" s="1"/>
  <c r="BB29" i="16" s="1"/>
  <c r="AA67" i="21"/>
  <c r="AE77" i="21" s="1"/>
  <c r="AL24" i="21" s="1"/>
  <c r="AA64" i="21"/>
  <c r="AE74" i="21" s="1"/>
  <c r="BB31" i="16" s="1"/>
  <c r="AB63" i="21"/>
  <c r="AF73" i="21" s="1"/>
  <c r="BC30" i="16" s="1"/>
  <c r="AB64" i="21"/>
  <c r="AF74" i="21" s="1"/>
  <c r="BC31" i="16" s="1"/>
  <c r="AA66" i="21"/>
  <c r="AE76" i="21" s="1"/>
  <c r="BB33" i="16" s="1"/>
  <c r="AA63" i="21"/>
  <c r="AE73" i="21" s="1"/>
  <c r="BB30" i="16" s="1"/>
  <c r="AA60" i="21"/>
  <c r="AE70" i="21" s="1"/>
  <c r="BB27" i="16" s="1"/>
  <c r="AL35" i="21"/>
  <c r="AM35" i="21" s="1"/>
  <c r="AK44" i="21" s="1"/>
  <c r="AK45" i="21" s="1"/>
  <c r="AB67" i="21"/>
  <c r="AF77" i="21" s="1"/>
  <c r="BC34" i="16" s="1"/>
  <c r="AB54" i="16" s="1"/>
  <c r="AA64" i="16"/>
  <c r="AB66" i="21"/>
  <c r="AF76" i="21" s="1"/>
  <c r="BC33" i="16" s="1"/>
  <c r="AB62" i="21"/>
  <c r="AF72" i="21" s="1"/>
  <c r="BC29" i="16" s="1"/>
  <c r="AI45" i="20"/>
  <c r="AI49" i="20" s="1"/>
  <c r="AI24" i="20"/>
  <c r="AI28" i="20" s="1"/>
  <c r="AI31" i="20"/>
  <c r="AI35" i="20" s="1"/>
  <c r="AI38" i="20"/>
  <c r="AI39" i="20" s="1"/>
  <c r="AI40" i="20" s="1"/>
  <c r="AI41" i="20" s="1"/>
  <c r="AI18" i="20"/>
  <c r="AI19" i="20" s="1"/>
  <c r="AI20" i="20" s="1"/>
  <c r="AR16" i="16"/>
  <c r="W37" i="19"/>
  <c r="AN34" i="20"/>
  <c r="AL43" i="20" s="1"/>
  <c r="AA60" i="16"/>
  <c r="AN34" i="19"/>
  <c r="AL43" i="19" s="1"/>
  <c r="AW25" i="16"/>
  <c r="AN33" i="19"/>
  <c r="AL41" i="19" s="1"/>
  <c r="AB63" i="16"/>
  <c r="W41" i="20"/>
  <c r="Z32" i="20"/>
  <c r="AA65" i="20"/>
  <c r="AE75" i="20" s="1"/>
  <c r="AW32" i="16" s="1"/>
  <c r="AA66" i="20"/>
  <c r="AE76" i="20" s="1"/>
  <c r="AW33" i="16" s="1"/>
  <c r="AB64" i="20"/>
  <c r="AF74" i="20" s="1"/>
  <c r="AX31" i="16" s="1"/>
  <c r="AB63" i="20"/>
  <c r="AF73" i="20" s="1"/>
  <c r="AX30" i="16" s="1"/>
  <c r="AA62" i="20"/>
  <c r="AE72" i="20" s="1"/>
  <c r="AW29" i="16" s="1"/>
  <c r="AA60" i="20"/>
  <c r="AE70" i="20" s="1"/>
  <c r="AW27" i="16" s="1"/>
  <c r="AB67" i="20"/>
  <c r="AF77" i="20" s="1"/>
  <c r="AX34" i="16" s="1"/>
  <c r="AB51" i="16" s="1"/>
  <c r="AB61" i="20"/>
  <c r="AF71" i="20" s="1"/>
  <c r="AX28" i="16" s="1"/>
  <c r="AB62" i="20"/>
  <c r="AF72" i="20" s="1"/>
  <c r="AX29" i="16" s="1"/>
  <c r="AB66" i="20"/>
  <c r="AF76" i="20" s="1"/>
  <c r="AX33" i="16" s="1"/>
  <c r="AA59" i="20"/>
  <c r="AE69" i="20" s="1"/>
  <c r="AW26" i="16" s="1"/>
  <c r="AA67" i="20"/>
  <c r="AE77" i="20" s="1"/>
  <c r="AA64" i="20"/>
  <c r="AE74" i="20" s="1"/>
  <c r="AW31" i="16" s="1"/>
  <c r="AA63" i="20"/>
  <c r="AE73" i="20" s="1"/>
  <c r="AW30" i="16" s="1"/>
  <c r="AA61" i="20"/>
  <c r="AE71" i="20" s="1"/>
  <c r="AW28" i="16" s="1"/>
  <c r="AB60" i="20"/>
  <c r="AF70" i="20" s="1"/>
  <c r="AX27" i="16" s="1"/>
  <c r="AB65" i="20"/>
  <c r="AF75" i="20" s="1"/>
  <c r="AX32" i="16" s="1"/>
  <c r="AB59" i="20"/>
  <c r="AF69" i="20" s="1"/>
  <c r="AX26" i="16" s="1"/>
  <c r="AA51" i="16" s="1"/>
  <c r="AL35" i="20"/>
  <c r="AN33" i="17"/>
  <c r="AL41" i="17" s="1"/>
  <c r="AN34" i="17"/>
  <c r="AL43" i="17" s="1"/>
  <c r="AL22" i="17"/>
  <c r="AH25" i="16"/>
  <c r="AL24" i="17"/>
  <c r="AH34" i="16"/>
  <c r="AN35" i="17"/>
  <c r="AL45" i="17" s="1"/>
  <c r="AI42" i="20"/>
  <c r="AL20" i="17"/>
  <c r="AH16" i="16"/>
  <c r="W37" i="17"/>
  <c r="Y60" i="16"/>
  <c r="AI46" i="20" l="1"/>
  <c r="AI47" i="20" s="1"/>
  <c r="AI48" i="20" s="1"/>
  <c r="AN35" i="21"/>
  <c r="AL45" i="21" s="1"/>
  <c r="BB34" i="16"/>
  <c r="AI32" i="20"/>
  <c r="AI33" i="20" s="1"/>
  <c r="AI34" i="20" s="1"/>
  <c r="AI25" i="20"/>
  <c r="AI26" i="20" s="1"/>
  <c r="AI27" i="20" s="1"/>
  <c r="AM35" i="20"/>
  <c r="AK44" i="20" s="1"/>
  <c r="AK45" i="20" s="1"/>
  <c r="AN35" i="20"/>
  <c r="AL45" i="20" s="1"/>
  <c r="AL24" i="20"/>
  <c r="AW34" i="16"/>
  <c r="AC37" i="20"/>
  <c r="AA63" i="16"/>
  <c r="AI17" i="21"/>
  <c r="AI21" i="21" s="1"/>
  <c r="AI38" i="21" l="1"/>
  <c r="AI39" i="21" s="1"/>
  <c r="AI40" i="21" s="1"/>
  <c r="AI41" i="21" s="1"/>
  <c r="AI24" i="21"/>
  <c r="AI25" i="21" s="1"/>
  <c r="AI26" i="21" s="1"/>
  <c r="AI27" i="21" s="1"/>
  <c r="AI18" i="21"/>
  <c r="AI19" i="21" s="1"/>
  <c r="AI20" i="21" s="1"/>
  <c r="AI31" i="21"/>
  <c r="AI32" i="21" s="1"/>
  <c r="AI33" i="21" s="1"/>
  <c r="AI34" i="21" s="1"/>
  <c r="AI45" i="21"/>
  <c r="AI46" i="21" s="1"/>
  <c r="AI47" i="21" s="1"/>
  <c r="AI48" i="21" s="1"/>
  <c r="AI35" i="21" l="1"/>
  <c r="AI28" i="21"/>
  <c r="AI42" i="21"/>
  <c r="AI49" i="21"/>
  <c r="H5" i="15"/>
  <c r="E5" i="15"/>
  <c r="B5" i="15"/>
  <c r="H4" i="15"/>
  <c r="E4" i="15"/>
  <c r="B4" i="15"/>
  <c r="G2" i="15"/>
  <c r="G5" i="15" s="1"/>
  <c r="D2" i="15"/>
  <c r="D5" i="15" s="1"/>
  <c r="A2" i="15"/>
  <c r="A5" i="15" s="1"/>
  <c r="AD47" i="14"/>
  <c r="H18" i="14"/>
  <c r="G18" i="14"/>
  <c r="C18" i="14"/>
  <c r="B18" i="14"/>
  <c r="G7" i="14"/>
  <c r="F7" i="14"/>
  <c r="E7" i="14"/>
  <c r="D7" i="14"/>
  <c r="G4" i="14"/>
  <c r="Z61" i="14" s="1"/>
  <c r="F4" i="14"/>
  <c r="V62" i="14" s="1"/>
  <c r="E4" i="14"/>
  <c r="Z55" i="14" s="1"/>
  <c r="D4" i="14"/>
  <c r="AK55" i="14" s="1"/>
  <c r="AD47" i="13"/>
  <c r="H18" i="13"/>
  <c r="G18" i="13"/>
  <c r="C18" i="13"/>
  <c r="B18" i="13"/>
  <c r="G7" i="13"/>
  <c r="F7" i="13"/>
  <c r="E7" i="13"/>
  <c r="D7" i="13"/>
  <c r="G4" i="13"/>
  <c r="Z61" i="13" s="1"/>
  <c r="F4" i="13"/>
  <c r="V62" i="13" s="1"/>
  <c r="E4" i="13"/>
  <c r="Z55" i="13" s="1"/>
  <c r="D4" i="13"/>
  <c r="AK55" i="13" s="1"/>
  <c r="AD47" i="12"/>
  <c r="H18" i="12"/>
  <c r="G18" i="12"/>
  <c r="C18" i="12"/>
  <c r="B18" i="12"/>
  <c r="G7" i="12"/>
  <c r="F7" i="12"/>
  <c r="E7" i="12"/>
  <c r="D7" i="12"/>
  <c r="G4" i="12"/>
  <c r="Z61" i="12" s="1"/>
  <c r="F4" i="12"/>
  <c r="V65" i="12" s="1"/>
  <c r="E4" i="12"/>
  <c r="Z55" i="12" s="1"/>
  <c r="D4" i="12"/>
  <c r="AK55" i="12" s="1"/>
  <c r="AD47" i="11"/>
  <c r="H18" i="11"/>
  <c r="G18" i="11"/>
  <c r="C18" i="11"/>
  <c r="B18" i="11"/>
  <c r="G7" i="11"/>
  <c r="F7" i="11"/>
  <c r="E7" i="11"/>
  <c r="D7" i="11"/>
  <c r="G4" i="11"/>
  <c r="Z61" i="11" s="1"/>
  <c r="F4" i="11"/>
  <c r="V62" i="11" s="1"/>
  <c r="E4" i="11"/>
  <c r="Z55" i="11" s="1"/>
  <c r="D4" i="11"/>
  <c r="AK55" i="11" s="1"/>
  <c r="AD47" i="10"/>
  <c r="AG4" i="9" s="1"/>
  <c r="AF4" i="9" s="1"/>
  <c r="AI38" i="10"/>
  <c r="AI42" i="10" s="1"/>
  <c r="AI31" i="10"/>
  <c r="AI35" i="10" s="1"/>
  <c r="AI24" i="10"/>
  <c r="AI28" i="10" s="1"/>
  <c r="AI21" i="10"/>
  <c r="AI18" i="10"/>
  <c r="H18" i="10"/>
  <c r="G18" i="10"/>
  <c r="C18" i="10"/>
  <c r="B18" i="10"/>
  <c r="G7" i="10"/>
  <c r="F7" i="10"/>
  <c r="E7" i="10"/>
  <c r="D7" i="10"/>
  <c r="G4" i="10"/>
  <c r="Z62" i="10" s="1"/>
  <c r="F4" i="10"/>
  <c r="E4" i="10"/>
  <c r="Z55" i="10" s="1"/>
  <c r="D4" i="10"/>
  <c r="AK55" i="10" s="1"/>
  <c r="I77" i="9"/>
  <c r="D77" i="9"/>
  <c r="BA4" i="9"/>
  <c r="AV4" i="9"/>
  <c r="AQ4" i="9"/>
  <c r="AL4" i="9"/>
  <c r="D18" i="12" l="1"/>
  <c r="I18" i="12"/>
  <c r="D18" i="14"/>
  <c r="I18" i="14"/>
  <c r="D18" i="10"/>
  <c r="I18" i="10"/>
  <c r="D18" i="11"/>
  <c r="I18" i="11"/>
  <c r="D18" i="13"/>
  <c r="I18" i="13"/>
  <c r="AK56" i="10"/>
  <c r="V36" i="10"/>
  <c r="V37" i="10" s="1"/>
  <c r="AK17" i="10"/>
  <c r="AK18" i="10" s="1"/>
  <c r="AZ4" i="9"/>
  <c r="AU4" i="9"/>
  <c r="AP4" i="9"/>
  <c r="AK4" i="9"/>
  <c r="V62" i="10"/>
  <c r="V67" i="10"/>
  <c r="V66" i="10"/>
  <c r="V65" i="10"/>
  <c r="V64" i="10"/>
  <c r="V63" i="10"/>
  <c r="AK56" i="11"/>
  <c r="V36" i="11"/>
  <c r="V37" i="11" s="1"/>
  <c r="AK17" i="11"/>
  <c r="AK18" i="11" s="1"/>
  <c r="AI19" i="10"/>
  <c r="AI20" i="10" s="1"/>
  <c r="Z21" i="10"/>
  <c r="AI25" i="10"/>
  <c r="AI26" i="10" s="1"/>
  <c r="AI27" i="10" s="1"/>
  <c r="AA28" i="10"/>
  <c r="AI39" i="10"/>
  <c r="AI40" i="10" s="1"/>
  <c r="AI41" i="10" s="1"/>
  <c r="X47" i="10"/>
  <c r="AF47" i="10" s="1"/>
  <c r="AI4" i="9" s="1"/>
  <c r="V48" i="10"/>
  <c r="AD48" i="10" s="1"/>
  <c r="AG5" i="9" s="1"/>
  <c r="AF5" i="9" s="1"/>
  <c r="Z49" i="10"/>
  <c r="V50" i="10"/>
  <c r="AD50" i="10" s="1"/>
  <c r="Z60" i="10"/>
  <c r="V61" i="10"/>
  <c r="AK56" i="12"/>
  <c r="V36" i="12"/>
  <c r="V37" i="12" s="1"/>
  <c r="AK17" i="12"/>
  <c r="AK18" i="12" s="1"/>
  <c r="AH18" i="10"/>
  <c r="AH19" i="10" s="1"/>
  <c r="Z22" i="10"/>
  <c r="AH24" i="10"/>
  <c r="V28" i="10"/>
  <c r="AI32" i="10"/>
  <c r="AI33" i="10" s="1"/>
  <c r="AI34" i="10" s="1"/>
  <c r="W47" i="10"/>
  <c r="AE47" i="10" s="1"/>
  <c r="AH4" i="9" s="1"/>
  <c r="Z48" i="10"/>
  <c r="V49" i="10"/>
  <c r="AD49" i="10" s="1"/>
  <c r="AG6" i="9" s="1"/>
  <c r="AF6" i="9" s="1"/>
  <c r="Z50" i="10"/>
  <c r="Z51" i="10"/>
  <c r="Z52" i="10"/>
  <c r="Z53" i="10"/>
  <c r="Z54" i="10"/>
  <c r="V60" i="10"/>
  <c r="Z61" i="10"/>
  <c r="AK56" i="13"/>
  <c r="V36" i="13"/>
  <c r="V37" i="13" s="1"/>
  <c r="AK17" i="13"/>
  <c r="AK18" i="13" s="1"/>
  <c r="Z21" i="11"/>
  <c r="AA28" i="11"/>
  <c r="X47" i="11"/>
  <c r="AF47" i="11" s="1"/>
  <c r="AN4" i="9" s="1"/>
  <c r="V48" i="11"/>
  <c r="AD48" i="11" s="1"/>
  <c r="AL5" i="9" s="1"/>
  <c r="Z49" i="11"/>
  <c r="V50" i="11"/>
  <c r="AD50" i="11" s="1"/>
  <c r="Z60" i="11"/>
  <c r="V61" i="11"/>
  <c r="Z62" i="11"/>
  <c r="V63" i="11"/>
  <c r="V64" i="11"/>
  <c r="V65" i="11"/>
  <c r="V66" i="11"/>
  <c r="V67" i="11"/>
  <c r="Z21" i="12"/>
  <c r="AA28" i="12"/>
  <c r="X47" i="12"/>
  <c r="AF47" i="12" s="1"/>
  <c r="AS4" i="9" s="1"/>
  <c r="V48" i="12"/>
  <c r="AD48" i="12" s="1"/>
  <c r="AQ5" i="9" s="1"/>
  <c r="Z49" i="12"/>
  <c r="V50" i="12"/>
  <c r="AD50" i="12" s="1"/>
  <c r="Z60" i="12"/>
  <c r="V61" i="12"/>
  <c r="Z62" i="12"/>
  <c r="V63" i="12"/>
  <c r="V64" i="12"/>
  <c r="V67" i="12"/>
  <c r="V66" i="12"/>
  <c r="AK56" i="14"/>
  <c r="V36" i="14"/>
  <c r="V37" i="14" s="1"/>
  <c r="AK17" i="14"/>
  <c r="AK18" i="14" s="1"/>
  <c r="AH18" i="11"/>
  <c r="AH19" i="11" s="1"/>
  <c r="Z22" i="11"/>
  <c r="AH24" i="11"/>
  <c r="V28" i="11"/>
  <c r="W47" i="11"/>
  <c r="AE47" i="11" s="1"/>
  <c r="AM4" i="9" s="1"/>
  <c r="W48" i="11"/>
  <c r="AE48" i="11" s="1"/>
  <c r="AM5" i="9" s="1"/>
  <c r="Z48" i="11"/>
  <c r="V49" i="11"/>
  <c r="AD49" i="11" s="1"/>
  <c r="AL6" i="9" s="1"/>
  <c r="Z50" i="11"/>
  <c r="Z51" i="11"/>
  <c r="Z52" i="11"/>
  <c r="Z53" i="11"/>
  <c r="Z54" i="11"/>
  <c r="V60" i="11"/>
  <c r="AH18" i="12"/>
  <c r="AH19" i="12" s="1"/>
  <c r="Z22" i="12"/>
  <c r="AH24" i="12"/>
  <c r="V28" i="12"/>
  <c r="W47" i="12"/>
  <c r="AE47" i="12" s="1"/>
  <c r="AR4" i="9" s="1"/>
  <c r="W48" i="12"/>
  <c r="AE48" i="12" s="1"/>
  <c r="AR5" i="9" s="1"/>
  <c r="Z48" i="12"/>
  <c r="V49" i="12"/>
  <c r="AD49" i="12" s="1"/>
  <c r="AQ6" i="9" s="1"/>
  <c r="Z50" i="12"/>
  <c r="Z51" i="12"/>
  <c r="Z52" i="12"/>
  <c r="Z53" i="12"/>
  <c r="Z54" i="12"/>
  <c r="V60" i="12"/>
  <c r="V62" i="12"/>
  <c r="Z21" i="13"/>
  <c r="AA28" i="13"/>
  <c r="X47" i="13"/>
  <c r="AF47" i="13" s="1"/>
  <c r="AX4" i="9" s="1"/>
  <c r="V48" i="13"/>
  <c r="AD48" i="13" s="1"/>
  <c r="AV5" i="9" s="1"/>
  <c r="Z49" i="13"/>
  <c r="V50" i="13"/>
  <c r="AD50" i="13" s="1"/>
  <c r="Z60" i="13"/>
  <c r="V61" i="13"/>
  <c r="Z62" i="13"/>
  <c r="V63" i="13"/>
  <c r="V64" i="13"/>
  <c r="V65" i="13"/>
  <c r="V66" i="13"/>
  <c r="V67" i="13"/>
  <c r="Z21" i="14"/>
  <c r="AA28" i="14"/>
  <c r="X47" i="14"/>
  <c r="AF47" i="14" s="1"/>
  <c r="BC4" i="9" s="1"/>
  <c r="V48" i="14"/>
  <c r="AD48" i="14" s="1"/>
  <c r="BA5" i="9" s="1"/>
  <c r="Z49" i="14"/>
  <c r="V50" i="14"/>
  <c r="AD50" i="14" s="1"/>
  <c r="Z60" i="14"/>
  <c r="V61" i="14"/>
  <c r="Z62" i="14"/>
  <c r="V63" i="14"/>
  <c r="V64" i="14"/>
  <c r="V65" i="14"/>
  <c r="V66" i="14"/>
  <c r="V67" i="14"/>
  <c r="A3" i="15"/>
  <c r="G3" i="15"/>
  <c r="AH18" i="13"/>
  <c r="AH19" i="13" s="1"/>
  <c r="Z22" i="13"/>
  <c r="AH24" i="13"/>
  <c r="V28" i="13"/>
  <c r="W47" i="13"/>
  <c r="AE47" i="13" s="1"/>
  <c r="AW4" i="9" s="1"/>
  <c r="Z48" i="13"/>
  <c r="V49" i="13"/>
  <c r="AD49" i="13" s="1"/>
  <c r="AV6" i="9" s="1"/>
  <c r="Z50" i="13"/>
  <c r="Z51" i="13"/>
  <c r="Z52" i="13"/>
  <c r="Z53" i="13"/>
  <c r="Z54" i="13"/>
  <c r="V60" i="13"/>
  <c r="AH18" i="14"/>
  <c r="AH19" i="14" s="1"/>
  <c r="Z22" i="14"/>
  <c r="AH24" i="14"/>
  <c r="V28" i="14"/>
  <c r="W47" i="14"/>
  <c r="AE47" i="14" s="1"/>
  <c r="BB4" i="9" s="1"/>
  <c r="Z48" i="14"/>
  <c r="V49" i="14"/>
  <c r="AD49" i="14" s="1"/>
  <c r="BA6" i="9" s="1"/>
  <c r="Z50" i="14"/>
  <c r="Z51" i="14"/>
  <c r="Z52" i="14"/>
  <c r="Z53" i="14"/>
  <c r="Z54" i="14"/>
  <c r="V60" i="14"/>
  <c r="D3" i="15"/>
  <c r="A4" i="15"/>
  <c r="D4" i="15"/>
  <c r="G4" i="15"/>
  <c r="W48" i="13" l="1"/>
  <c r="AE48" i="13" s="1"/>
  <c r="AW5" i="9" s="1"/>
  <c r="AA61" i="13"/>
  <c r="AE71" i="13" s="1"/>
  <c r="AW28" i="9" s="1"/>
  <c r="AA60" i="11"/>
  <c r="AE70" i="11" s="1"/>
  <c r="AM27" i="9" s="1"/>
  <c r="AA60" i="10"/>
  <c r="AE70" i="10" s="1"/>
  <c r="AH27" i="9" s="1"/>
  <c r="X48" i="13"/>
  <c r="AF48" i="13" s="1"/>
  <c r="AX5" i="9" s="1"/>
  <c r="W48" i="14"/>
  <c r="AE48" i="14" s="1"/>
  <c r="BB5" i="9" s="1"/>
  <c r="AA60" i="13"/>
  <c r="AE70" i="13" s="1"/>
  <c r="AW27" i="9" s="1"/>
  <c r="X50" i="12"/>
  <c r="AF50" i="12" s="1"/>
  <c r="AS7" i="9" s="1"/>
  <c r="W48" i="9" s="1"/>
  <c r="W48" i="10"/>
  <c r="AE48" i="10" s="1"/>
  <c r="AH5" i="9" s="1"/>
  <c r="X49" i="13"/>
  <c r="AF49" i="13" s="1"/>
  <c r="AX6" i="9" s="1"/>
  <c r="AA62" i="14"/>
  <c r="AE72" i="14" s="1"/>
  <c r="BB29" i="9" s="1"/>
  <c r="AA62" i="13"/>
  <c r="AE72" i="13" s="1"/>
  <c r="AW29" i="9" s="1"/>
  <c r="AA59" i="13"/>
  <c r="AE69" i="13" s="1"/>
  <c r="AW26" i="9" s="1"/>
  <c r="AA62" i="11"/>
  <c r="AE72" i="11" s="1"/>
  <c r="AM29" i="9" s="1"/>
  <c r="AA62" i="12"/>
  <c r="AE72" i="12" s="1"/>
  <c r="AR29" i="9" s="1"/>
  <c r="AA61" i="10"/>
  <c r="AE71" i="10" s="1"/>
  <c r="AH28" i="9" s="1"/>
  <c r="X48" i="14"/>
  <c r="AF48" i="14" s="1"/>
  <c r="BC5" i="9" s="1"/>
  <c r="X49" i="11"/>
  <c r="AF49" i="11" s="1"/>
  <c r="AN6" i="9" s="1"/>
  <c r="X50" i="11"/>
  <c r="AF50" i="11" s="1"/>
  <c r="AN7" i="9" s="1"/>
  <c r="W45" i="9" s="1"/>
  <c r="X49" i="10"/>
  <c r="AF49" i="10" s="1"/>
  <c r="AI6" i="9" s="1"/>
  <c r="X48" i="10"/>
  <c r="AF48" i="10" s="1"/>
  <c r="AI5" i="9" s="1"/>
  <c r="AH28" i="13"/>
  <c r="AH27" i="13"/>
  <c r="AD59" i="14"/>
  <c r="AD58" i="14"/>
  <c r="BA15" i="9" s="1"/>
  <c r="AD57" i="14"/>
  <c r="BA14" i="9" s="1"/>
  <c r="AD56" i="14"/>
  <c r="BA13" i="9" s="1"/>
  <c r="AD55" i="14"/>
  <c r="BA12" i="9" s="1"/>
  <c r="AD54" i="14"/>
  <c r="BA11" i="9" s="1"/>
  <c r="AD53" i="14"/>
  <c r="BA10" i="9" s="1"/>
  <c r="AD52" i="14"/>
  <c r="BA9" i="9" s="1"/>
  <c r="AD51" i="14"/>
  <c r="BA8" i="9" s="1"/>
  <c r="BA7" i="9"/>
  <c r="AB22" i="14"/>
  <c r="W21" i="14" s="1"/>
  <c r="Z28" i="14" s="1"/>
  <c r="AD59" i="13"/>
  <c r="AD58" i="13"/>
  <c r="AV15" i="9" s="1"/>
  <c r="AD57" i="13"/>
  <c r="AV14" i="9" s="1"/>
  <c r="AD56" i="13"/>
  <c r="AV13" i="9" s="1"/>
  <c r="AD55" i="13"/>
  <c r="AV12" i="9" s="1"/>
  <c r="AD54" i="13"/>
  <c r="AV11" i="9" s="1"/>
  <c r="AD53" i="13"/>
  <c r="AV10" i="9" s="1"/>
  <c r="AD52" i="13"/>
  <c r="AV9" i="9" s="1"/>
  <c r="AD51" i="13"/>
  <c r="AV8" i="9" s="1"/>
  <c r="AV7" i="9"/>
  <c r="AB22" i="13"/>
  <c r="W21" i="13" s="1"/>
  <c r="Z28" i="13" s="1"/>
  <c r="AH28" i="11"/>
  <c r="AH27" i="11"/>
  <c r="AB61" i="12"/>
  <c r="AF71" i="12" s="1"/>
  <c r="AS28" i="9" s="1"/>
  <c r="AB59" i="12"/>
  <c r="AF69" i="12" s="1"/>
  <c r="AS26" i="9" s="1"/>
  <c r="AB48" i="9" s="1"/>
  <c r="AB62" i="12"/>
  <c r="AF72" i="12" s="1"/>
  <c r="AS29" i="9" s="1"/>
  <c r="AB60" i="12"/>
  <c r="AF70" i="12" s="1"/>
  <c r="AS27" i="9" s="1"/>
  <c r="AB61" i="11"/>
  <c r="AF71" i="11" s="1"/>
  <c r="AN28" i="9" s="1"/>
  <c r="AB59" i="11"/>
  <c r="AF69" i="11" s="1"/>
  <c r="AN26" i="9" s="1"/>
  <c r="AB45" i="9" s="1"/>
  <c r="AB62" i="11"/>
  <c r="AF72" i="11" s="1"/>
  <c r="AN29" i="9" s="1"/>
  <c r="AB60" i="11"/>
  <c r="AF70" i="11" s="1"/>
  <c r="AN27" i="9" s="1"/>
  <c r="AK57" i="13"/>
  <c r="Y36" i="13"/>
  <c r="Y37" i="13" s="1"/>
  <c r="AH31" i="13"/>
  <c r="AH25" i="13"/>
  <c r="AH26" i="13" s="1"/>
  <c r="AK19" i="13"/>
  <c r="AK20" i="13" s="1"/>
  <c r="AK57" i="12"/>
  <c r="Y36" i="12"/>
  <c r="Y37" i="12" s="1"/>
  <c r="AH31" i="12"/>
  <c r="AH25" i="12"/>
  <c r="AH26" i="12" s="1"/>
  <c r="AK19" i="12"/>
  <c r="AK20" i="12" s="1"/>
  <c r="AD59" i="10"/>
  <c r="AD58" i="10"/>
  <c r="AG15" i="9" s="1"/>
  <c r="AD57" i="10"/>
  <c r="AG14" i="9" s="1"/>
  <c r="AD56" i="10"/>
  <c r="AG13" i="9" s="1"/>
  <c r="AD55" i="10"/>
  <c r="AG12" i="9" s="1"/>
  <c r="AD54" i="10"/>
  <c r="AG11" i="9" s="1"/>
  <c r="AD53" i="10"/>
  <c r="AG10" i="9" s="1"/>
  <c r="AD52" i="10"/>
  <c r="AG9" i="9" s="1"/>
  <c r="AD51" i="10"/>
  <c r="AG8" i="9" s="1"/>
  <c r="AG7" i="9"/>
  <c r="AF7" i="9" s="1"/>
  <c r="AB61" i="10"/>
  <c r="AF71" i="10" s="1"/>
  <c r="AI28" i="9" s="1"/>
  <c r="AB62" i="10"/>
  <c r="AF72" i="10" s="1"/>
  <c r="AI29" i="9" s="1"/>
  <c r="AB59" i="10"/>
  <c r="AF69" i="10" s="1"/>
  <c r="AI26" i="9" s="1"/>
  <c r="AB42" i="9" s="1"/>
  <c r="AB60" i="10"/>
  <c r="AF70" i="10" s="1"/>
  <c r="AI27" i="9" s="1"/>
  <c r="AB22" i="10"/>
  <c r="W21" i="10" s="1"/>
  <c r="Z28" i="10" s="1"/>
  <c r="AK57" i="11"/>
  <c r="Y36" i="11"/>
  <c r="Y37" i="11" s="1"/>
  <c r="AH31" i="11"/>
  <c r="AH25" i="11"/>
  <c r="AH26" i="11" s="1"/>
  <c r="AK19" i="11"/>
  <c r="AK20" i="11" s="1"/>
  <c r="AK57" i="10"/>
  <c r="Y36" i="10"/>
  <c r="Y37" i="10" s="1"/>
  <c r="AH31" i="10"/>
  <c r="AH25" i="10"/>
  <c r="AH26" i="10" s="1"/>
  <c r="AK19" i="10"/>
  <c r="AK20" i="10" s="1"/>
  <c r="AA61" i="14"/>
  <c r="AE71" i="14" s="1"/>
  <c r="BB28" i="9" s="1"/>
  <c r="AA59" i="14"/>
  <c r="AE69" i="14" s="1"/>
  <c r="BB26" i="9" s="1"/>
  <c r="W50" i="14"/>
  <c r="AE50" i="14" s="1"/>
  <c r="W49" i="12"/>
  <c r="AE49" i="12" s="1"/>
  <c r="AR6" i="9" s="1"/>
  <c r="W49" i="11"/>
  <c r="AE49" i="11" s="1"/>
  <c r="AM6" i="9" s="1"/>
  <c r="W50" i="12"/>
  <c r="AE50" i="12" s="1"/>
  <c r="W50" i="11"/>
  <c r="AE50" i="11" s="1"/>
  <c r="AA59" i="10"/>
  <c r="AE69" i="10" s="1"/>
  <c r="AH26" i="9" s="1"/>
  <c r="AI17" i="11"/>
  <c r="AH28" i="14"/>
  <c r="AH27" i="14"/>
  <c r="AB61" i="14"/>
  <c r="AF71" i="14" s="1"/>
  <c r="BC28" i="9" s="1"/>
  <c r="AB59" i="14"/>
  <c r="AF69" i="14" s="1"/>
  <c r="BC26" i="9" s="1"/>
  <c r="AB54" i="9" s="1"/>
  <c r="AB62" i="14"/>
  <c r="AF72" i="14" s="1"/>
  <c r="BC29" i="9" s="1"/>
  <c r="AB60" i="14"/>
  <c r="AF70" i="14" s="1"/>
  <c r="BC27" i="9" s="1"/>
  <c r="AB61" i="13"/>
  <c r="AF71" i="13" s="1"/>
  <c r="AX28" i="9" s="1"/>
  <c r="AB59" i="13"/>
  <c r="AF69" i="13" s="1"/>
  <c r="AX26" i="9" s="1"/>
  <c r="AB51" i="9" s="1"/>
  <c r="AB62" i="13"/>
  <c r="AF72" i="13" s="1"/>
  <c r="AX29" i="9" s="1"/>
  <c r="AB60" i="13"/>
  <c r="AF70" i="13" s="1"/>
  <c r="AX27" i="9" s="1"/>
  <c r="AH28" i="12"/>
  <c r="AH27" i="12"/>
  <c r="AK57" i="14"/>
  <c r="Y36" i="14"/>
  <c r="Y37" i="14" s="1"/>
  <c r="AH31" i="14"/>
  <c r="AH25" i="14"/>
  <c r="AH26" i="14" s="1"/>
  <c r="AK19" i="14"/>
  <c r="AK20" i="14" s="1"/>
  <c r="AD59" i="12"/>
  <c r="AD58" i="12"/>
  <c r="AQ15" i="9" s="1"/>
  <c r="AD57" i="12"/>
  <c r="AQ14" i="9" s="1"/>
  <c r="AD56" i="12"/>
  <c r="AQ13" i="9" s="1"/>
  <c r="AD55" i="12"/>
  <c r="AQ12" i="9" s="1"/>
  <c r="AD54" i="12"/>
  <c r="AQ11" i="9" s="1"/>
  <c r="AD53" i="12"/>
  <c r="AQ10" i="9" s="1"/>
  <c r="AD52" i="12"/>
  <c r="AQ9" i="9" s="1"/>
  <c r="AD51" i="12"/>
  <c r="AQ8" i="9" s="1"/>
  <c r="AQ7" i="9"/>
  <c r="AB22" i="12"/>
  <c r="W21" i="12" s="1"/>
  <c r="AD59" i="11"/>
  <c r="AD58" i="11"/>
  <c r="AL15" i="9" s="1"/>
  <c r="AD57" i="11"/>
  <c r="AL14" i="9" s="1"/>
  <c r="AD56" i="11"/>
  <c r="AL13" i="9" s="1"/>
  <c r="AD55" i="11"/>
  <c r="AL12" i="9" s="1"/>
  <c r="AD54" i="11"/>
  <c r="AL11" i="9" s="1"/>
  <c r="AD53" i="11"/>
  <c r="AL10" i="9" s="1"/>
  <c r="AD52" i="11"/>
  <c r="AL9" i="9" s="1"/>
  <c r="AD51" i="11"/>
  <c r="AL8" i="9" s="1"/>
  <c r="AL7" i="9"/>
  <c r="AB22" i="11"/>
  <c r="W21" i="11" s="1"/>
  <c r="Z28" i="11" s="1"/>
  <c r="AZ6" i="9"/>
  <c r="AU6" i="9"/>
  <c r="AP6" i="9"/>
  <c r="AK6" i="9"/>
  <c r="AH28" i="10"/>
  <c r="AH27" i="10"/>
  <c r="AZ5" i="9"/>
  <c r="AU5" i="9"/>
  <c r="AP5" i="9"/>
  <c r="AK5" i="9"/>
  <c r="AA60" i="14"/>
  <c r="AE70" i="14" s="1"/>
  <c r="BB27" i="9" s="1"/>
  <c r="X49" i="14"/>
  <c r="AF49" i="14" s="1"/>
  <c r="BC6" i="9" s="1"/>
  <c r="X50" i="14"/>
  <c r="AF50" i="14" s="1"/>
  <c r="BC7" i="9" s="1"/>
  <c r="W54" i="9" s="1"/>
  <c r="W49" i="14"/>
  <c r="AE49" i="14" s="1"/>
  <c r="BB6" i="9" s="1"/>
  <c r="X50" i="13"/>
  <c r="AF50" i="13" s="1"/>
  <c r="AX7" i="9" s="1"/>
  <c r="W51" i="9" s="1"/>
  <c r="W49" i="13"/>
  <c r="AE49" i="13" s="1"/>
  <c r="AW6" i="9" s="1"/>
  <c r="AA60" i="12"/>
  <c r="AE70" i="12" s="1"/>
  <c r="AR27" i="9" s="1"/>
  <c r="X49" i="12"/>
  <c r="AF49" i="12" s="1"/>
  <c r="AS6" i="9" s="1"/>
  <c r="W50" i="13"/>
  <c r="AE50" i="13" s="1"/>
  <c r="AA61" i="12"/>
  <c r="AE71" i="12" s="1"/>
  <c r="AR28" i="9" s="1"/>
  <c r="AA59" i="12"/>
  <c r="AE69" i="12" s="1"/>
  <c r="AR26" i="9" s="1"/>
  <c r="X48" i="12"/>
  <c r="AF48" i="12" s="1"/>
  <c r="AS5" i="9" s="1"/>
  <c r="AA61" i="11"/>
  <c r="AE71" i="11" s="1"/>
  <c r="AM28" i="9" s="1"/>
  <c r="AA59" i="11"/>
  <c r="AE69" i="11" s="1"/>
  <c r="AM26" i="9" s="1"/>
  <c r="X48" i="11"/>
  <c r="AF48" i="11" s="1"/>
  <c r="AN5" i="9" s="1"/>
  <c r="AA62" i="10"/>
  <c r="AE72" i="10" s="1"/>
  <c r="AH29" i="9" s="1"/>
  <c r="X50" i="10"/>
  <c r="AF50" i="10" s="1"/>
  <c r="AI7" i="9" s="1"/>
  <c r="W42" i="9" s="1"/>
  <c r="W49" i="10"/>
  <c r="AE49" i="10" s="1"/>
  <c r="AH6" i="9" s="1"/>
  <c r="W50" i="10"/>
  <c r="AE50" i="10" s="1"/>
  <c r="AH7" i="9" l="1"/>
  <c r="AL18" i="10"/>
  <c r="AL18" i="13"/>
  <c r="AW7" i="9"/>
  <c r="Z32" i="13"/>
  <c r="Y28" i="13"/>
  <c r="W67" i="13" s="1"/>
  <c r="AE68" i="13" s="1"/>
  <c r="AD67" i="11"/>
  <c r="AL24" i="9" s="1"/>
  <c r="AD66" i="11"/>
  <c r="AL23" i="9" s="1"/>
  <c r="AD65" i="11"/>
  <c r="AL22" i="9" s="1"/>
  <c r="AD64" i="11"/>
  <c r="AL21" i="9" s="1"/>
  <c r="AD63" i="11"/>
  <c r="AL20" i="9" s="1"/>
  <c r="AD62" i="11"/>
  <c r="AL19" i="9" s="1"/>
  <c r="AD60" i="11"/>
  <c r="AL17" i="9" s="1"/>
  <c r="AD68" i="11"/>
  <c r="AD61" i="11"/>
  <c r="AL18" i="9" s="1"/>
  <c r="AL16" i="9"/>
  <c r="AD67" i="12"/>
  <c r="AQ24" i="9" s="1"/>
  <c r="AD66" i="12"/>
  <c r="AQ23" i="9" s="1"/>
  <c r="AD68" i="12"/>
  <c r="AD65" i="12"/>
  <c r="AQ22" i="9" s="1"/>
  <c r="AD64" i="12"/>
  <c r="AQ21" i="9" s="1"/>
  <c r="AD63" i="12"/>
  <c r="AQ20" i="9" s="1"/>
  <c r="AD62" i="12"/>
  <c r="AQ19" i="9" s="1"/>
  <c r="AD60" i="12"/>
  <c r="AQ17" i="9" s="1"/>
  <c r="AD61" i="12"/>
  <c r="AQ18" i="9" s="1"/>
  <c r="AQ16" i="9"/>
  <c r="AI21" i="11"/>
  <c r="AI38" i="11"/>
  <c r="AI31" i="11"/>
  <c r="AI24" i="11"/>
  <c r="AI18" i="11"/>
  <c r="AI19" i="11" s="1"/>
  <c r="AI20" i="11" s="1"/>
  <c r="AL18" i="11"/>
  <c r="AM7" i="9"/>
  <c r="AL18" i="12"/>
  <c r="AR7" i="9"/>
  <c r="AL18" i="14"/>
  <c r="BB7" i="9"/>
  <c r="AH34" i="10"/>
  <c r="AH35" i="10"/>
  <c r="AK58" i="10"/>
  <c r="AH39" i="10" s="1"/>
  <c r="AH40" i="10" s="1"/>
  <c r="AH38" i="10"/>
  <c r="AB36" i="10"/>
  <c r="AB37" i="10" s="1"/>
  <c r="AH32" i="10"/>
  <c r="AH33" i="10" s="1"/>
  <c r="AK21" i="10"/>
  <c r="AK22" i="10" s="1"/>
  <c r="X28" i="10"/>
  <c r="AD67" i="10"/>
  <c r="AG24" i="9" s="1"/>
  <c r="AD66" i="10"/>
  <c r="AG23" i="9" s="1"/>
  <c r="AD65" i="10"/>
  <c r="AG22" i="9" s="1"/>
  <c r="AD64" i="10"/>
  <c r="AG21" i="9" s="1"/>
  <c r="AD63" i="10"/>
  <c r="AG20" i="9" s="1"/>
  <c r="AD62" i="10"/>
  <c r="AG19" i="9" s="1"/>
  <c r="AD68" i="10"/>
  <c r="AD61" i="10"/>
  <c r="AG18" i="9" s="1"/>
  <c r="AD60" i="10"/>
  <c r="AG17" i="9" s="1"/>
  <c r="AG16" i="9"/>
  <c r="AF16" i="9" s="1"/>
  <c r="AH34" i="13"/>
  <c r="AH35" i="13"/>
  <c r="AK58" i="13"/>
  <c r="AH39" i="13" s="1"/>
  <c r="AH40" i="13" s="1"/>
  <c r="AH38" i="13"/>
  <c r="AB36" i="13"/>
  <c r="AB37" i="13" s="1"/>
  <c r="AH32" i="13"/>
  <c r="AH33" i="13" s="1"/>
  <c r="AK21" i="13"/>
  <c r="AK22" i="13" s="1"/>
  <c r="AD67" i="13"/>
  <c r="AV24" i="9" s="1"/>
  <c r="AD66" i="13"/>
  <c r="AV23" i="9" s="1"/>
  <c r="AD65" i="13"/>
  <c r="AV22" i="9" s="1"/>
  <c r="AD64" i="13"/>
  <c r="AV21" i="9" s="1"/>
  <c r="AD63" i="13"/>
  <c r="AV20" i="9" s="1"/>
  <c r="AD62" i="13"/>
  <c r="AV19" i="9" s="1"/>
  <c r="AD60" i="13"/>
  <c r="AV17" i="9" s="1"/>
  <c r="AD68" i="13"/>
  <c r="AD61" i="13"/>
  <c r="AV18" i="9" s="1"/>
  <c r="AV16" i="9"/>
  <c r="AD67" i="14"/>
  <c r="BA24" i="9" s="1"/>
  <c r="AD66" i="14"/>
  <c r="BA23" i="9" s="1"/>
  <c r="AD65" i="14"/>
  <c r="BA22" i="9" s="1"/>
  <c r="AD64" i="14"/>
  <c r="BA21" i="9" s="1"/>
  <c r="AD63" i="14"/>
  <c r="BA20" i="9" s="1"/>
  <c r="AD62" i="14"/>
  <c r="BA19" i="9" s="1"/>
  <c r="AD60" i="14"/>
  <c r="BA17" i="9" s="1"/>
  <c r="AD68" i="14"/>
  <c r="AD61" i="14"/>
  <c r="BA18" i="9" s="1"/>
  <c r="BA16" i="9"/>
  <c r="AF8" i="9"/>
  <c r="AF10" i="9"/>
  <c r="AF12" i="9"/>
  <c r="AF14" i="9"/>
  <c r="Z32" i="11"/>
  <c r="Y28" i="11"/>
  <c r="W67" i="11" s="1"/>
  <c r="AE68" i="11" s="1"/>
  <c r="X28" i="11"/>
  <c r="X28" i="12"/>
  <c r="AH34" i="14"/>
  <c r="AH35" i="14"/>
  <c r="AK58" i="14"/>
  <c r="AH39" i="14" s="1"/>
  <c r="AH40" i="14" s="1"/>
  <c r="AH38" i="14"/>
  <c r="AB36" i="14"/>
  <c r="AB37" i="14" s="1"/>
  <c r="AH32" i="14"/>
  <c r="AH33" i="14" s="1"/>
  <c r="AK21" i="14"/>
  <c r="AK22" i="14" s="1"/>
  <c r="Z32" i="10"/>
  <c r="Y28" i="10"/>
  <c r="W67" i="10" s="1"/>
  <c r="AE68" i="10" s="1"/>
  <c r="Z32" i="14"/>
  <c r="Y28" i="14"/>
  <c r="W67" i="14" s="1"/>
  <c r="AE68" i="14" s="1"/>
  <c r="AH34" i="11"/>
  <c r="AH35" i="11"/>
  <c r="AK58" i="11"/>
  <c r="AH39" i="11" s="1"/>
  <c r="AH40" i="11" s="1"/>
  <c r="AH38" i="11"/>
  <c r="AB36" i="11"/>
  <c r="AB37" i="11" s="1"/>
  <c r="AH32" i="11"/>
  <c r="AH33" i="11" s="1"/>
  <c r="AK21" i="11"/>
  <c r="AK22" i="11" s="1"/>
  <c r="AZ7" i="9"/>
  <c r="AU7" i="9"/>
  <c r="AP7" i="9"/>
  <c r="AK7" i="9"/>
  <c r="AH34" i="12"/>
  <c r="AH35" i="12"/>
  <c r="AK58" i="12"/>
  <c r="AH39" i="12" s="1"/>
  <c r="AH40" i="12" s="1"/>
  <c r="AH38" i="12"/>
  <c r="AB36" i="12"/>
  <c r="AB37" i="12" s="1"/>
  <c r="AH32" i="12"/>
  <c r="AH33" i="12" s="1"/>
  <c r="AK21" i="12"/>
  <c r="AK22" i="12" s="1"/>
  <c r="X28" i="13"/>
  <c r="X28" i="14"/>
  <c r="Z28" i="12"/>
  <c r="AF9" i="9"/>
  <c r="AF11" i="9"/>
  <c r="AF13" i="9"/>
  <c r="AF15" i="9"/>
  <c r="W59" i="14" l="1"/>
  <c r="AE60" i="14" s="1"/>
  <c r="BB17" i="9" s="1"/>
  <c r="W64" i="14"/>
  <c r="AE65" i="14" s="1"/>
  <c r="BB22" i="9" s="1"/>
  <c r="W59" i="13"/>
  <c r="AE60" i="13" s="1"/>
  <c r="AW17" i="9" s="1"/>
  <c r="W64" i="13"/>
  <c r="AE65" i="13" s="1"/>
  <c r="AW22" i="9" s="1"/>
  <c r="W62" i="14"/>
  <c r="AE63" i="14" s="1"/>
  <c r="BB20" i="9" s="1"/>
  <c r="W61" i="14"/>
  <c r="AE62" i="14" s="1"/>
  <c r="BB19" i="9" s="1"/>
  <c r="W66" i="14"/>
  <c r="AE67" i="14" s="1"/>
  <c r="BB24" i="9" s="1"/>
  <c r="W62" i="13"/>
  <c r="AE63" i="13" s="1"/>
  <c r="AW20" i="9" s="1"/>
  <c r="W61" i="13"/>
  <c r="AE62" i="13" s="1"/>
  <c r="AW19" i="9" s="1"/>
  <c r="W66" i="13"/>
  <c r="AE67" i="13" s="1"/>
  <c r="AW24" i="9" s="1"/>
  <c r="W60" i="14"/>
  <c r="AE61" i="14" s="1"/>
  <c r="BB18" i="9" s="1"/>
  <c r="W63" i="14"/>
  <c r="AE64" i="14" s="1"/>
  <c r="BB21" i="9" s="1"/>
  <c r="W65" i="14"/>
  <c r="AE66" i="14" s="1"/>
  <c r="BB23" i="9" s="1"/>
  <c r="W60" i="13"/>
  <c r="AE61" i="13" s="1"/>
  <c r="AW18" i="9" s="1"/>
  <c r="W63" i="13"/>
  <c r="AE64" i="13" s="1"/>
  <c r="AW21" i="9" s="1"/>
  <c r="W65" i="13"/>
  <c r="AE66" i="13" s="1"/>
  <c r="AW23" i="9" s="1"/>
  <c r="W59" i="11"/>
  <c r="AE60" i="11" s="1"/>
  <c r="AM17" i="9" s="1"/>
  <c r="W64" i="11"/>
  <c r="AE65" i="11" s="1"/>
  <c r="AM22" i="9" s="1"/>
  <c r="W62" i="11"/>
  <c r="AE63" i="11" s="1"/>
  <c r="AM20" i="9" s="1"/>
  <c r="W61" i="11"/>
  <c r="AE62" i="11" s="1"/>
  <c r="AM19" i="9" s="1"/>
  <c r="W66" i="11"/>
  <c r="AE67" i="11" s="1"/>
  <c r="AM24" i="9" s="1"/>
  <c r="AH25" i="9"/>
  <c r="AL22" i="10"/>
  <c r="AL22" i="11"/>
  <c r="AM25" i="9"/>
  <c r="AZ13" i="9"/>
  <c r="AU13" i="9"/>
  <c r="AP13" i="9"/>
  <c r="AK13" i="9"/>
  <c r="AZ9" i="9"/>
  <c r="AU9" i="9"/>
  <c r="AP9" i="9"/>
  <c r="AK9" i="9"/>
  <c r="AH42" i="11"/>
  <c r="AH41" i="11"/>
  <c r="AL34" i="14"/>
  <c r="AM34" i="14" s="1"/>
  <c r="AK42" i="14" s="1"/>
  <c r="AK43" i="14" s="1"/>
  <c r="X62" i="14"/>
  <c r="AF63" i="14" s="1"/>
  <c r="BC20" i="9" s="1"/>
  <c r="X59" i="14"/>
  <c r="AF60" i="14" s="1"/>
  <c r="BC17" i="9" s="1"/>
  <c r="Z54" i="9" s="1"/>
  <c r="X60" i="14"/>
  <c r="AF61" i="14" s="1"/>
  <c r="BC18" i="9" s="1"/>
  <c r="X65" i="14"/>
  <c r="AF66" i="14" s="1"/>
  <c r="BC23" i="9" s="1"/>
  <c r="X61" i="14"/>
  <c r="AF62" i="14" s="1"/>
  <c r="BC19" i="9" s="1"/>
  <c r="X66" i="14"/>
  <c r="AF67" i="14" s="1"/>
  <c r="BC24" i="9" s="1"/>
  <c r="X67" i="14"/>
  <c r="AF68" i="14" s="1"/>
  <c r="BC25" i="9" s="1"/>
  <c r="AA54" i="9" s="1"/>
  <c r="X63" i="14"/>
  <c r="AF64" i="14" s="1"/>
  <c r="BC21" i="9" s="1"/>
  <c r="X64" i="14"/>
  <c r="AF65" i="14" s="1"/>
  <c r="BC22" i="9" s="1"/>
  <c r="AC37" i="14"/>
  <c r="AA64" i="9"/>
  <c r="W28" i="12"/>
  <c r="Y32" i="11"/>
  <c r="W28" i="11"/>
  <c r="AZ14" i="9"/>
  <c r="AU14" i="9"/>
  <c r="AP14" i="9"/>
  <c r="AK14" i="9"/>
  <c r="AZ10" i="9"/>
  <c r="AU10" i="9"/>
  <c r="AP10" i="9"/>
  <c r="AK10" i="9"/>
  <c r="AD71" i="14"/>
  <c r="BA28" i="9" s="1"/>
  <c r="AD69" i="14"/>
  <c r="BA26" i="9" s="1"/>
  <c r="AD72" i="14"/>
  <c r="BA29" i="9" s="1"/>
  <c r="AD70" i="14"/>
  <c r="BA27" i="9" s="1"/>
  <c r="BA25" i="9"/>
  <c r="AD71" i="13"/>
  <c r="AV28" i="9" s="1"/>
  <c r="AD69" i="13"/>
  <c r="AV26" i="9" s="1"/>
  <c r="AD72" i="13"/>
  <c r="AV29" i="9" s="1"/>
  <c r="AD70" i="13"/>
  <c r="AV27" i="9" s="1"/>
  <c r="AV25" i="9"/>
  <c r="AD71" i="10"/>
  <c r="AG28" i="9" s="1"/>
  <c r="AD69" i="10"/>
  <c r="AG26" i="9" s="1"/>
  <c r="AD72" i="10"/>
  <c r="AG29" i="9" s="1"/>
  <c r="AD70" i="10"/>
  <c r="AG27" i="9" s="1"/>
  <c r="AG25" i="9"/>
  <c r="AF25" i="9" s="1"/>
  <c r="AH42" i="10"/>
  <c r="AH41" i="10"/>
  <c r="AI35" i="11"/>
  <c r="AI32" i="11"/>
  <c r="AI33" i="11" s="1"/>
  <c r="AI34" i="11" s="1"/>
  <c r="AD71" i="11"/>
  <c r="AL28" i="9" s="1"/>
  <c r="AD69" i="11"/>
  <c r="AL26" i="9" s="1"/>
  <c r="AD72" i="11"/>
  <c r="AL29" i="9" s="1"/>
  <c r="AD70" i="11"/>
  <c r="AL27" i="9" s="1"/>
  <c r="AL25" i="9"/>
  <c r="AL34" i="13"/>
  <c r="AM34" i="13" s="1"/>
  <c r="AK42" i="13" s="1"/>
  <c r="AK43" i="13" s="1"/>
  <c r="X59" i="13"/>
  <c r="AF60" i="13" s="1"/>
  <c r="AX17" i="9" s="1"/>
  <c r="Z51" i="9" s="1"/>
  <c r="X62" i="13"/>
  <c r="AF63" i="13" s="1"/>
  <c r="AX20" i="9" s="1"/>
  <c r="X64" i="13"/>
  <c r="AF65" i="13" s="1"/>
  <c r="AX22" i="9" s="1"/>
  <c r="X65" i="13"/>
  <c r="AF66" i="13" s="1"/>
  <c r="AX23" i="9" s="1"/>
  <c r="X66" i="13"/>
  <c r="AF67" i="13" s="1"/>
  <c r="AX24" i="9" s="1"/>
  <c r="X61" i="13"/>
  <c r="AF62" i="13" s="1"/>
  <c r="AX19" i="9" s="1"/>
  <c r="X60" i="13"/>
  <c r="AF61" i="13" s="1"/>
  <c r="AX18" i="9" s="1"/>
  <c r="X67" i="13"/>
  <c r="AF68" i="13" s="1"/>
  <c r="AX25" i="9" s="1"/>
  <c r="AA51" i="9" s="1"/>
  <c r="X63" i="13"/>
  <c r="AF64" i="13" s="1"/>
  <c r="AX21" i="9" s="1"/>
  <c r="AC37" i="13"/>
  <c r="AA63" i="9"/>
  <c r="W60" i="11"/>
  <c r="AE61" i="11" s="1"/>
  <c r="AM18" i="9" s="1"/>
  <c r="W63" i="11"/>
  <c r="AE64" i="11" s="1"/>
  <c r="AM21" i="9" s="1"/>
  <c r="W65" i="11"/>
  <c r="AE66" i="11" s="1"/>
  <c r="AM23" i="9" s="1"/>
  <c r="AF17" i="9"/>
  <c r="AF20" i="9"/>
  <c r="AF22" i="9"/>
  <c r="AF24" i="9"/>
  <c r="W60" i="10"/>
  <c r="AE61" i="10" s="1"/>
  <c r="AH18" i="9" s="1"/>
  <c r="W61" i="10"/>
  <c r="AE62" i="10" s="1"/>
  <c r="AH19" i="9" s="1"/>
  <c r="W63" i="10"/>
  <c r="AE64" i="10" s="1"/>
  <c r="AH21" i="9" s="1"/>
  <c r="W65" i="10"/>
  <c r="AE66" i="10" s="1"/>
  <c r="AH23" i="9" s="1"/>
  <c r="AZ15" i="9"/>
  <c r="AU15" i="9"/>
  <c r="AP15" i="9"/>
  <c r="AK15" i="9"/>
  <c r="AZ11" i="9"/>
  <c r="AU11" i="9"/>
  <c r="AP11" i="9"/>
  <c r="AK11" i="9"/>
  <c r="Z32" i="12"/>
  <c r="Y28" i="12"/>
  <c r="Y32" i="12" s="1"/>
  <c r="Y32" i="14"/>
  <c r="W28" i="14"/>
  <c r="AL22" i="14"/>
  <c r="BB25" i="9"/>
  <c r="Y32" i="13"/>
  <c r="W28" i="13"/>
  <c r="AL22" i="13"/>
  <c r="AW25" i="9"/>
  <c r="AH42" i="12"/>
  <c r="AH41" i="12"/>
  <c r="AL34" i="10"/>
  <c r="AM34" i="10" s="1"/>
  <c r="AK42" i="10" s="1"/>
  <c r="AK43" i="10" s="1"/>
  <c r="X67" i="10"/>
  <c r="AF68" i="10" s="1"/>
  <c r="AI25" i="9" s="1"/>
  <c r="AA42" i="9" s="1"/>
  <c r="X65" i="10"/>
  <c r="AF66" i="10" s="1"/>
  <c r="AI23" i="9" s="1"/>
  <c r="X63" i="10"/>
  <c r="AF64" i="10" s="1"/>
  <c r="AI21" i="9" s="1"/>
  <c r="X59" i="10"/>
  <c r="AF60" i="10" s="1"/>
  <c r="AI17" i="9" s="1"/>
  <c r="Z42" i="9" s="1"/>
  <c r="X62" i="10"/>
  <c r="AF63" i="10" s="1"/>
  <c r="AI20" i="9" s="1"/>
  <c r="X66" i="10"/>
  <c r="AF67" i="10" s="1"/>
  <c r="AI24" i="9" s="1"/>
  <c r="X64" i="10"/>
  <c r="AF65" i="10" s="1"/>
  <c r="AI22" i="9" s="1"/>
  <c r="X61" i="10"/>
  <c r="AF62" i="10" s="1"/>
  <c r="AI19" i="9" s="1"/>
  <c r="X60" i="10"/>
  <c r="AF61" i="10" s="1"/>
  <c r="AI18" i="9" s="1"/>
  <c r="AA60" i="9"/>
  <c r="AC37" i="10"/>
  <c r="AH42" i="14"/>
  <c r="AH41" i="14"/>
  <c r="AL34" i="11"/>
  <c r="AM34" i="11" s="1"/>
  <c r="AK42" i="11" s="1"/>
  <c r="AK43" i="11" s="1"/>
  <c r="X62" i="11"/>
  <c r="AF63" i="11" s="1"/>
  <c r="AN20" i="9" s="1"/>
  <c r="X59" i="11"/>
  <c r="AF60" i="11" s="1"/>
  <c r="AN17" i="9" s="1"/>
  <c r="Z45" i="9" s="1"/>
  <c r="X61" i="11"/>
  <c r="AF62" i="11" s="1"/>
  <c r="AN19" i="9" s="1"/>
  <c r="X63" i="11"/>
  <c r="AF64" i="11" s="1"/>
  <c r="AN21" i="9" s="1"/>
  <c r="X64" i="11"/>
  <c r="AF65" i="11" s="1"/>
  <c r="AN22" i="9" s="1"/>
  <c r="X65" i="11"/>
  <c r="AF66" i="11" s="1"/>
  <c r="AN23" i="9" s="1"/>
  <c r="X66" i="11"/>
  <c r="AF67" i="11" s="1"/>
  <c r="AN24" i="9" s="1"/>
  <c r="X67" i="11"/>
  <c r="AF68" i="11" s="1"/>
  <c r="AN25" i="9" s="1"/>
  <c r="AA45" i="9" s="1"/>
  <c r="X60" i="11"/>
  <c r="AF61" i="11" s="1"/>
  <c r="AN18" i="9" s="1"/>
  <c r="AC37" i="11"/>
  <c r="AA61" i="9"/>
  <c r="AZ12" i="9"/>
  <c r="AU12" i="9"/>
  <c r="AP12" i="9"/>
  <c r="AK12" i="9"/>
  <c r="AZ8" i="9"/>
  <c r="AU8" i="9"/>
  <c r="AP8" i="9"/>
  <c r="AK8" i="9"/>
  <c r="AH42" i="13"/>
  <c r="AH41" i="13"/>
  <c r="AZ16" i="9"/>
  <c r="AU16" i="9"/>
  <c r="AP16" i="9"/>
  <c r="AK16" i="9"/>
  <c r="Y32" i="10"/>
  <c r="W28" i="10"/>
  <c r="AI28" i="11"/>
  <c r="AI25" i="11"/>
  <c r="AI26" i="11" s="1"/>
  <c r="AI27" i="11" s="1"/>
  <c r="AI42" i="11"/>
  <c r="AI39" i="11"/>
  <c r="AI40" i="11" s="1"/>
  <c r="AI41" i="11" s="1"/>
  <c r="AD71" i="12"/>
  <c r="AQ28" i="9" s="1"/>
  <c r="AD69" i="12"/>
  <c r="AQ26" i="9" s="1"/>
  <c r="AD72" i="12"/>
  <c r="AQ29" i="9" s="1"/>
  <c r="AD70" i="12"/>
  <c r="AQ27" i="9" s="1"/>
  <c r="AQ25" i="9"/>
  <c r="AF18" i="9"/>
  <c r="AF19" i="9"/>
  <c r="AF21" i="9"/>
  <c r="AF23" i="9"/>
  <c r="W59" i="10"/>
  <c r="AE60" i="10" s="1"/>
  <c r="AH17" i="9" s="1"/>
  <c r="W62" i="10"/>
  <c r="AE63" i="10" s="1"/>
  <c r="AH20" i="9" s="1"/>
  <c r="W64" i="10"/>
  <c r="AE65" i="10" s="1"/>
  <c r="AH22" i="9" s="1"/>
  <c r="W66" i="10"/>
  <c r="AE67" i="10" s="1"/>
  <c r="AH24" i="9" s="1"/>
  <c r="AI17" i="12" l="1"/>
  <c r="AI21" i="12" s="1"/>
  <c r="AF27" i="9"/>
  <c r="AU27" i="9" s="1"/>
  <c r="AF26" i="9"/>
  <c r="AU26" i="9" s="1"/>
  <c r="Z37" i="12"/>
  <c r="Z62" i="9"/>
  <c r="AZ21" i="9"/>
  <c r="AU21" i="9"/>
  <c r="AP21" i="9"/>
  <c r="AK21" i="9"/>
  <c r="AZ18" i="9"/>
  <c r="AU18" i="9"/>
  <c r="AP18" i="9"/>
  <c r="AK18" i="9"/>
  <c r="AL33" i="10"/>
  <c r="AM33" i="10" s="1"/>
  <c r="AK40" i="10" s="1"/>
  <c r="AK41" i="10" s="1"/>
  <c r="AB55" i="10"/>
  <c r="AF59" i="10" s="1"/>
  <c r="AI16" i="9" s="1"/>
  <c r="Y42" i="9" s="1"/>
  <c r="AB47" i="10"/>
  <c r="AF51" i="10" s="1"/>
  <c r="AI8" i="9" s="1"/>
  <c r="X42" i="9" s="1"/>
  <c r="AB48" i="10"/>
  <c r="AF52" i="10" s="1"/>
  <c r="AI9" i="9" s="1"/>
  <c r="AB50" i="10"/>
  <c r="AF54" i="10" s="1"/>
  <c r="AI11" i="9" s="1"/>
  <c r="AB51" i="10"/>
  <c r="AF55" i="10" s="1"/>
  <c r="AI12" i="9" s="1"/>
  <c r="AB52" i="10"/>
  <c r="AF56" i="10" s="1"/>
  <c r="AI13" i="9" s="1"/>
  <c r="AB53" i="10"/>
  <c r="AF57" i="10" s="1"/>
  <c r="AI14" i="9" s="1"/>
  <c r="AB54" i="10"/>
  <c r="AF58" i="10" s="1"/>
  <c r="AI15" i="9" s="1"/>
  <c r="AB49" i="10"/>
  <c r="AF53" i="10" s="1"/>
  <c r="AI10" i="9" s="1"/>
  <c r="X32" i="10"/>
  <c r="AA49" i="10"/>
  <c r="AE53" i="10" s="1"/>
  <c r="AH10" i="9" s="1"/>
  <c r="AA55" i="10"/>
  <c r="AE59" i="10" s="1"/>
  <c r="AA53" i="10"/>
  <c r="AE57" i="10" s="1"/>
  <c r="AH14" i="9" s="1"/>
  <c r="AA51" i="10"/>
  <c r="AE55" i="10" s="1"/>
  <c r="AH12" i="9" s="1"/>
  <c r="AA48" i="10"/>
  <c r="AE52" i="10" s="1"/>
  <c r="AH9" i="9" s="1"/>
  <c r="AA47" i="10"/>
  <c r="AE51" i="10" s="1"/>
  <c r="AH8" i="9" s="1"/>
  <c r="AA54" i="10"/>
  <c r="AE58" i="10" s="1"/>
  <c r="AH15" i="9" s="1"/>
  <c r="AA52" i="10"/>
  <c r="AE56" i="10" s="1"/>
  <c r="AH13" i="9" s="1"/>
  <c r="AA50" i="10"/>
  <c r="AE54" i="10" s="1"/>
  <c r="AH11" i="9" s="1"/>
  <c r="AL33" i="14"/>
  <c r="AM33" i="14" s="1"/>
  <c r="AK40" i="14" s="1"/>
  <c r="AK41" i="14" s="1"/>
  <c r="AB55" i="14"/>
  <c r="AF59" i="14" s="1"/>
  <c r="BC16" i="9" s="1"/>
  <c r="Y54" i="9" s="1"/>
  <c r="AB47" i="14"/>
  <c r="AF51" i="14" s="1"/>
  <c r="BC8" i="9" s="1"/>
  <c r="X54" i="9" s="1"/>
  <c r="AB51" i="14"/>
  <c r="AF55" i="14" s="1"/>
  <c r="BC12" i="9" s="1"/>
  <c r="AB52" i="14"/>
  <c r="AF56" i="14" s="1"/>
  <c r="BC13" i="9" s="1"/>
  <c r="AB48" i="14"/>
  <c r="AF52" i="14" s="1"/>
  <c r="BC9" i="9" s="1"/>
  <c r="AB49" i="14"/>
  <c r="AF53" i="14" s="1"/>
  <c r="BC10" i="9" s="1"/>
  <c r="AA47" i="14"/>
  <c r="AE51" i="14" s="1"/>
  <c r="BB8" i="9" s="1"/>
  <c r="AA54" i="14"/>
  <c r="AE58" i="14" s="1"/>
  <c r="BB15" i="9" s="1"/>
  <c r="AA52" i="14"/>
  <c r="AE56" i="14" s="1"/>
  <c r="BB13" i="9" s="1"/>
  <c r="AA50" i="14"/>
  <c r="AE54" i="14" s="1"/>
  <c r="BB11" i="9" s="1"/>
  <c r="AB53" i="14"/>
  <c r="AF57" i="14" s="1"/>
  <c r="BC14" i="9" s="1"/>
  <c r="AB54" i="14"/>
  <c r="AF58" i="14" s="1"/>
  <c r="BC15" i="9" s="1"/>
  <c r="AB50" i="14"/>
  <c r="AF54" i="14" s="1"/>
  <c r="BC11" i="9" s="1"/>
  <c r="X32" i="14"/>
  <c r="AA49" i="14"/>
  <c r="AE53" i="14" s="1"/>
  <c r="BB10" i="9" s="1"/>
  <c r="AA55" i="14"/>
  <c r="AE59" i="14" s="1"/>
  <c r="AA53" i="14"/>
  <c r="AE57" i="14" s="1"/>
  <c r="BB14" i="9" s="1"/>
  <c r="AA51" i="14"/>
  <c r="AE55" i="14" s="1"/>
  <c r="BB12" i="9" s="1"/>
  <c r="AA48" i="14"/>
  <c r="AE52" i="14" s="1"/>
  <c r="BB9" i="9" s="1"/>
  <c r="Z37" i="14"/>
  <c r="Z64" i="9"/>
  <c r="AZ24" i="9"/>
  <c r="AU24" i="9"/>
  <c r="AP24" i="9"/>
  <c r="AK24" i="9"/>
  <c r="AZ20" i="9"/>
  <c r="AU20" i="9"/>
  <c r="AP20" i="9"/>
  <c r="AK20" i="9"/>
  <c r="AZ25" i="9"/>
  <c r="AU25" i="9"/>
  <c r="AP25" i="9"/>
  <c r="AK25" i="9"/>
  <c r="AL33" i="12"/>
  <c r="AM33" i="12" s="1"/>
  <c r="AK40" i="12" s="1"/>
  <c r="AK41" i="12" s="1"/>
  <c r="AB47" i="12"/>
  <c r="AF51" i="12" s="1"/>
  <c r="AS8" i="9" s="1"/>
  <c r="X48" i="9" s="1"/>
  <c r="AB55" i="12"/>
  <c r="AF59" i="12" s="1"/>
  <c r="AS16" i="9" s="1"/>
  <c r="Y48" i="9" s="1"/>
  <c r="AB49" i="12"/>
  <c r="AF53" i="12" s="1"/>
  <c r="AS10" i="9" s="1"/>
  <c r="AB54" i="12"/>
  <c r="AF58" i="12" s="1"/>
  <c r="AS15" i="9" s="1"/>
  <c r="AB50" i="12"/>
  <c r="AF54" i="12" s="1"/>
  <c r="AS11" i="9" s="1"/>
  <c r="AB53" i="12"/>
  <c r="AF57" i="12" s="1"/>
  <c r="AS14" i="9" s="1"/>
  <c r="AA47" i="12"/>
  <c r="AE51" i="12" s="1"/>
  <c r="AR8" i="9" s="1"/>
  <c r="AA54" i="12"/>
  <c r="AE58" i="12" s="1"/>
  <c r="AR15" i="9" s="1"/>
  <c r="AA52" i="12"/>
  <c r="AE56" i="12" s="1"/>
  <c r="AR13" i="9" s="1"/>
  <c r="AA50" i="12"/>
  <c r="AE54" i="12" s="1"/>
  <c r="AR11" i="9" s="1"/>
  <c r="AB52" i="12"/>
  <c r="AF56" i="12" s="1"/>
  <c r="AS13" i="9" s="1"/>
  <c r="AB48" i="12"/>
  <c r="AF52" i="12" s="1"/>
  <c r="AS9" i="9" s="1"/>
  <c r="AB51" i="12"/>
  <c r="AF55" i="12" s="1"/>
  <c r="AS12" i="9" s="1"/>
  <c r="X32" i="12"/>
  <c r="AA49" i="12"/>
  <c r="AE53" i="12" s="1"/>
  <c r="AR10" i="9" s="1"/>
  <c r="AA55" i="12"/>
  <c r="AE59" i="12" s="1"/>
  <c r="AA53" i="12"/>
  <c r="AE57" i="12" s="1"/>
  <c r="AR14" i="9" s="1"/>
  <c r="AA51" i="12"/>
  <c r="AE55" i="12" s="1"/>
  <c r="AR12" i="9" s="1"/>
  <c r="AA48" i="12"/>
  <c r="AE52" i="12" s="1"/>
  <c r="AR9" i="9" s="1"/>
  <c r="AN34" i="11"/>
  <c r="AL43" i="11" s="1"/>
  <c r="AN34" i="10"/>
  <c r="AL43" i="10" s="1"/>
  <c r="AN34" i="13"/>
  <c r="AL43" i="13" s="1"/>
  <c r="AF29" i="9"/>
  <c r="AF28" i="9"/>
  <c r="AN34" i="14"/>
  <c r="AL43" i="14" s="1"/>
  <c r="AZ23" i="9"/>
  <c r="AU23" i="9"/>
  <c r="AP23" i="9"/>
  <c r="AK23" i="9"/>
  <c r="AZ19" i="9"/>
  <c r="AU19" i="9"/>
  <c r="AP19" i="9"/>
  <c r="AK19" i="9"/>
  <c r="Z37" i="10"/>
  <c r="Z60" i="9"/>
  <c r="AL33" i="13"/>
  <c r="AM33" i="13" s="1"/>
  <c r="AK40" i="13" s="1"/>
  <c r="AK41" i="13" s="1"/>
  <c r="AB55" i="13"/>
  <c r="AF59" i="13" s="1"/>
  <c r="AX16" i="9" s="1"/>
  <c r="Y51" i="9" s="1"/>
  <c r="AB47" i="13"/>
  <c r="AF51" i="13" s="1"/>
  <c r="AX8" i="9" s="1"/>
  <c r="X51" i="9" s="1"/>
  <c r="AB48" i="13"/>
  <c r="AF52" i="13" s="1"/>
  <c r="AX9" i="9" s="1"/>
  <c r="AB50" i="13"/>
  <c r="AF54" i="13" s="1"/>
  <c r="AX11" i="9" s="1"/>
  <c r="AB51" i="13"/>
  <c r="AF55" i="13" s="1"/>
  <c r="AX12" i="9" s="1"/>
  <c r="AB52" i="13"/>
  <c r="AF56" i="13" s="1"/>
  <c r="AX13" i="9" s="1"/>
  <c r="AB53" i="13"/>
  <c r="AF57" i="13" s="1"/>
  <c r="AX14" i="9" s="1"/>
  <c r="AB54" i="13"/>
  <c r="AF58" i="13" s="1"/>
  <c r="AX15" i="9" s="1"/>
  <c r="AB49" i="13"/>
  <c r="AF53" i="13" s="1"/>
  <c r="AX10" i="9" s="1"/>
  <c r="AA47" i="13"/>
  <c r="AE51" i="13" s="1"/>
  <c r="AW8" i="9" s="1"/>
  <c r="AA54" i="13"/>
  <c r="AE58" i="13" s="1"/>
  <c r="AW15" i="9" s="1"/>
  <c r="AA52" i="13"/>
  <c r="AE56" i="13" s="1"/>
  <c r="AW13" i="9" s="1"/>
  <c r="AA50" i="13"/>
  <c r="AE54" i="13" s="1"/>
  <c r="AW11" i="9" s="1"/>
  <c r="X32" i="13"/>
  <c r="AA49" i="13"/>
  <c r="AE53" i="13" s="1"/>
  <c r="AW10" i="9" s="1"/>
  <c r="AA55" i="13"/>
  <c r="AE59" i="13" s="1"/>
  <c r="AA53" i="13"/>
  <c r="AE57" i="13" s="1"/>
  <c r="AW14" i="9" s="1"/>
  <c r="AA51" i="13"/>
  <c r="AE55" i="13" s="1"/>
  <c r="AW12" i="9" s="1"/>
  <c r="AA48" i="13"/>
  <c r="AE52" i="13" s="1"/>
  <c r="AW9" i="9" s="1"/>
  <c r="Z37" i="13"/>
  <c r="Z63" i="9"/>
  <c r="AL34" i="12"/>
  <c r="AM34" i="12" s="1"/>
  <c r="AK42" i="12" s="1"/>
  <c r="AK43" i="12" s="1"/>
  <c r="X65" i="12"/>
  <c r="AF66" i="12" s="1"/>
  <c r="AS23" i="9" s="1"/>
  <c r="X67" i="12"/>
  <c r="AF68" i="12" s="1"/>
  <c r="AS25" i="9" s="1"/>
  <c r="AA48" i="9" s="1"/>
  <c r="X61" i="12"/>
  <c r="AF62" i="12" s="1"/>
  <c r="AS19" i="9" s="1"/>
  <c r="X63" i="12"/>
  <c r="AF64" i="12" s="1"/>
  <c r="AS21" i="9" s="1"/>
  <c r="X64" i="12"/>
  <c r="AF65" i="12" s="1"/>
  <c r="AS22" i="9" s="1"/>
  <c r="X66" i="12"/>
  <c r="AF67" i="12" s="1"/>
  <c r="AS24" i="9" s="1"/>
  <c r="X59" i="12"/>
  <c r="AF60" i="12" s="1"/>
  <c r="AS17" i="9" s="1"/>
  <c r="Z48" i="9" s="1"/>
  <c r="X60" i="12"/>
  <c r="AF61" i="12" s="1"/>
  <c r="AS18" i="9" s="1"/>
  <c r="X62" i="12"/>
  <c r="AF63" i="12" s="1"/>
  <c r="AS20" i="9" s="1"/>
  <c r="W66" i="12"/>
  <c r="AE67" i="12" s="1"/>
  <c r="AR24" i="9" s="1"/>
  <c r="W64" i="12"/>
  <c r="AE65" i="12" s="1"/>
  <c r="AR22" i="9" s="1"/>
  <c r="W61" i="12"/>
  <c r="AE62" i="12" s="1"/>
  <c r="AR19" i="9" s="1"/>
  <c r="W62" i="12"/>
  <c r="AE63" i="12" s="1"/>
  <c r="AR20" i="9" s="1"/>
  <c r="W59" i="12"/>
  <c r="AE60" i="12" s="1"/>
  <c r="AR17" i="9" s="1"/>
  <c r="W67" i="12"/>
  <c r="AE68" i="12" s="1"/>
  <c r="W65" i="12"/>
  <c r="AE66" i="12" s="1"/>
  <c r="AR23" i="9" s="1"/>
  <c r="W63" i="12"/>
  <c r="AE64" i="12" s="1"/>
  <c r="AR21" i="9" s="1"/>
  <c r="W60" i="12"/>
  <c r="AE61" i="12" s="1"/>
  <c r="AR18" i="9" s="1"/>
  <c r="AC37" i="12"/>
  <c r="AA62" i="9"/>
  <c r="AZ22" i="9"/>
  <c r="AU22" i="9"/>
  <c r="AP22" i="9"/>
  <c r="AK22" i="9"/>
  <c r="AZ17" i="9"/>
  <c r="AU17" i="9"/>
  <c r="AP17" i="9"/>
  <c r="AK17" i="9"/>
  <c r="AL33" i="11"/>
  <c r="AM33" i="11" s="1"/>
  <c r="AK40" i="11" s="1"/>
  <c r="AK41" i="11" s="1"/>
  <c r="AB47" i="11"/>
  <c r="AF51" i="11" s="1"/>
  <c r="AN8" i="9" s="1"/>
  <c r="X45" i="9" s="1"/>
  <c r="AB55" i="11"/>
  <c r="AF59" i="11" s="1"/>
  <c r="AN16" i="9" s="1"/>
  <c r="Y45" i="9" s="1"/>
  <c r="AB49" i="11"/>
  <c r="AF53" i="11" s="1"/>
  <c r="AN10" i="9" s="1"/>
  <c r="AB48" i="11"/>
  <c r="AF52" i="11" s="1"/>
  <c r="AN9" i="9" s="1"/>
  <c r="AB50" i="11"/>
  <c r="AF54" i="11" s="1"/>
  <c r="AN11" i="9" s="1"/>
  <c r="AB51" i="11"/>
  <c r="AF55" i="11" s="1"/>
  <c r="AN12" i="9" s="1"/>
  <c r="AB52" i="11"/>
  <c r="AF56" i="11" s="1"/>
  <c r="AN13" i="9" s="1"/>
  <c r="AB53" i="11"/>
  <c r="AF57" i="11" s="1"/>
  <c r="AN14" i="9" s="1"/>
  <c r="AB54" i="11"/>
  <c r="AF58" i="11" s="1"/>
  <c r="AN15" i="9" s="1"/>
  <c r="X32" i="11"/>
  <c r="AA47" i="11"/>
  <c r="AE51" i="11" s="1"/>
  <c r="AM8" i="9" s="1"/>
  <c r="AA54" i="11"/>
  <c r="AE58" i="11" s="1"/>
  <c r="AM15" i="9" s="1"/>
  <c r="AA52" i="11"/>
  <c r="AE56" i="11" s="1"/>
  <c r="AM13" i="9" s="1"/>
  <c r="AA50" i="11"/>
  <c r="AE54" i="11" s="1"/>
  <c r="AM11" i="9" s="1"/>
  <c r="AA49" i="11"/>
  <c r="AE53" i="11" s="1"/>
  <c r="AM10" i="9" s="1"/>
  <c r="AA55" i="11"/>
  <c r="AE59" i="11" s="1"/>
  <c r="AA53" i="11"/>
  <c r="AE57" i="11" s="1"/>
  <c r="AM14" i="9" s="1"/>
  <c r="AA51" i="11"/>
  <c r="AE55" i="11" s="1"/>
  <c r="AM12" i="9" s="1"/>
  <c r="AA48" i="11"/>
  <c r="AE52" i="11" s="1"/>
  <c r="AM9" i="9" s="1"/>
  <c r="Z37" i="11"/>
  <c r="Z61" i="9"/>
  <c r="AZ27" i="9" l="1"/>
  <c r="AZ26" i="9"/>
  <c r="AP26" i="9"/>
  <c r="AK26" i="9"/>
  <c r="AP27" i="9"/>
  <c r="AK27" i="9"/>
  <c r="AI24" i="12"/>
  <c r="AI28" i="12" s="1"/>
  <c r="AI38" i="12"/>
  <c r="AI39" i="12" s="1"/>
  <c r="AI40" i="12" s="1"/>
  <c r="AI41" i="12" s="1"/>
  <c r="AI18" i="12"/>
  <c r="AI19" i="12" s="1"/>
  <c r="AI20" i="12" s="1"/>
  <c r="AI31" i="12"/>
  <c r="AI35" i="12" s="1"/>
  <c r="AN33" i="11"/>
  <c r="AL41" i="11" s="1"/>
  <c r="AL20" i="13"/>
  <c r="AW16" i="9"/>
  <c r="W37" i="13"/>
  <c r="Y63" i="9"/>
  <c r="AZ28" i="9"/>
  <c r="AU28" i="9"/>
  <c r="AP28" i="9"/>
  <c r="AK28" i="9"/>
  <c r="AL20" i="12"/>
  <c r="AR16" i="9"/>
  <c r="W37" i="12"/>
  <c r="Y62" i="9"/>
  <c r="AL20" i="14"/>
  <c r="BB16" i="9"/>
  <c r="W37" i="14"/>
  <c r="Y64" i="9"/>
  <c r="AH16" i="9"/>
  <c r="AL20" i="10"/>
  <c r="Y60" i="9"/>
  <c r="W37" i="10"/>
  <c r="AN34" i="12"/>
  <c r="AL43" i="12" s="1"/>
  <c r="AN33" i="13"/>
  <c r="AL41" i="13" s="1"/>
  <c r="AN33" i="12"/>
  <c r="AL41" i="12" s="1"/>
  <c r="AN33" i="14"/>
  <c r="AL41" i="14" s="1"/>
  <c r="AN33" i="10"/>
  <c r="AL41" i="10" s="1"/>
  <c r="AL20" i="11"/>
  <c r="AM16" i="9"/>
  <c r="W37" i="11"/>
  <c r="Y61" i="9"/>
  <c r="AL22" i="12"/>
  <c r="AR25" i="9"/>
  <c r="AZ29" i="9"/>
  <c r="AU29" i="9"/>
  <c r="AP29" i="9"/>
  <c r="AK29" i="9"/>
  <c r="AI32" i="12"/>
  <c r="AI33" i="12" s="1"/>
  <c r="AI34" i="12" s="1"/>
  <c r="AI42" i="12" l="1"/>
  <c r="AI25" i="12"/>
  <c r="AI26" i="12" s="1"/>
  <c r="AI27" i="12" s="1"/>
  <c r="AI17" i="13" l="1"/>
  <c r="AI21" i="13" s="1"/>
  <c r="AI24" i="13" l="1"/>
  <c r="AI25" i="13" s="1"/>
  <c r="AI26" i="13" s="1"/>
  <c r="AI27" i="13" s="1"/>
  <c r="AI38" i="13"/>
  <c r="AI42" i="13" s="1"/>
  <c r="AI18" i="13"/>
  <c r="AI19" i="13" s="1"/>
  <c r="AI20" i="13" s="1"/>
  <c r="AI31" i="13"/>
  <c r="AI35" i="13" s="1"/>
  <c r="AI28" i="13"/>
  <c r="AI39" i="13" l="1"/>
  <c r="AI40" i="13" s="1"/>
  <c r="AI41" i="13" s="1"/>
  <c r="AI32" i="13"/>
  <c r="AI33" i="13" s="1"/>
  <c r="AI34" i="13" s="1"/>
  <c r="AI17" i="14" l="1"/>
  <c r="AI21" i="14" s="1"/>
  <c r="AI24" i="14" l="1"/>
  <c r="AI25" i="14" s="1"/>
  <c r="AI26" i="14" s="1"/>
  <c r="AI27" i="14" s="1"/>
  <c r="AI38" i="14"/>
  <c r="AI42" i="14" s="1"/>
  <c r="AI18" i="14"/>
  <c r="AI19" i="14" s="1"/>
  <c r="AI20" i="14" s="1"/>
  <c r="AI31" i="14"/>
  <c r="AI35" i="14" s="1"/>
  <c r="AI28" i="14" l="1"/>
  <c r="AI39" i="14"/>
  <c r="AI40" i="14" s="1"/>
  <c r="AI41" i="14" s="1"/>
  <c r="AI32" i="14"/>
  <c r="AI33" i="14" s="1"/>
  <c r="AI34" i="14" s="1"/>
  <c r="F7" i="8"/>
  <c r="G7" i="8"/>
  <c r="E7" i="8"/>
  <c r="U41" i="8"/>
  <c r="AG48" i="2" s="1"/>
  <c r="F18" i="8"/>
  <c r="E18" i="8"/>
  <c r="G4" i="8"/>
  <c r="Q44" i="8" s="1"/>
  <c r="F4" i="8"/>
  <c r="M57" i="8" s="1"/>
  <c r="E4" i="8"/>
  <c r="M43" i="8" s="1"/>
  <c r="U43" i="8" s="1"/>
  <c r="AG50" i="2" s="1"/>
  <c r="F7" i="7"/>
  <c r="G7" i="7"/>
  <c r="E7" i="7"/>
  <c r="U41" i="7"/>
  <c r="AL26" i="2" s="1"/>
  <c r="F18" i="7"/>
  <c r="E18" i="7"/>
  <c r="G4" i="7"/>
  <c r="Q44" i="7" s="1"/>
  <c r="F4" i="7"/>
  <c r="M57" i="7" s="1"/>
  <c r="E4" i="7"/>
  <c r="M43" i="7" s="1"/>
  <c r="U43" i="7" s="1"/>
  <c r="AL28" i="2" s="1"/>
  <c r="F7" i="6"/>
  <c r="G7" i="6"/>
  <c r="E7" i="6"/>
  <c r="U41" i="6"/>
  <c r="AG26" i="2" s="1"/>
  <c r="F18" i="6"/>
  <c r="E18" i="6"/>
  <c r="G4" i="6"/>
  <c r="Q44" i="6" s="1"/>
  <c r="F4" i="6"/>
  <c r="M57" i="6" s="1"/>
  <c r="E4" i="6"/>
  <c r="M43" i="6" s="1"/>
  <c r="U43" i="6" s="1"/>
  <c r="AG28" i="2" s="1"/>
  <c r="F7" i="5"/>
  <c r="G7" i="5"/>
  <c r="E7" i="5"/>
  <c r="U41" i="5"/>
  <c r="AL4" i="2" s="1"/>
  <c r="F18" i="5"/>
  <c r="E18" i="5"/>
  <c r="G4" i="5"/>
  <c r="Q44" i="5" s="1"/>
  <c r="F4" i="5"/>
  <c r="M57" i="5" s="1"/>
  <c r="E4" i="5"/>
  <c r="M43" i="5" s="1"/>
  <c r="U43" i="5" s="1"/>
  <c r="AL6" i="2" s="1"/>
  <c r="F7" i="4"/>
  <c r="G7" i="4"/>
  <c r="F4" i="4"/>
  <c r="G4" i="4"/>
  <c r="E4" i="4"/>
  <c r="Q16" i="4" l="1"/>
  <c r="Q16" i="5"/>
  <c r="Q16" i="6"/>
  <c r="Q16" i="7"/>
  <c r="Q16" i="8"/>
  <c r="P22" i="8"/>
  <c r="O41" i="8"/>
  <c r="W41" i="8" s="1"/>
  <c r="AI48" i="2" s="1"/>
  <c r="M42" i="8"/>
  <c r="U42" i="8" s="1"/>
  <c r="AG49" i="2" s="1"/>
  <c r="N43" i="8"/>
  <c r="V43" i="8" s="1"/>
  <c r="AH50" i="2" s="1"/>
  <c r="Q43" i="8"/>
  <c r="M44" i="8"/>
  <c r="U44" i="8" s="1"/>
  <c r="AG51" i="2" s="1"/>
  <c r="AB49" i="8"/>
  <c r="M51" i="8"/>
  <c r="Y12" i="8"/>
  <c r="Y13" i="8" s="1"/>
  <c r="Q15" i="8"/>
  <c r="O22" i="8" s="1"/>
  <c r="Y18" i="8"/>
  <c r="M22" i="8"/>
  <c r="N41" i="8"/>
  <c r="V41" i="8" s="1"/>
  <c r="AH48" i="2" s="1"/>
  <c r="Q42" i="8"/>
  <c r="O43" i="8"/>
  <c r="W43" i="8" s="1"/>
  <c r="AI50" i="2" s="1"/>
  <c r="M50" i="8"/>
  <c r="M52" i="8"/>
  <c r="M53" i="8"/>
  <c r="M54" i="8"/>
  <c r="M55" i="8"/>
  <c r="M56" i="8"/>
  <c r="P22" i="7"/>
  <c r="O41" i="7"/>
  <c r="W41" i="7" s="1"/>
  <c r="AN26" i="2" s="1"/>
  <c r="M42" i="7"/>
  <c r="U42" i="7" s="1"/>
  <c r="AL27" i="2" s="1"/>
  <c r="N43" i="7"/>
  <c r="V43" i="7" s="1"/>
  <c r="AM28" i="2" s="1"/>
  <c r="Q43" i="7"/>
  <c r="M44" i="7"/>
  <c r="U44" i="7" s="1"/>
  <c r="AL29" i="2" s="1"/>
  <c r="AB49" i="7"/>
  <c r="M51" i="7"/>
  <c r="Y12" i="7"/>
  <c r="Y13" i="7" s="1"/>
  <c r="Q15" i="7"/>
  <c r="O22" i="7" s="1"/>
  <c r="Y18" i="7"/>
  <c r="M22" i="7"/>
  <c r="N41" i="7"/>
  <c r="V41" i="7" s="1"/>
  <c r="AM26" i="2" s="1"/>
  <c r="Q42" i="7"/>
  <c r="O43" i="7"/>
  <c r="W43" i="7" s="1"/>
  <c r="AN28" i="2" s="1"/>
  <c r="M50" i="7"/>
  <c r="M52" i="7"/>
  <c r="M53" i="7"/>
  <c r="M54" i="7"/>
  <c r="M55" i="7"/>
  <c r="M56" i="7"/>
  <c r="P22" i="6"/>
  <c r="O41" i="6"/>
  <c r="W41" i="6" s="1"/>
  <c r="AI26" i="2" s="1"/>
  <c r="M42" i="6"/>
  <c r="U42" i="6" s="1"/>
  <c r="AG27" i="2" s="1"/>
  <c r="N43" i="6"/>
  <c r="V43" i="6" s="1"/>
  <c r="AH28" i="2" s="1"/>
  <c r="Q43" i="6"/>
  <c r="M44" i="6"/>
  <c r="U44" i="6" s="1"/>
  <c r="AG29" i="2" s="1"/>
  <c r="AB49" i="6"/>
  <c r="M51" i="6"/>
  <c r="Y12" i="6"/>
  <c r="Y13" i="6" s="1"/>
  <c r="Q15" i="6"/>
  <c r="Y18" i="6"/>
  <c r="M22" i="6"/>
  <c r="N41" i="6"/>
  <c r="V41" i="6" s="1"/>
  <c r="AH26" i="2" s="1"/>
  <c r="Q42" i="6"/>
  <c r="O43" i="6"/>
  <c r="W43" i="6" s="1"/>
  <c r="AI28" i="2" s="1"/>
  <c r="M50" i="6"/>
  <c r="M52" i="6"/>
  <c r="M53" i="6"/>
  <c r="M54" i="6"/>
  <c r="M55" i="6"/>
  <c r="M56" i="6"/>
  <c r="P22" i="5"/>
  <c r="O41" i="5"/>
  <c r="W41" i="5" s="1"/>
  <c r="AN4" i="2" s="1"/>
  <c r="M42" i="5"/>
  <c r="U42" i="5" s="1"/>
  <c r="AL5" i="2" s="1"/>
  <c r="N43" i="5"/>
  <c r="V43" i="5" s="1"/>
  <c r="AM6" i="2" s="1"/>
  <c r="Q43" i="5"/>
  <c r="M44" i="5"/>
  <c r="U44" i="5" s="1"/>
  <c r="AL7" i="2" s="1"/>
  <c r="AB49" i="5"/>
  <c r="M51" i="5"/>
  <c r="Y12" i="5"/>
  <c r="Y13" i="5" s="1"/>
  <c r="Q15" i="5"/>
  <c r="O22" i="5" s="1"/>
  <c r="Y18" i="5"/>
  <c r="M22" i="5"/>
  <c r="N41" i="5"/>
  <c r="V41" i="5" s="1"/>
  <c r="AM4" i="2" s="1"/>
  <c r="Q42" i="5"/>
  <c r="O43" i="5"/>
  <c r="W43" i="5" s="1"/>
  <c r="AN6" i="2" s="1"/>
  <c r="M50" i="5"/>
  <c r="M52" i="5"/>
  <c r="M53" i="5"/>
  <c r="M54" i="5"/>
  <c r="M55" i="5"/>
  <c r="M56" i="5"/>
  <c r="P22" i="4"/>
  <c r="F18" i="4"/>
  <c r="E18" i="4"/>
  <c r="E7" i="4"/>
  <c r="N41" i="4" s="1"/>
  <c r="Q44" i="4"/>
  <c r="M56" i="4"/>
  <c r="M43" i="4"/>
  <c r="U43" i="4" s="1"/>
  <c r="AG6" i="2" s="1"/>
  <c r="E5" i="3"/>
  <c r="E4" i="3"/>
  <c r="D2" i="3"/>
  <c r="B5" i="3"/>
  <c r="B4" i="3"/>
  <c r="A2" i="3"/>
  <c r="Z25" i="4"/>
  <c r="Z26" i="4" s="1"/>
  <c r="Z18" i="4"/>
  <c r="Z19" i="4" s="1"/>
  <c r="AB49" i="4"/>
  <c r="M52" i="4"/>
  <c r="M42" i="4"/>
  <c r="U42" i="4" s="1"/>
  <c r="AG5" i="2" s="1"/>
  <c r="U41" i="4"/>
  <c r="AG4" i="2" s="1"/>
  <c r="Y18" i="4"/>
  <c r="Y22" i="4" s="1"/>
  <c r="Z15" i="4"/>
  <c r="Z12" i="4"/>
  <c r="G77" i="2"/>
  <c r="Z22" i="4" l="1"/>
  <c r="A3" i="3"/>
  <c r="A4" i="3"/>
  <c r="D3" i="3"/>
  <c r="D4" i="3"/>
  <c r="D5" i="3"/>
  <c r="N42" i="6"/>
  <c r="V42" i="6" s="1"/>
  <c r="AH27" i="2" s="1"/>
  <c r="N42" i="7"/>
  <c r="V42" i="7" s="1"/>
  <c r="AM27" i="2" s="1"/>
  <c r="R44" i="4"/>
  <c r="V57" i="4" s="1"/>
  <c r="AH20" i="2" s="1"/>
  <c r="O22" i="6"/>
  <c r="P26" i="6" s="1"/>
  <c r="G18" i="4"/>
  <c r="G18" i="8"/>
  <c r="G18" i="6"/>
  <c r="G18" i="7"/>
  <c r="G18" i="5"/>
  <c r="N42" i="8"/>
  <c r="V42" i="8" s="1"/>
  <c r="AH49" i="2" s="1"/>
  <c r="R42" i="8"/>
  <c r="V55" i="8" s="1"/>
  <c r="AH62" i="2" s="1"/>
  <c r="R43" i="6"/>
  <c r="V56" i="6" s="1"/>
  <c r="AH41" i="2" s="1"/>
  <c r="O42" i="7"/>
  <c r="W42" i="7" s="1"/>
  <c r="AN27" i="2" s="1"/>
  <c r="R44" i="8"/>
  <c r="V57" i="8" s="1"/>
  <c r="AH64" i="2" s="1"/>
  <c r="P26" i="8"/>
  <c r="R43" i="8"/>
  <c r="V56" i="8" s="1"/>
  <c r="AH63" i="2" s="1"/>
  <c r="AB50" i="8"/>
  <c r="M30" i="8"/>
  <c r="M31" i="8" s="1"/>
  <c r="AB11" i="8"/>
  <c r="AB12" i="8" s="1"/>
  <c r="S44" i="8"/>
  <c r="W57" i="8" s="1"/>
  <c r="AI64" i="2" s="1"/>
  <c r="S42" i="8"/>
  <c r="W55" i="8" s="1"/>
  <c r="AI62" i="2" s="1"/>
  <c r="S43" i="8"/>
  <c r="W56" i="8" s="1"/>
  <c r="AI63" i="2" s="1"/>
  <c r="S41" i="8"/>
  <c r="W54" i="8" s="1"/>
  <c r="AI61" i="2" s="1"/>
  <c r="AA54" i="2" s="1"/>
  <c r="O44" i="8"/>
  <c r="W44" i="8" s="1"/>
  <c r="AI51" i="2" s="1"/>
  <c r="X54" i="2" s="1"/>
  <c r="O42" i="8"/>
  <c r="W42" i="8" s="1"/>
  <c r="AI49" i="2" s="1"/>
  <c r="R41" i="8"/>
  <c r="V54" i="8" s="1"/>
  <c r="AH61" i="2" s="1"/>
  <c r="Y22" i="8"/>
  <c r="Y21" i="8"/>
  <c r="U51" i="8"/>
  <c r="AG58" i="2" s="1"/>
  <c r="U49" i="8"/>
  <c r="AG56" i="2" s="1"/>
  <c r="U47" i="8"/>
  <c r="AG54" i="2" s="1"/>
  <c r="U45" i="8"/>
  <c r="AG52" i="2" s="1"/>
  <c r="U53" i="8"/>
  <c r="AG60" i="2" s="1"/>
  <c r="U52" i="8"/>
  <c r="AG59" i="2" s="1"/>
  <c r="U50" i="8"/>
  <c r="AG57" i="2" s="1"/>
  <c r="U48" i="8"/>
  <c r="AG55" i="2" s="1"/>
  <c r="U46" i="8"/>
  <c r="AG53" i="2" s="1"/>
  <c r="N22" i="8"/>
  <c r="N44" i="8"/>
  <c r="V44" i="8" s="1"/>
  <c r="P26" i="7"/>
  <c r="R42" i="7"/>
  <c r="V55" i="7" s="1"/>
  <c r="AM40" i="2" s="1"/>
  <c r="R43" i="7"/>
  <c r="V56" i="7" s="1"/>
  <c r="AM41" i="2" s="1"/>
  <c r="AB50" i="7"/>
  <c r="M30" i="7"/>
  <c r="M31" i="7" s="1"/>
  <c r="AB11" i="7"/>
  <c r="AB12" i="7" s="1"/>
  <c r="S44" i="7"/>
  <c r="W57" i="7" s="1"/>
  <c r="AN42" i="2" s="1"/>
  <c r="S42" i="7"/>
  <c r="W55" i="7" s="1"/>
  <c r="AN40" i="2" s="1"/>
  <c r="S43" i="7"/>
  <c r="W56" i="7" s="1"/>
  <c r="AN41" i="2" s="1"/>
  <c r="S41" i="7"/>
  <c r="W54" i="7" s="1"/>
  <c r="AN39" i="2" s="1"/>
  <c r="AA51" i="2" s="1"/>
  <c r="O44" i="7"/>
  <c r="W44" i="7" s="1"/>
  <c r="AN29" i="2" s="1"/>
  <c r="X51" i="2" s="1"/>
  <c r="R41" i="7"/>
  <c r="V54" i="7" s="1"/>
  <c r="AM39" i="2" s="1"/>
  <c r="Y22" i="7"/>
  <c r="Y21" i="7"/>
  <c r="U51" i="7"/>
  <c r="AL36" i="2" s="1"/>
  <c r="U49" i="7"/>
  <c r="AL34" i="2" s="1"/>
  <c r="U47" i="7"/>
  <c r="AL32" i="2" s="1"/>
  <c r="U45" i="7"/>
  <c r="AL30" i="2" s="1"/>
  <c r="U53" i="7"/>
  <c r="AL38" i="2" s="1"/>
  <c r="U52" i="7"/>
  <c r="AL37" i="2" s="1"/>
  <c r="U50" i="7"/>
  <c r="AL35" i="2" s="1"/>
  <c r="U48" i="7"/>
  <c r="AL33" i="2" s="1"/>
  <c r="U46" i="7"/>
  <c r="AL31" i="2" s="1"/>
  <c r="N22" i="7"/>
  <c r="N44" i="7"/>
  <c r="V44" i="7" s="1"/>
  <c r="R44" i="7"/>
  <c r="V57" i="7" s="1"/>
  <c r="AM42" i="2" s="1"/>
  <c r="R42" i="6"/>
  <c r="V55" i="6" s="1"/>
  <c r="AH40" i="2" s="1"/>
  <c r="R41" i="6"/>
  <c r="V54" i="6" s="1"/>
  <c r="AH39" i="2" s="1"/>
  <c r="AB50" i="6"/>
  <c r="M30" i="6"/>
  <c r="M31" i="6" s="1"/>
  <c r="AB11" i="6"/>
  <c r="AB12" i="6" s="1"/>
  <c r="S44" i="6"/>
  <c r="W57" i="6" s="1"/>
  <c r="AI42" i="2" s="1"/>
  <c r="S42" i="6"/>
  <c r="W55" i="6" s="1"/>
  <c r="AI40" i="2" s="1"/>
  <c r="S43" i="6"/>
  <c r="W56" i="6" s="1"/>
  <c r="AI41" i="2" s="1"/>
  <c r="S41" i="6"/>
  <c r="W54" i="6" s="1"/>
  <c r="AI39" i="2" s="1"/>
  <c r="AA48" i="2" s="1"/>
  <c r="O44" i="6"/>
  <c r="W44" i="6" s="1"/>
  <c r="AI29" i="2" s="1"/>
  <c r="X48" i="2" s="1"/>
  <c r="O42" i="6"/>
  <c r="W42" i="6" s="1"/>
  <c r="AI27" i="2" s="1"/>
  <c r="R44" i="6"/>
  <c r="V57" i="6" s="1"/>
  <c r="AH42" i="2" s="1"/>
  <c r="Y22" i="6"/>
  <c r="Y21" i="6"/>
  <c r="U51" i="6"/>
  <c r="AG36" i="2" s="1"/>
  <c r="U49" i="6"/>
  <c r="AG34" i="2" s="1"/>
  <c r="U47" i="6"/>
  <c r="AG32" i="2" s="1"/>
  <c r="U45" i="6"/>
  <c r="AG30" i="2" s="1"/>
  <c r="U53" i="6"/>
  <c r="AG38" i="2" s="1"/>
  <c r="U52" i="6"/>
  <c r="AG37" i="2" s="1"/>
  <c r="U50" i="6"/>
  <c r="AG35" i="2" s="1"/>
  <c r="U48" i="6"/>
  <c r="AG33" i="2" s="1"/>
  <c r="U46" i="6"/>
  <c r="AG31" i="2" s="1"/>
  <c r="N44" i="6"/>
  <c r="V44" i="6" s="1"/>
  <c r="N42" i="5"/>
  <c r="V42" i="5" s="1"/>
  <c r="AM5" i="2" s="1"/>
  <c r="O44" i="5"/>
  <c r="W44" i="5" s="1"/>
  <c r="AN7" i="2" s="1"/>
  <c r="X45" i="2" s="1"/>
  <c r="O42" i="5"/>
  <c r="W42" i="5" s="1"/>
  <c r="AN5" i="2" s="1"/>
  <c r="N44" i="5"/>
  <c r="V44" i="5" s="1"/>
  <c r="R43" i="5"/>
  <c r="V56" i="5" s="1"/>
  <c r="AM19" i="2" s="1"/>
  <c r="R41" i="5"/>
  <c r="V54" i="5" s="1"/>
  <c r="AM17" i="2" s="1"/>
  <c r="R42" i="5"/>
  <c r="V55" i="5" s="1"/>
  <c r="AM18" i="2" s="1"/>
  <c r="P26" i="5"/>
  <c r="N22" i="5"/>
  <c r="N49" i="5" s="1"/>
  <c r="V45" i="5" s="1"/>
  <c r="AM8" i="2" s="1"/>
  <c r="Y22" i="5"/>
  <c r="Y21" i="5"/>
  <c r="U51" i="5"/>
  <c r="AL14" i="2" s="1"/>
  <c r="U49" i="5"/>
  <c r="AL12" i="2" s="1"/>
  <c r="U47" i="5"/>
  <c r="AL10" i="2" s="1"/>
  <c r="U45" i="5"/>
  <c r="AL8" i="2" s="1"/>
  <c r="U53" i="5"/>
  <c r="AL16" i="2" s="1"/>
  <c r="U52" i="5"/>
  <c r="AL15" i="2" s="1"/>
  <c r="U50" i="5"/>
  <c r="AL13" i="2" s="1"/>
  <c r="U48" i="5"/>
  <c r="AL11" i="2" s="1"/>
  <c r="U46" i="5"/>
  <c r="AL9" i="2" s="1"/>
  <c r="S44" i="5"/>
  <c r="W57" i="5" s="1"/>
  <c r="AN20" i="2" s="1"/>
  <c r="S42" i="5"/>
  <c r="W55" i="5" s="1"/>
  <c r="AN18" i="2" s="1"/>
  <c r="S43" i="5"/>
  <c r="W56" i="5" s="1"/>
  <c r="AN19" i="2" s="1"/>
  <c r="S41" i="5"/>
  <c r="W54" i="5" s="1"/>
  <c r="AN17" i="2" s="1"/>
  <c r="AA45" i="2" s="1"/>
  <c r="R44" i="5"/>
  <c r="V57" i="5" s="1"/>
  <c r="AM20" i="2" s="1"/>
  <c r="AB50" i="5"/>
  <c r="M30" i="5"/>
  <c r="M31" i="5" s="1"/>
  <c r="AB11" i="5"/>
  <c r="AB12" i="5" s="1"/>
  <c r="Z29" i="4"/>
  <c r="R41" i="4"/>
  <c r="V54" i="4" s="1"/>
  <c r="AH17" i="2" s="1"/>
  <c r="Q15" i="4"/>
  <c r="O22" i="4" s="1"/>
  <c r="M22" i="4"/>
  <c r="V41" i="4"/>
  <c r="AH4" i="2" s="1"/>
  <c r="S41" i="4"/>
  <c r="W54" i="4" s="1"/>
  <c r="AI17" i="2" s="1"/>
  <c r="AA42" i="2" s="1"/>
  <c r="S44" i="4"/>
  <c r="W57" i="4" s="1"/>
  <c r="AI20" i="2" s="1"/>
  <c r="Y12" i="4"/>
  <c r="Y13" i="4" s="1"/>
  <c r="Z20" i="4"/>
  <c r="Z21" i="4" s="1"/>
  <c r="AF4" i="2"/>
  <c r="M50" i="4"/>
  <c r="M51" i="4"/>
  <c r="M54" i="4"/>
  <c r="M57" i="4"/>
  <c r="AF5" i="2"/>
  <c r="AF6" i="2"/>
  <c r="M53" i="4"/>
  <c r="M55" i="4"/>
  <c r="AB50" i="4"/>
  <c r="M30" i="4"/>
  <c r="M31" i="4" s="1"/>
  <c r="AB11" i="4"/>
  <c r="AB12" i="4" s="1"/>
  <c r="M44" i="4"/>
  <c r="U44" i="4" s="1"/>
  <c r="AG7" i="2" s="1"/>
  <c r="A5" i="3"/>
  <c r="Q42" i="4"/>
  <c r="R42" i="4" s="1"/>
  <c r="V55" i="4" s="1"/>
  <c r="AH18" i="2" s="1"/>
  <c r="Q43" i="4"/>
  <c r="R43" i="4" s="1"/>
  <c r="V56" i="4" s="1"/>
  <c r="AH19" i="2" s="1"/>
  <c r="N43" i="4"/>
  <c r="Z13" i="4"/>
  <c r="O41" i="4"/>
  <c r="Z27" i="4"/>
  <c r="Z28" i="4" s="1"/>
  <c r="Y21" i="4"/>
  <c r="N42" i="4"/>
  <c r="O43" i="4"/>
  <c r="O42" i="4"/>
  <c r="N22" i="6" l="1"/>
  <c r="N55" i="6" s="1"/>
  <c r="V51" i="6" s="1"/>
  <c r="AH36" i="2" s="1"/>
  <c r="AF48" i="2"/>
  <c r="AK26" i="2"/>
  <c r="AF26" i="2"/>
  <c r="AK4" i="2"/>
  <c r="AK5" i="2"/>
  <c r="AF49" i="2"/>
  <c r="AK27" i="2"/>
  <c r="AF27" i="2"/>
  <c r="AK6" i="2"/>
  <c r="AK28" i="2"/>
  <c r="AF28" i="2"/>
  <c r="AF50" i="2"/>
  <c r="AC12" i="8"/>
  <c r="AH51" i="2"/>
  <c r="Q31" i="8"/>
  <c r="Z64" i="2"/>
  <c r="AC12" i="7"/>
  <c r="AM29" i="2"/>
  <c r="AC27" i="8"/>
  <c r="AD27" i="8" s="1"/>
  <c r="AB34" i="8" s="1"/>
  <c r="AB35" i="8" s="1"/>
  <c r="O49" i="8"/>
  <c r="W45" i="8" s="1"/>
  <c r="AI52" i="2" s="1"/>
  <c r="Y54" i="2" s="1"/>
  <c r="O50" i="8"/>
  <c r="W46" i="8" s="1"/>
  <c r="AI53" i="2" s="1"/>
  <c r="O52" i="8"/>
  <c r="W48" i="8" s="1"/>
  <c r="AI55" i="2" s="1"/>
  <c r="O53" i="8"/>
  <c r="W49" i="8" s="1"/>
  <c r="AI56" i="2" s="1"/>
  <c r="O54" i="8"/>
  <c r="W50" i="8" s="1"/>
  <c r="AI57" i="2" s="1"/>
  <c r="O55" i="8"/>
  <c r="W51" i="8" s="1"/>
  <c r="AI58" i="2" s="1"/>
  <c r="O56" i="8"/>
  <c r="W52" i="8" s="1"/>
  <c r="AI59" i="2" s="1"/>
  <c r="O57" i="8"/>
  <c r="W53" i="8" s="1"/>
  <c r="AI60" i="2" s="1"/>
  <c r="Z54" i="2" s="1"/>
  <c r="P30" i="8"/>
  <c r="P31" i="8" s="1"/>
  <c r="Y25" i="8"/>
  <c r="Y19" i="8"/>
  <c r="Y20" i="8" s="1"/>
  <c r="AB13" i="8"/>
  <c r="AB14" i="8" s="1"/>
  <c r="AB51" i="8"/>
  <c r="Y26" i="8" s="1"/>
  <c r="Y27" i="8" s="1"/>
  <c r="N52" i="8"/>
  <c r="V48" i="8" s="1"/>
  <c r="AH55" i="2" s="1"/>
  <c r="N54" i="8"/>
  <c r="V50" i="8" s="1"/>
  <c r="AH57" i="2" s="1"/>
  <c r="N56" i="8"/>
  <c r="V52" i="8" s="1"/>
  <c r="AH59" i="2" s="1"/>
  <c r="N49" i="8"/>
  <c r="V45" i="8" s="1"/>
  <c r="AH52" i="2" s="1"/>
  <c r="O51" i="8"/>
  <c r="W47" i="8" s="1"/>
  <c r="AI54" i="2" s="1"/>
  <c r="U57" i="8"/>
  <c r="AG64" i="2" s="1"/>
  <c r="U56" i="8"/>
  <c r="AG63" i="2" s="1"/>
  <c r="U55" i="8"/>
  <c r="AG62" i="2" s="1"/>
  <c r="U54" i="8"/>
  <c r="AG61" i="2" s="1"/>
  <c r="O26" i="8"/>
  <c r="N50" i="8"/>
  <c r="V46" i="8" s="1"/>
  <c r="AH53" i="2" s="1"/>
  <c r="N53" i="8"/>
  <c r="V49" i="8" s="1"/>
  <c r="AH56" i="2" s="1"/>
  <c r="N55" i="8"/>
  <c r="V51" i="8" s="1"/>
  <c r="AH58" i="2" s="1"/>
  <c r="N57" i="8"/>
  <c r="V53" i="8" s="1"/>
  <c r="N51" i="8"/>
  <c r="V47" i="8" s="1"/>
  <c r="AH54" i="2" s="1"/>
  <c r="O51" i="7"/>
  <c r="W47" i="7" s="1"/>
  <c r="AN32" i="2" s="1"/>
  <c r="Q31" i="7"/>
  <c r="Z63" i="2"/>
  <c r="U57" i="7"/>
  <c r="AL42" i="2" s="1"/>
  <c r="U56" i="7"/>
  <c r="AL41" i="2" s="1"/>
  <c r="U55" i="7"/>
  <c r="AL40" i="2" s="1"/>
  <c r="U54" i="7"/>
  <c r="AL39" i="2" s="1"/>
  <c r="P30" i="7"/>
  <c r="P31" i="7" s="1"/>
  <c r="Y25" i="7"/>
  <c r="Y19" i="7"/>
  <c r="Y20" i="7" s="1"/>
  <c r="AB13" i="7"/>
  <c r="AB14" i="7" s="1"/>
  <c r="AB51" i="7"/>
  <c r="Y26" i="7" s="1"/>
  <c r="Y27" i="7" s="1"/>
  <c r="N52" i="7"/>
  <c r="V48" i="7" s="1"/>
  <c r="AM33" i="2" s="1"/>
  <c r="N54" i="7"/>
  <c r="V50" i="7" s="1"/>
  <c r="AM35" i="2" s="1"/>
  <c r="N56" i="7"/>
  <c r="V52" i="7" s="1"/>
  <c r="AM37" i="2" s="1"/>
  <c r="N49" i="7"/>
  <c r="V45" i="7" s="1"/>
  <c r="AM30" i="2" s="1"/>
  <c r="AC27" i="7"/>
  <c r="AD27" i="7" s="1"/>
  <c r="AB34" i="7" s="1"/>
  <c r="AB35" i="7" s="1"/>
  <c r="O49" i="7"/>
  <c r="W45" i="7" s="1"/>
  <c r="AN30" i="2" s="1"/>
  <c r="Y51" i="2" s="1"/>
  <c r="O50" i="7"/>
  <c r="W46" i="7" s="1"/>
  <c r="AN31" i="2" s="1"/>
  <c r="O52" i="7"/>
  <c r="W48" i="7" s="1"/>
  <c r="AN33" i="2" s="1"/>
  <c r="O53" i="7"/>
  <c r="W49" i="7" s="1"/>
  <c r="AN34" i="2" s="1"/>
  <c r="O54" i="7"/>
  <c r="W50" i="7" s="1"/>
  <c r="AN35" i="2" s="1"/>
  <c r="O55" i="7"/>
  <c r="W51" i="7" s="1"/>
  <c r="AN36" i="2" s="1"/>
  <c r="O56" i="7"/>
  <c r="W52" i="7" s="1"/>
  <c r="AN37" i="2" s="1"/>
  <c r="O57" i="7"/>
  <c r="W53" i="7" s="1"/>
  <c r="AN38" i="2" s="1"/>
  <c r="Z51" i="2" s="1"/>
  <c r="O26" i="7"/>
  <c r="N50" i="7"/>
  <c r="V46" i="7" s="1"/>
  <c r="AM31" i="2" s="1"/>
  <c r="N53" i="7"/>
  <c r="V49" i="7" s="1"/>
  <c r="AM34" i="2" s="1"/>
  <c r="N55" i="7"/>
  <c r="V51" i="7" s="1"/>
  <c r="AM36" i="2" s="1"/>
  <c r="N57" i="7"/>
  <c r="V53" i="7" s="1"/>
  <c r="N51" i="7"/>
  <c r="V47" i="7" s="1"/>
  <c r="AM32" i="2" s="1"/>
  <c r="AC12" i="6"/>
  <c r="AH29" i="2"/>
  <c r="Q31" i="6"/>
  <c r="Z62" i="2"/>
  <c r="P30" i="6"/>
  <c r="P31" i="6" s="1"/>
  <c r="Y25" i="6"/>
  <c r="Y19" i="6"/>
  <c r="Y20" i="6" s="1"/>
  <c r="AB13" i="6"/>
  <c r="AB14" i="6" s="1"/>
  <c r="AB51" i="6"/>
  <c r="Y26" i="6" s="1"/>
  <c r="Y27" i="6" s="1"/>
  <c r="U57" i="6"/>
  <c r="AG42" i="2" s="1"/>
  <c r="U56" i="6"/>
  <c r="AG41" i="2" s="1"/>
  <c r="U55" i="6"/>
  <c r="AG40" i="2" s="1"/>
  <c r="U54" i="6"/>
  <c r="AG39" i="2" s="1"/>
  <c r="N54" i="5"/>
  <c r="V50" i="5" s="1"/>
  <c r="AM13" i="2" s="1"/>
  <c r="AC12" i="5"/>
  <c r="AM7" i="2"/>
  <c r="O54" i="5"/>
  <c r="W50" i="5" s="1"/>
  <c r="AN13" i="2" s="1"/>
  <c r="Q31" i="5"/>
  <c r="Z61" i="2"/>
  <c r="N52" i="5"/>
  <c r="V48" i="5" s="1"/>
  <c r="AM11" i="2" s="1"/>
  <c r="N56" i="5"/>
  <c r="V52" i="5" s="1"/>
  <c r="AM15" i="2" s="1"/>
  <c r="O52" i="5"/>
  <c r="W48" i="5" s="1"/>
  <c r="AN11" i="2" s="1"/>
  <c r="U57" i="5"/>
  <c r="AL20" i="2" s="1"/>
  <c r="U56" i="5"/>
  <c r="AL19" i="2" s="1"/>
  <c r="U55" i="5"/>
  <c r="AL18" i="2" s="1"/>
  <c r="U54" i="5"/>
  <c r="AL17" i="2" s="1"/>
  <c r="O26" i="5"/>
  <c r="N50" i="5"/>
  <c r="V46" i="5" s="1"/>
  <c r="AM9" i="2" s="1"/>
  <c r="N53" i="5"/>
  <c r="V49" i="5" s="1"/>
  <c r="AM12" i="2" s="1"/>
  <c r="N55" i="5"/>
  <c r="V51" i="5" s="1"/>
  <c r="AM14" i="2" s="1"/>
  <c r="N57" i="5"/>
  <c r="V53" i="5" s="1"/>
  <c r="N51" i="5"/>
  <c r="V47" i="5" s="1"/>
  <c r="AM10" i="2" s="1"/>
  <c r="O56" i="5"/>
  <c r="W52" i="5" s="1"/>
  <c r="AN15" i="2" s="1"/>
  <c r="O53" i="5"/>
  <c r="W49" i="5" s="1"/>
  <c r="AN12" i="2" s="1"/>
  <c r="P30" i="5"/>
  <c r="P31" i="5" s="1"/>
  <c r="Y25" i="5"/>
  <c r="Y19" i="5"/>
  <c r="Y20" i="5" s="1"/>
  <c r="AB13" i="5"/>
  <c r="AB14" i="5" s="1"/>
  <c r="AB51" i="5"/>
  <c r="Y26" i="5" s="1"/>
  <c r="Y27" i="5" s="1"/>
  <c r="AC27" i="5"/>
  <c r="AD27" i="5" s="1"/>
  <c r="AB34" i="5" s="1"/>
  <c r="AB35" i="5" s="1"/>
  <c r="O51" i="5"/>
  <c r="W47" i="5" s="1"/>
  <c r="AN10" i="2" s="1"/>
  <c r="O57" i="5"/>
  <c r="W53" i="5" s="1"/>
  <c r="AN16" i="2" s="1"/>
  <c r="Z45" i="2" s="1"/>
  <c r="O49" i="5"/>
  <c r="W45" i="5" s="1"/>
  <c r="AN8" i="2" s="1"/>
  <c r="Y45" i="2" s="1"/>
  <c r="O50" i="5"/>
  <c r="W46" i="5" s="1"/>
  <c r="AN9" i="2" s="1"/>
  <c r="O55" i="5"/>
  <c r="W51" i="5" s="1"/>
  <c r="AN14" i="2" s="1"/>
  <c r="N22" i="4"/>
  <c r="P26" i="4"/>
  <c r="Z60" i="2" s="1"/>
  <c r="W41" i="4"/>
  <c r="AI4" i="2" s="1"/>
  <c r="S42" i="4"/>
  <c r="W55" i="4" s="1"/>
  <c r="AI18" i="2" s="1"/>
  <c r="S43" i="4"/>
  <c r="W56" i="4" s="1"/>
  <c r="AI19" i="2" s="1"/>
  <c r="W42" i="4"/>
  <c r="AI5" i="2" s="1"/>
  <c r="V42" i="4"/>
  <c r="AH5" i="2" s="1"/>
  <c r="Y25" i="4"/>
  <c r="AB51" i="4"/>
  <c r="Y26" i="4" s="1"/>
  <c r="W43" i="4"/>
  <c r="AI6" i="2" s="1"/>
  <c r="V43" i="4"/>
  <c r="AH6" i="2" s="1"/>
  <c r="P30" i="4"/>
  <c r="P31" i="4" s="1"/>
  <c r="U53" i="4"/>
  <c r="AG16" i="2" s="1"/>
  <c r="AF7" i="2"/>
  <c r="U51" i="4"/>
  <c r="AG14" i="2" s="1"/>
  <c r="N44" i="4"/>
  <c r="U46" i="4"/>
  <c r="AG9" i="2" s="1"/>
  <c r="U47" i="4"/>
  <c r="AG10" i="2" s="1"/>
  <c r="U49" i="4"/>
  <c r="AG12" i="2" s="1"/>
  <c r="Y19" i="4"/>
  <c r="Y20" i="4" s="1"/>
  <c r="O44" i="4"/>
  <c r="U48" i="4"/>
  <c r="AG11" i="2" s="1"/>
  <c r="U50" i="4"/>
  <c r="AG13" i="2" s="1"/>
  <c r="U52" i="4"/>
  <c r="AG15" i="2" s="1"/>
  <c r="U45" i="4"/>
  <c r="AG8" i="2" s="1"/>
  <c r="AB13" i="4"/>
  <c r="AB14" i="4" s="1"/>
  <c r="Z14" i="4"/>
  <c r="Z11" i="5" s="1"/>
  <c r="N56" i="6" l="1"/>
  <c r="V52" i="6" s="1"/>
  <c r="AH37" i="2" s="1"/>
  <c r="O55" i="6"/>
  <c r="W51" i="6" s="1"/>
  <c r="AI36" i="2" s="1"/>
  <c r="O26" i="6"/>
  <c r="Y62" i="2" s="1"/>
  <c r="O50" i="6"/>
  <c r="W46" i="6" s="1"/>
  <c r="AI31" i="2" s="1"/>
  <c r="O51" i="6"/>
  <c r="W47" i="6" s="1"/>
  <c r="AI32" i="2" s="1"/>
  <c r="N52" i="6"/>
  <c r="V48" i="6" s="1"/>
  <c r="AH33" i="2" s="1"/>
  <c r="O57" i="6"/>
  <c r="W53" i="6" s="1"/>
  <c r="AI38" i="2" s="1"/>
  <c r="Z48" i="2" s="1"/>
  <c r="O53" i="6"/>
  <c r="W49" i="6" s="1"/>
  <c r="AI34" i="2" s="1"/>
  <c r="AC27" i="6"/>
  <c r="AD27" i="6" s="1"/>
  <c r="AB34" i="6" s="1"/>
  <c r="AB35" i="6" s="1"/>
  <c r="N53" i="6"/>
  <c r="V49" i="6" s="1"/>
  <c r="AH34" i="2" s="1"/>
  <c r="O26" i="4"/>
  <c r="Y60" i="2" s="1"/>
  <c r="N51" i="6"/>
  <c r="V47" i="6" s="1"/>
  <c r="AH32" i="2" s="1"/>
  <c r="N49" i="6"/>
  <c r="V45" i="6" s="1"/>
  <c r="AH30" i="2" s="1"/>
  <c r="N54" i="6"/>
  <c r="V50" i="6" s="1"/>
  <c r="AH35" i="2" s="1"/>
  <c r="O56" i="6"/>
  <c r="W52" i="6" s="1"/>
  <c r="AI37" i="2" s="1"/>
  <c r="O54" i="6"/>
  <c r="W50" i="6" s="1"/>
  <c r="AI35" i="2" s="1"/>
  <c r="O52" i="6"/>
  <c r="W48" i="6" s="1"/>
  <c r="AI33" i="2" s="1"/>
  <c r="O49" i="6"/>
  <c r="W45" i="6" s="1"/>
  <c r="AI30" i="2" s="1"/>
  <c r="Y48" i="2" s="1"/>
  <c r="N50" i="6"/>
  <c r="V46" i="6" s="1"/>
  <c r="AH31" i="2" s="1"/>
  <c r="N57" i="6"/>
  <c r="V53" i="6" s="1"/>
  <c r="AC14" i="6" s="1"/>
  <c r="AK7" i="2"/>
  <c r="AF51" i="2"/>
  <c r="AK29" i="2"/>
  <c r="AF29" i="2"/>
  <c r="AC14" i="8"/>
  <c r="AH60" i="2"/>
  <c r="N31" i="8"/>
  <c r="Y64" i="2"/>
  <c r="Y29" i="8"/>
  <c r="Y28" i="8"/>
  <c r="AE27" i="8"/>
  <c r="AC35" i="8" s="1"/>
  <c r="AC14" i="7"/>
  <c r="AM38" i="2"/>
  <c r="N31" i="7"/>
  <c r="Y63" i="2"/>
  <c r="AE27" i="7"/>
  <c r="AC35" i="7" s="1"/>
  <c r="Y29" i="7"/>
  <c r="Y28" i="7"/>
  <c r="N31" i="6"/>
  <c r="Y29" i="6"/>
  <c r="Y28" i="6"/>
  <c r="AC14" i="5"/>
  <c r="AM16" i="2"/>
  <c r="N31" i="5"/>
  <c r="Y61" i="2"/>
  <c r="Z25" i="5"/>
  <c r="Z18" i="5"/>
  <c r="Z15" i="5"/>
  <c r="Z12" i="5"/>
  <c r="Z13" i="5" s="1"/>
  <c r="Z14" i="5" s="1"/>
  <c r="AE27" i="5"/>
  <c r="AC35" i="5" s="1"/>
  <c r="Y29" i="5"/>
  <c r="Y28" i="5"/>
  <c r="AF12" i="2"/>
  <c r="W44" i="4"/>
  <c r="AI7" i="2" s="1"/>
  <c r="X42" i="2" s="1"/>
  <c r="V44" i="4"/>
  <c r="AH7" i="2" s="1"/>
  <c r="U56" i="4"/>
  <c r="U54" i="4"/>
  <c r="AG17" i="2" s="1"/>
  <c r="AF17" i="2" s="1"/>
  <c r="U55" i="4"/>
  <c r="U57" i="4"/>
  <c r="AF16" i="2"/>
  <c r="AF9" i="2"/>
  <c r="AF10" i="2"/>
  <c r="AF14" i="2"/>
  <c r="AF8" i="2"/>
  <c r="AF15" i="2"/>
  <c r="AF11" i="2"/>
  <c r="AF13" i="2"/>
  <c r="AE27" i="6" l="1"/>
  <c r="AC35" i="6" s="1"/>
  <c r="AH38" i="2"/>
  <c r="AK8" i="2"/>
  <c r="AK30" i="2"/>
  <c r="AF30" i="2"/>
  <c r="AF52" i="2"/>
  <c r="AK10" i="2"/>
  <c r="AK32" i="2"/>
  <c r="AF32" i="2"/>
  <c r="AF54" i="2"/>
  <c r="AK13" i="2"/>
  <c r="AF57" i="2"/>
  <c r="AK35" i="2"/>
  <c r="AF35" i="2"/>
  <c r="AK15" i="2"/>
  <c r="AF59" i="2"/>
  <c r="AK37" i="2"/>
  <c r="AF37" i="2"/>
  <c r="AK14" i="2"/>
  <c r="AK36" i="2"/>
  <c r="AF36" i="2"/>
  <c r="AF58" i="2"/>
  <c r="AK9" i="2"/>
  <c r="AF53" i="2"/>
  <c r="AK31" i="2"/>
  <c r="AF31" i="2"/>
  <c r="AK17" i="2"/>
  <c r="AF61" i="2"/>
  <c r="AK39" i="2"/>
  <c r="AF39" i="2"/>
  <c r="AK12" i="2"/>
  <c r="AK34" i="2"/>
  <c r="AF34" i="2"/>
  <c r="AF56" i="2"/>
  <c r="AK11" i="2"/>
  <c r="AF55" i="2"/>
  <c r="AK33" i="2"/>
  <c r="AF33" i="2"/>
  <c r="AK16" i="2"/>
  <c r="AK38" i="2"/>
  <c r="AF38" i="2"/>
  <c r="AF60" i="2"/>
  <c r="Z22" i="5"/>
  <c r="Z19" i="5"/>
  <c r="Z20" i="5" s="1"/>
  <c r="Z21" i="5" s="1"/>
  <c r="Z29" i="5"/>
  <c r="Z26" i="5"/>
  <c r="Z27" i="5" s="1"/>
  <c r="Z28" i="5" s="1"/>
  <c r="AG18" i="2"/>
  <c r="AF18" i="2" s="1"/>
  <c r="AG19" i="2"/>
  <c r="AF19" i="2" s="1"/>
  <c r="AG20" i="2"/>
  <c r="AF20" i="2" s="1"/>
  <c r="AC12" i="4"/>
  <c r="AC27" i="4"/>
  <c r="AE27" i="4" s="1"/>
  <c r="AC35" i="4" s="1"/>
  <c r="AK19" i="2" l="1"/>
  <c r="AF63" i="2"/>
  <c r="AK41" i="2"/>
  <c r="AF41" i="2"/>
  <c r="AK20" i="2"/>
  <c r="AK42" i="2"/>
  <c r="AF42" i="2"/>
  <c r="AF64" i="2"/>
  <c r="AK18" i="2"/>
  <c r="AK40" i="2"/>
  <c r="AF40" i="2"/>
  <c r="AF62" i="2"/>
  <c r="Z11" i="6"/>
  <c r="Y29" i="4"/>
  <c r="Y28" i="4"/>
  <c r="Y27" i="4"/>
  <c r="Z25" i="6" l="1"/>
  <c r="Z15" i="6"/>
  <c r="Z12" i="6"/>
  <c r="Z13" i="6" s="1"/>
  <c r="Z14" i="6" s="1"/>
  <c r="Z18" i="6"/>
  <c r="Z19" i="6" l="1"/>
  <c r="Z20" i="6" s="1"/>
  <c r="Z21" i="6" s="1"/>
  <c r="Z22" i="6"/>
  <c r="Z26" i="6"/>
  <c r="Z27" i="6" s="1"/>
  <c r="Z28" i="6" s="1"/>
  <c r="Z29" i="6"/>
  <c r="O49" i="4"/>
  <c r="AD27" i="4"/>
  <c r="AB34" i="4" s="1"/>
  <c r="AB35" i="4" s="1"/>
  <c r="N54" i="4"/>
  <c r="O53" i="4"/>
  <c r="O56" i="4"/>
  <c r="O50" i="4"/>
  <c r="O54" i="4"/>
  <c r="N49" i="4"/>
  <c r="N56" i="4"/>
  <c r="N53" i="4"/>
  <c r="O51" i="4"/>
  <c r="O55" i="4"/>
  <c r="O52" i="4"/>
  <c r="O57" i="4"/>
  <c r="N51" i="4"/>
  <c r="N55" i="4"/>
  <c r="N57" i="4"/>
  <c r="N50" i="4"/>
  <c r="N52" i="4"/>
  <c r="Z11" i="7" l="1"/>
  <c r="Z25" i="7" s="1"/>
  <c r="V51" i="4"/>
  <c r="AH14" i="2" s="1"/>
  <c r="W51" i="4"/>
  <c r="AI14" i="2" s="1"/>
  <c r="V49" i="4"/>
  <c r="AH12" i="2" s="1"/>
  <c r="V45" i="4"/>
  <c r="AH8" i="2" s="1"/>
  <c r="W49" i="4"/>
  <c r="AI12" i="2" s="1"/>
  <c r="V48" i="4"/>
  <c r="AH11" i="2" s="1"/>
  <c r="V53" i="4"/>
  <c r="AH16" i="2" s="1"/>
  <c r="V47" i="4"/>
  <c r="AH10" i="2" s="1"/>
  <c r="W48" i="4"/>
  <c r="AI11" i="2" s="1"/>
  <c r="W47" i="4"/>
  <c r="AI10" i="2" s="1"/>
  <c r="V52" i="4"/>
  <c r="AH15" i="2" s="1"/>
  <c r="W50" i="4"/>
  <c r="AI13" i="2" s="1"/>
  <c r="W52" i="4"/>
  <c r="AI15" i="2" s="1"/>
  <c r="V50" i="4"/>
  <c r="AH13" i="2" s="1"/>
  <c r="W45" i="4"/>
  <c r="AI8" i="2" s="1"/>
  <c r="Y42" i="2" s="1"/>
  <c r="V46" i="4"/>
  <c r="AH9" i="2" s="1"/>
  <c r="W53" i="4"/>
  <c r="AI16" i="2" s="1"/>
  <c r="Z42" i="2" s="1"/>
  <c r="W46" i="4"/>
  <c r="AI9" i="2" s="1"/>
  <c r="Q31" i="4"/>
  <c r="N31" i="4"/>
  <c r="AC14" i="4"/>
  <c r="Z18" i="7" l="1"/>
  <c r="Z22" i="7" s="1"/>
  <c r="Z15" i="7"/>
  <c r="Z12" i="7"/>
  <c r="Z13" i="7" s="1"/>
  <c r="Z14" i="7" s="1"/>
  <c r="Z26" i="7"/>
  <c r="Z27" i="7" s="1"/>
  <c r="Z28" i="7" s="1"/>
  <c r="Z29" i="7"/>
  <c r="Z19" i="7" l="1"/>
  <c r="Z20" i="7" s="1"/>
  <c r="Z21" i="7" s="1"/>
  <c r="Z11" i="8" l="1"/>
  <c r="Z25" i="8" s="1"/>
  <c r="Z12" i="8" l="1"/>
  <c r="Z13" i="8" s="1"/>
  <c r="Z14" i="8" s="1"/>
  <c r="Z15" i="8"/>
  <c r="Z18" i="8"/>
  <c r="Z22" i="8" s="1"/>
  <c r="Z29" i="8"/>
  <c r="Z26" i="8"/>
  <c r="Z27" i="8" s="1"/>
  <c r="Z28" i="8" s="1"/>
  <c r="Z19" i="8" l="1"/>
  <c r="Z20" i="8" s="1"/>
  <c r="Z21" i="8" s="1"/>
</calcChain>
</file>

<file path=xl/sharedStrings.xml><?xml version="1.0" encoding="utf-8"?>
<sst xmlns="http://schemas.openxmlformats.org/spreadsheetml/2006/main" count="2675" uniqueCount="495">
  <si>
    <t>R1</t>
  </si>
  <si>
    <t>R2</t>
  </si>
  <si>
    <t>x</t>
  </si>
  <si>
    <t>M(x)</t>
  </si>
  <si>
    <t>T(x)</t>
  </si>
  <si>
    <t>y</t>
  </si>
  <si>
    <t>trave</t>
  </si>
  <si>
    <t>M2</t>
  </si>
  <si>
    <t>T1s</t>
  </si>
  <si>
    <t>T1d</t>
  </si>
  <si>
    <t>T2s</t>
  </si>
  <si>
    <t>T2d</t>
  </si>
  <si>
    <t>M1</t>
  </si>
  <si>
    <t>momento flettente taglio s-1</t>
  </si>
  <si>
    <t>momento flettente e taglio 1-2</t>
  </si>
  <si>
    <t>momento flettente e taglio</t>
  </si>
  <si>
    <t>carico qs</t>
  </si>
  <si>
    <t>carico q12</t>
  </si>
  <si>
    <t>carico qd</t>
  </si>
  <si>
    <t>vettore reazioni vincolari R1</t>
  </si>
  <si>
    <t>vettore reazioni vincolari R2</t>
  </si>
  <si>
    <t>momento massimo in campata</t>
  </si>
  <si>
    <t>camp.</t>
  </si>
  <si>
    <t>1-2</t>
  </si>
  <si>
    <t>Mmax</t>
  </si>
  <si>
    <t>x(i-j)</t>
  </si>
  <si>
    <t>coord. momento appoggi</t>
  </si>
  <si>
    <t>coord. Momenti max campata</t>
  </si>
  <si>
    <t>TRAVI CONTINUE</t>
  </si>
  <si>
    <t>Lunghezze (m)</t>
  </si>
  <si>
    <t>tratto 1-2</t>
  </si>
  <si>
    <t>Moduli di elasticità "E" (un.misura) e momenti di inerzia "I" (_____) per i vari tratti</t>
  </si>
  <si>
    <r>
      <t>L</t>
    </r>
    <r>
      <rPr>
        <vertAlign val="subscript"/>
        <sz val="9"/>
        <color theme="1"/>
        <rFont val="Calibri"/>
        <family val="2"/>
        <scheme val="minor"/>
      </rPr>
      <t>s</t>
    </r>
  </si>
  <si>
    <r>
      <t>L</t>
    </r>
    <r>
      <rPr>
        <vertAlign val="subscript"/>
        <sz val="9"/>
        <color theme="1"/>
        <rFont val="Calibri"/>
        <family val="2"/>
        <scheme val="minor"/>
      </rPr>
      <t>12</t>
    </r>
  </si>
  <si>
    <r>
      <t>L</t>
    </r>
    <r>
      <rPr>
        <vertAlign val="subscript"/>
        <sz val="9"/>
        <color theme="1"/>
        <rFont val="Calibri"/>
        <family val="2"/>
        <scheme val="minor"/>
      </rPr>
      <t>d</t>
    </r>
  </si>
  <si>
    <r>
      <t>q</t>
    </r>
    <r>
      <rPr>
        <vertAlign val="subscript"/>
        <sz val="9"/>
        <color theme="1"/>
        <rFont val="Calibri"/>
        <family val="2"/>
        <scheme val="minor"/>
      </rPr>
      <t>s</t>
    </r>
  </si>
  <si>
    <r>
      <t>q</t>
    </r>
    <r>
      <rPr>
        <vertAlign val="subscript"/>
        <sz val="9"/>
        <color theme="1"/>
        <rFont val="Calibri"/>
        <family val="2"/>
        <scheme val="minor"/>
      </rPr>
      <t>12</t>
    </r>
  </si>
  <si>
    <r>
      <t>q</t>
    </r>
    <r>
      <rPr>
        <vertAlign val="subscript"/>
        <sz val="9"/>
        <color theme="1"/>
        <rFont val="Calibri"/>
        <family val="2"/>
        <scheme val="minor"/>
      </rPr>
      <t>d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</si>
  <si>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</si>
  <si>
    <r>
      <t>I</t>
    </r>
    <r>
      <rPr>
        <vertAlign val="subscript"/>
        <sz val="9"/>
        <color theme="1"/>
        <rFont val="Calibri"/>
        <family val="2"/>
        <scheme val="minor"/>
      </rPr>
      <t>12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</si>
  <si>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12</t>
    </r>
  </si>
  <si>
    <t>Carichi (kN/m)</t>
  </si>
  <si>
    <t>car.1</t>
  </si>
  <si>
    <t>car.2</t>
  </si>
  <si>
    <t>car.3</t>
  </si>
  <si>
    <t>car.4</t>
  </si>
  <si>
    <t>car.5</t>
  </si>
  <si>
    <t>vincolo 1</t>
  </si>
  <si>
    <t>vincolo 2</t>
  </si>
  <si>
    <t>cond. car.1</t>
  </si>
  <si>
    <t>cond. car.2</t>
  </si>
  <si>
    <t>cond. car.3</t>
  </si>
  <si>
    <t>cond. car.4</t>
  </si>
  <si>
    <t>cond. car.5</t>
  </si>
  <si>
    <r>
      <t>x</t>
    </r>
    <r>
      <rPr>
        <vertAlign val="subscript"/>
        <sz val="9"/>
        <color theme="1"/>
        <rFont val="Calibri"/>
        <family val="2"/>
        <scheme val="minor"/>
      </rPr>
      <t>parz.</t>
    </r>
  </si>
  <si>
    <r>
      <t>x</t>
    </r>
    <r>
      <rPr>
        <vertAlign val="subscript"/>
        <sz val="9"/>
        <color theme="1"/>
        <rFont val="Calibri"/>
        <family val="2"/>
        <scheme val="minor"/>
      </rPr>
      <t>prog.</t>
    </r>
  </si>
  <si>
    <t>sbalzo sinistro</t>
  </si>
  <si>
    <t>sbalzo destro</t>
  </si>
  <si>
    <t>Momento flettente e Taglio - cond. car. 1</t>
  </si>
  <si>
    <t>(m)</t>
  </si>
  <si>
    <t>(kN*m)</t>
  </si>
  <si>
    <t>kN</t>
  </si>
  <si>
    <t>Momento flettente e Taglio - cond. car. 2</t>
  </si>
  <si>
    <t>Momento flettente e Taglio - cond. car. 3</t>
  </si>
  <si>
    <t>Momento flettente e Taglio - cond. car. 4</t>
  </si>
  <si>
    <t>Momento flettente e Taglio - cond. car. 5</t>
  </si>
  <si>
    <t>Taglio sugli appoggi</t>
  </si>
  <si>
    <t>(kN)</t>
  </si>
  <si>
    <t>Reazioni vincolari</t>
  </si>
  <si>
    <t>momento flettente e taglio 4-d</t>
  </si>
  <si>
    <r>
      <t>L</t>
    </r>
    <r>
      <rPr>
        <vertAlign val="subscript"/>
        <sz val="9"/>
        <color theme="1"/>
        <rFont val="Calibri"/>
        <family val="2"/>
        <scheme val="minor"/>
      </rPr>
      <t>23</t>
    </r>
  </si>
  <si>
    <r>
      <t>q</t>
    </r>
    <r>
      <rPr>
        <vertAlign val="subscript"/>
        <sz val="9"/>
        <color theme="1"/>
        <rFont val="Calibri"/>
        <family val="2"/>
        <scheme val="minor"/>
      </rPr>
      <t>23</t>
    </r>
  </si>
  <si>
    <t>tratto 2-3</t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</si>
  <si>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</si>
  <si>
    <r>
      <t>I</t>
    </r>
    <r>
      <rPr>
        <vertAlign val="subscript"/>
        <sz val="9"/>
        <color theme="1"/>
        <rFont val="Calibri"/>
        <family val="2"/>
        <scheme val="minor"/>
      </rPr>
      <t>23</t>
    </r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</si>
  <si>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23</t>
    </r>
  </si>
  <si>
    <t>T3s</t>
  </si>
  <si>
    <t>T3d</t>
  </si>
  <si>
    <t>R3</t>
  </si>
  <si>
    <t>a</t>
  </si>
  <si>
    <t>M3</t>
  </si>
  <si>
    <t>carico q23</t>
  </si>
  <si>
    <t>2-3</t>
  </si>
  <si>
    <t>vettore reazioni vincolari R3</t>
  </si>
  <si>
    <t>momento flettente e taglio 2-3</t>
  </si>
  <si>
    <t>vincolo 3</t>
  </si>
  <si>
    <r>
      <t>L</t>
    </r>
    <r>
      <rPr>
        <vertAlign val="subscript"/>
        <sz val="9"/>
        <color theme="1"/>
        <rFont val="Calibri"/>
        <family val="2"/>
        <scheme val="minor"/>
      </rPr>
      <t>34</t>
    </r>
  </si>
  <si>
    <r>
      <t>q</t>
    </r>
    <r>
      <rPr>
        <vertAlign val="subscript"/>
        <sz val="9"/>
        <color theme="1"/>
        <rFont val="Calibri"/>
        <family val="2"/>
        <scheme val="minor"/>
      </rPr>
      <t>34</t>
    </r>
  </si>
  <si>
    <t>tratto 3-4</t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</si>
  <si>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</si>
  <si>
    <r>
      <t>I</t>
    </r>
    <r>
      <rPr>
        <vertAlign val="subscript"/>
        <sz val="9"/>
        <color theme="1"/>
        <rFont val="Calibri"/>
        <family val="2"/>
        <scheme val="minor"/>
      </rPr>
      <t>34</t>
    </r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</si>
  <si>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34</t>
    </r>
  </si>
  <si>
    <t>T4s</t>
  </si>
  <si>
    <t>T4d</t>
  </si>
  <si>
    <t>R4</t>
  </si>
  <si>
    <t>matC</t>
  </si>
  <si>
    <t>matCinv</t>
  </si>
  <si>
    <t>matN</t>
  </si>
  <si>
    <t>b</t>
  </si>
  <si>
    <t>M4</t>
  </si>
  <si>
    <t>matM</t>
  </si>
  <si>
    <t>3-4</t>
  </si>
  <si>
    <t>carico q34</t>
  </si>
  <si>
    <t>vettore reazioni vincolari R4</t>
  </si>
  <si>
    <t>momento flettente e taglio 3-4</t>
  </si>
  <si>
    <t>vincolo 4</t>
  </si>
  <si>
    <r>
      <t>L</t>
    </r>
    <r>
      <rPr>
        <vertAlign val="subscript"/>
        <sz val="9"/>
        <color theme="1"/>
        <rFont val="Calibri"/>
        <family val="2"/>
        <scheme val="minor"/>
      </rPr>
      <t>45</t>
    </r>
  </si>
  <si>
    <r>
      <t>q</t>
    </r>
    <r>
      <rPr>
        <vertAlign val="subscript"/>
        <sz val="9"/>
        <color theme="1"/>
        <rFont val="Calibri"/>
        <family val="2"/>
        <scheme val="minor"/>
      </rPr>
      <t>45</t>
    </r>
  </si>
  <si>
    <t>tratto 4-5</t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</si>
  <si>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</si>
  <si>
    <r>
      <t>I</t>
    </r>
    <r>
      <rPr>
        <vertAlign val="subscript"/>
        <sz val="9"/>
        <color theme="1"/>
        <rFont val="Calibri"/>
        <family val="2"/>
        <scheme val="minor"/>
      </rPr>
      <t>45</t>
    </r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</si>
  <si>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45</t>
    </r>
  </si>
  <si>
    <t>T5s</t>
  </si>
  <si>
    <t>T5d</t>
  </si>
  <si>
    <t>R5</t>
  </si>
  <si>
    <t>c</t>
  </si>
  <si>
    <t>M5</t>
  </si>
  <si>
    <t>4-5</t>
  </si>
  <si>
    <t>vettore reazioni vincolari R5</t>
  </si>
  <si>
    <t>carico q45</t>
  </si>
  <si>
    <t>momento flettente e taglio 4-5</t>
  </si>
  <si>
    <t>momento flettente e taglio 5-d</t>
  </si>
  <si>
    <t>vincolo 5</t>
  </si>
  <si>
    <t>TRAVE AD UNA CAMPATA</t>
  </si>
  <si>
    <t>acciaio</t>
  </si>
  <si>
    <t>h</t>
  </si>
  <si>
    <t>Peso</t>
  </si>
  <si>
    <t>Sezione</t>
  </si>
  <si>
    <t>Momenti di inerzia</t>
  </si>
  <si>
    <t>Moduli di resistenza</t>
  </si>
  <si>
    <t>Raggi di inerzia</t>
  </si>
  <si>
    <t>mm</t>
  </si>
  <si>
    <t>kg/m</t>
  </si>
  <si>
    <t>cm2</t>
  </si>
  <si>
    <t>Jx</t>
  </si>
  <si>
    <t>Jy</t>
  </si>
  <si>
    <t>Wx</t>
  </si>
  <si>
    <t>Wy</t>
  </si>
  <si>
    <r>
      <t>i</t>
    </r>
    <r>
      <rPr>
        <b/>
        <sz val="9"/>
        <color theme="1"/>
        <rFont val="Calibri"/>
        <family val="2"/>
        <scheme val="minor"/>
      </rPr>
      <t>x</t>
    </r>
  </si>
  <si>
    <r>
      <t>i</t>
    </r>
    <r>
      <rPr>
        <b/>
        <sz val="9"/>
        <color theme="1"/>
        <rFont val="Calibri"/>
        <family val="2"/>
        <scheme val="minor"/>
      </rPr>
      <t>y</t>
    </r>
  </si>
  <si>
    <t>cm4</t>
  </si>
  <si>
    <t>cm3</t>
  </si>
  <si>
    <t>cm</t>
  </si>
  <si>
    <t>IPE 80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</si>
  <si>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</si>
  <si>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</si>
  <si>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</si>
  <si>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</si>
  <si>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</si>
  <si>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</si>
  <si>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</si>
  <si>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</si>
  <si>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</si>
  <si>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</si>
  <si>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</si>
  <si>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</si>
  <si>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</si>
  <si>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</si>
  <si>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</si>
  <si>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</si>
  <si>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</si>
  <si>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INP 80</t>
  </si>
  <si>
    <t>INP 100</t>
  </si>
  <si>
    <t>INP 120</t>
  </si>
  <si>
    <t>INP 140</t>
  </si>
  <si>
    <t>INP 160</t>
  </si>
  <si>
    <t>INP 180</t>
  </si>
  <si>
    <t>INP 200</t>
  </si>
  <si>
    <t>INP 220</t>
  </si>
  <si>
    <t>INP 240</t>
  </si>
  <si>
    <t>INP 260</t>
  </si>
  <si>
    <t>INP 280</t>
  </si>
  <si>
    <t>INP 300</t>
  </si>
  <si>
    <t>INP 320</t>
  </si>
  <si>
    <t>INP 340</t>
  </si>
  <si>
    <t>INP 360</t>
  </si>
  <si>
    <t>INP 380</t>
  </si>
  <si>
    <t>INP 400</t>
  </si>
  <si>
    <t>INP 450</t>
  </si>
  <si>
    <t>INP 500</t>
  </si>
  <si>
    <t>INP 550</t>
  </si>
  <si>
    <t>INP 600</t>
  </si>
  <si>
    <t>HEA 100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</si>
  <si>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</si>
  <si>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</si>
  <si>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</si>
  <si>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</si>
  <si>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</si>
  <si>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</si>
  <si>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</si>
  <si>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</si>
  <si>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</si>
  <si>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</si>
  <si>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</si>
  <si>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</si>
  <si>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</si>
  <si>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</si>
  <si>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</si>
  <si>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</si>
  <si>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</si>
  <si>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</si>
  <si>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</si>
  <si>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</si>
  <si>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</si>
  <si>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</si>
  <si>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</si>
  <si>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</si>
  <si>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</si>
  <si>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</si>
  <si>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</si>
  <si>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</si>
  <si>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</si>
  <si>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</si>
  <si>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</si>
  <si>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</si>
  <si>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</si>
  <si>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</si>
  <si>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</si>
  <si>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</si>
  <si>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</si>
  <si>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</si>
  <si>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</si>
  <si>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</si>
  <si>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</si>
  <si>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</si>
  <si>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</si>
  <si>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</si>
  <si>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</si>
  <si>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</si>
  <si>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HEB 1000</t>
  </si>
  <si>
    <t>HEM 100</t>
  </si>
  <si>
    <t>HEM 120</t>
  </si>
  <si>
    <t>HEM 140</t>
  </si>
  <si>
    <t>HEM 160</t>
  </si>
  <si>
    <t>HEM 180</t>
  </si>
  <si>
    <t>HEM 200</t>
  </si>
  <si>
    <t>HEM 220</t>
  </si>
  <si>
    <t>HEM 240</t>
  </si>
  <si>
    <t>HEM 260</t>
  </si>
  <si>
    <t>HEM 280</t>
  </si>
  <si>
    <t>HEM 300</t>
  </si>
  <si>
    <t>HEM 320</t>
  </si>
  <si>
    <t>HEM 340</t>
  </si>
  <si>
    <t>HEM 360</t>
  </si>
  <si>
    <t>HEM 400</t>
  </si>
  <si>
    <t>HEM 450</t>
  </si>
  <si>
    <t>HEM 500</t>
  </si>
  <si>
    <t>HEM 550</t>
  </si>
  <si>
    <t>HEM 600</t>
  </si>
  <si>
    <t>HEM 650</t>
  </si>
  <si>
    <t>HEM 700</t>
  </si>
  <si>
    <t>HEM 800</t>
  </si>
  <si>
    <t>HEM 900</t>
  </si>
  <si>
    <t>HEM 1000</t>
  </si>
  <si>
    <t>UPN 30</t>
  </si>
  <si>
    <t>UPN 40</t>
  </si>
  <si>
    <t>UPN 50</t>
  </si>
  <si>
    <t>UPN 65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</si>
  <si>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</si>
  <si>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</si>
  <si>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</si>
  <si>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</si>
  <si>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</si>
  <si>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</si>
  <si>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</si>
  <si>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</si>
  <si>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</si>
  <si>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</si>
  <si>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</si>
  <si>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</si>
  <si>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T 20</t>
  </si>
  <si>
    <t>T 25</t>
  </si>
  <si>
    <t>T 30</t>
  </si>
  <si>
    <t>T 35</t>
  </si>
  <si>
    <t>T 40</t>
  </si>
  <si>
    <t>T 45</t>
  </si>
  <si>
    <t>T 50</t>
  </si>
  <si>
    <t>T 60</t>
  </si>
  <si>
    <t>T 70</t>
  </si>
  <si>
    <t>T 80</t>
  </si>
  <si>
    <t>T 100</t>
  </si>
  <si>
    <t>s.q. 12x1,5</t>
  </si>
  <si>
    <t>s.q. 15x1,5</t>
  </si>
  <si>
    <t>s.q. 20x1,5</t>
  </si>
  <si>
    <t>s.q. 20x2</t>
  </si>
  <si>
    <t>s.q. 25x1,5</t>
  </si>
  <si>
    <t>s.q. 25x2</t>
  </si>
  <si>
    <t>s.q. 30x1,5</t>
  </si>
  <si>
    <t>s.q. 30x2</t>
  </si>
  <si>
    <t>s.q. 30x3</t>
  </si>
  <si>
    <t>s.q. 35x2</t>
  </si>
  <si>
    <t>s.q. 35x3</t>
  </si>
  <si>
    <t>s.q. 40x2</t>
  </si>
  <si>
    <t>s.q. 40x3</t>
  </si>
  <si>
    <t>s.q. 50x2</t>
  </si>
  <si>
    <t>s.q. 50x3</t>
  </si>
  <si>
    <t>s.q. 60x2</t>
  </si>
  <si>
    <t>s.q. 60x3</t>
  </si>
  <si>
    <t>s.q. 80x2</t>
  </si>
  <si>
    <t>s.q. 80x3</t>
  </si>
  <si>
    <t>s.q. 80x4</t>
  </si>
  <si>
    <t>s.q. 100x3</t>
  </si>
  <si>
    <t>s.q. 100x4</t>
  </si>
  <si>
    <t>s.q. 120x3</t>
  </si>
  <si>
    <t>s.q. 120x4</t>
  </si>
  <si>
    <t>s.q. 120x5</t>
  </si>
  <si>
    <t>s.q. 150x3</t>
  </si>
  <si>
    <t>s.q. 150x4</t>
  </si>
  <si>
    <t>s.q. 150x5</t>
  </si>
  <si>
    <t>s.q. 200x3</t>
  </si>
  <si>
    <t>s.q. 200x4</t>
  </si>
  <si>
    <t>s.q. 200x5</t>
  </si>
  <si>
    <t>s.q. 250x8</t>
  </si>
  <si>
    <t>s.q. 250x10</t>
  </si>
  <si>
    <t>s.q. 300x10</t>
  </si>
  <si>
    <t>s.q. 300x16</t>
  </si>
  <si>
    <t>s.q. 400x10</t>
  </si>
  <si>
    <t>s.q. 400x16</t>
  </si>
  <si>
    <t>scat. 20 x 10x1,05</t>
  </si>
  <si>
    <t>scat. 25 x 10x1,5</t>
  </si>
  <si>
    <t>scat. 25 x 10x2</t>
  </si>
  <si>
    <t>scat. 30 x 10x1,5</t>
  </si>
  <si>
    <t>scat. 30 x 10x2</t>
  </si>
  <si>
    <t>scat. 30 x 15x1,5</t>
  </si>
  <si>
    <t>scat. 30 x 15x2</t>
  </si>
  <si>
    <t>scat. 30 x 20x1,5</t>
  </si>
  <si>
    <t>scat. 30 x 20x2</t>
  </si>
  <si>
    <t>scat. 40 x 20x2</t>
  </si>
  <si>
    <t>scat. 40 x 20x3</t>
  </si>
  <si>
    <t>scat. 40 x 30x2</t>
  </si>
  <si>
    <t>scat. 40 x 30x3</t>
  </si>
  <si>
    <t>scat. 50 x 20x2</t>
  </si>
  <si>
    <t>scat. 50 x 20x3</t>
  </si>
  <si>
    <t>scat. 50 x 25x2</t>
  </si>
  <si>
    <t>scat. 50 x 25x3</t>
  </si>
  <si>
    <t>scat. 50 x 30x2</t>
  </si>
  <si>
    <t>scat. 50 x 30x3</t>
  </si>
  <si>
    <t>scat. 60 x 20x2</t>
  </si>
  <si>
    <t>scat. 60 x 20x3</t>
  </si>
  <si>
    <t>scat. 60 x 30x2</t>
  </si>
  <si>
    <t>scat. 60 x 30x3</t>
  </si>
  <si>
    <t>scat. 60 x 40x2</t>
  </si>
  <si>
    <t>scat. 60 x 40x3</t>
  </si>
  <si>
    <t>scat. 80 x 20x2</t>
  </si>
  <si>
    <t>scat. 80 x 20x3</t>
  </si>
  <si>
    <t>scat. 80 x 30x2</t>
  </si>
  <si>
    <t>scat. 80 x 30x3</t>
  </si>
  <si>
    <t>scat. 80 x 40x2</t>
  </si>
  <si>
    <t>scat. 80 x 40x3</t>
  </si>
  <si>
    <t>scat. 80 x 60x2</t>
  </si>
  <si>
    <t>scat. 80 x 60x3</t>
  </si>
  <si>
    <t>scat. 100 x 30x2</t>
  </si>
  <si>
    <t>scat. 100 x 30x3</t>
  </si>
  <si>
    <t>scat. 100 x 30x4</t>
  </si>
  <si>
    <t>scat. 100 x 40x2</t>
  </si>
  <si>
    <t>scat. 100 x 40x3</t>
  </si>
  <si>
    <t>scat. 100 x 40x4</t>
  </si>
  <si>
    <t>scat. 100 x 50x2</t>
  </si>
  <si>
    <t>scat. 100 x 50x3</t>
  </si>
  <si>
    <t>scat. 100 x 50x3,5</t>
  </si>
  <si>
    <t>scat. 100 x 50x4</t>
  </si>
  <si>
    <t>scat. 120 x 40x2</t>
  </si>
  <si>
    <t>scat. 120 x 40x3</t>
  </si>
  <si>
    <t>scat. 120 x 40x4</t>
  </si>
  <si>
    <t>scat. 120 x 60x2</t>
  </si>
  <si>
    <t>scat. 120 x 60x3</t>
  </si>
  <si>
    <t>scat. 120 x 60x3,5</t>
  </si>
  <si>
    <t>scat. 120 x 60x4</t>
  </si>
  <si>
    <t>scat. 150 x 60x3</t>
  </si>
  <si>
    <t>scat. 150 x 60x4</t>
  </si>
  <si>
    <t>scat. 150 x 60x5</t>
  </si>
  <si>
    <t>scat. 150 x 80x3</t>
  </si>
  <si>
    <t>scat. 150 x 80x4</t>
  </si>
  <si>
    <t>scat. 150 x 80x5</t>
  </si>
  <si>
    <t>scat. 150 x 100x3</t>
  </si>
  <si>
    <t>scat. 150 x 100x4</t>
  </si>
  <si>
    <t>scat. 150 x 100x5</t>
  </si>
  <si>
    <t>scat. 180 x 90x3</t>
  </si>
  <si>
    <t>scat. 180 x 90x4</t>
  </si>
  <si>
    <t>scat. 180 x 90x5</t>
  </si>
  <si>
    <t>scat. 200 x 100x3</t>
  </si>
  <si>
    <t>scat. 200 x 100x4</t>
  </si>
  <si>
    <t>scat. 200 x 100x5</t>
  </si>
  <si>
    <t>scat. 250 x 120x3</t>
  </si>
  <si>
    <t>scat. 250 x 120x4</t>
  </si>
  <si>
    <t>scat. 250 x 120x5</t>
  </si>
  <si>
    <t>scat. 250 x 150x3</t>
  </si>
  <si>
    <t>scat. 250 x 150x4</t>
  </si>
  <si>
    <t>scat. 250 x 150x5</t>
  </si>
  <si>
    <t>scat. 300 x 100x4</t>
  </si>
  <si>
    <t>scat. 300 x 100x5</t>
  </si>
  <si>
    <t>scat. 300 x 100x6</t>
  </si>
  <si>
    <t>Tubo 33,7 x 2,6</t>
  </si>
  <si>
    <t>Tubo 33,7 x 2,9</t>
  </si>
  <si>
    <t>Tubo 33,7 x 3,2</t>
  </si>
  <si>
    <t>Tubo 42,4 x 2,6</t>
  </si>
  <si>
    <t>Tubo 42,4 x 2,9</t>
  </si>
  <si>
    <t>Tubo 42,4 x 3,2</t>
  </si>
  <si>
    <t>Tubo 48,3 x 2,6</t>
  </si>
  <si>
    <t>Tubo 48,3 x 2,9</t>
  </si>
  <si>
    <t>Tubo 48,3 x 3,2</t>
  </si>
  <si>
    <t>Tubo 60,3 x 2,9</t>
  </si>
  <si>
    <t>Tubo 60,3 x 3,2</t>
  </si>
  <si>
    <t>Tubo 60,3 x 3,6</t>
  </si>
  <si>
    <t>Tubo 76,1 x 2,6</t>
  </si>
  <si>
    <t>Tubo 76,1 x 2,9</t>
  </si>
  <si>
    <t>Tubo 76,1 x 3,2</t>
  </si>
  <si>
    <t>Tubo 76,1 x 3,6</t>
  </si>
  <si>
    <t>Tubo 88,9 x 2,6</t>
  </si>
  <si>
    <t>Tubo 88,9 x 3,2</t>
  </si>
  <si>
    <t>Tubo 88,9 x 3,6</t>
  </si>
  <si>
    <t>Tubo 88,9 x 4,0</t>
  </si>
  <si>
    <t>Tubo 114,3 x 3,6</t>
  </si>
  <si>
    <t>Tubo 114,3 x 4,0</t>
  </si>
  <si>
    <t>Tubo 114,3 x 4,5</t>
  </si>
  <si>
    <t>Tubo 139,7 x 2,9</t>
  </si>
  <si>
    <t>Tubo 139,7 x 3,6</t>
  </si>
  <si>
    <t>Tubo 139,7 x 4,0</t>
  </si>
  <si>
    <t>Tubo 139,7 x 4,5</t>
  </si>
  <si>
    <t>Tubo 168,3 x 3,2</t>
  </si>
  <si>
    <t>Tubo 168,3 x 4,0</t>
  </si>
  <si>
    <t>Tubo 168,3 x 4,5</t>
  </si>
  <si>
    <t>Tubo 168,3 x 5,0</t>
  </si>
  <si>
    <t>Tubo 219,1 x 4,0</t>
  </si>
  <si>
    <t>Tubo 219,1 x 5,0</t>
  </si>
  <si>
    <t>Tubo 219,1 x 5,9</t>
  </si>
  <si>
    <t>Tubo 273,0 x 4,0</t>
  </si>
  <si>
    <t>Tubo 273,0 x 5,6</t>
  </si>
  <si>
    <t>Tubo 273,0 x 6,3</t>
  </si>
  <si>
    <t>Tubo 323,9 x 4,0</t>
  </si>
  <si>
    <t>Tubo 323,9 x 5,9</t>
  </si>
  <si>
    <t>Tubo 323,9 x 7,1</t>
  </si>
  <si>
    <t>Tubo 355,6 x 5,0</t>
  </si>
  <si>
    <t>Tubo 355,6 x 6,3</t>
  </si>
  <si>
    <t>Tubo 355,6 x 8,0</t>
  </si>
  <si>
    <t>Tubo 406,4 x 5,0</t>
  </si>
  <si>
    <t>Tubo 406,4 x 6,3</t>
  </si>
  <si>
    <t>Tubo 406,4 x 7,1</t>
  </si>
  <si>
    <t>Tubo 457,2 x 5,6</t>
  </si>
  <si>
    <t>Tubo 457,2 x 6,3</t>
  </si>
  <si>
    <t>Tubo 457,2 x 8,0</t>
  </si>
  <si>
    <t>bxh</t>
  </si>
  <si>
    <t>Ix</t>
  </si>
  <si>
    <t>cmxcm</t>
  </si>
  <si>
    <t>sezione</t>
  </si>
  <si>
    <t>peso</t>
  </si>
  <si>
    <t>kN/m</t>
  </si>
  <si>
    <t>Lunghezza</t>
  </si>
  <si>
    <t>No</t>
  </si>
  <si>
    <t>m</t>
  </si>
  <si>
    <t>Materiale</t>
  </si>
  <si>
    <t>Ubicazione</t>
  </si>
  <si>
    <t>ca</t>
  </si>
  <si>
    <t>Sbalzo sx</t>
  </si>
  <si>
    <t>Camp. 1-2</t>
  </si>
  <si>
    <t>Camp. 2-3</t>
  </si>
  <si>
    <t>Camp. 3-4</t>
  </si>
  <si>
    <t>Camp. 4-5</t>
  </si>
  <si>
    <t>Sbalzo dx</t>
  </si>
  <si>
    <t>TRAVE CONTINUA A QUATTRO CAMPATE</t>
  </si>
  <si>
    <t xml:space="preserve">Peso </t>
  </si>
  <si>
    <t xml:space="preserve">Ix </t>
  </si>
  <si>
    <t>Sbalzosx</t>
  </si>
  <si>
    <t>presente</t>
  </si>
  <si>
    <t>assente</t>
  </si>
  <si>
    <t xml:space="preserve">Materiale </t>
  </si>
  <si>
    <t>Dati singole campate e sbalzi</t>
  </si>
  <si>
    <t>TRAVE CONTINUA A TRE CAMPATE</t>
  </si>
  <si>
    <t>TRAVE CONTINUA A DUE CAMPATE</t>
  </si>
  <si>
    <t>una campata</t>
  </si>
  <si>
    <t>due campate</t>
  </si>
  <si>
    <t>tre campate</t>
  </si>
  <si>
    <t>quattro campate</t>
  </si>
  <si>
    <t xml:space="preserve">Carichi </t>
  </si>
  <si>
    <t>30x50</t>
  </si>
  <si>
    <t>20x20</t>
  </si>
  <si>
    <t>qp</t>
  </si>
  <si>
    <t>rara</t>
  </si>
  <si>
    <t>fre</t>
  </si>
  <si>
    <t>$\phi$</t>
  </si>
  <si>
    <t>$n \phi$</t>
  </si>
  <si>
    <t>As</t>
  </si>
  <si>
    <t>-</t>
  </si>
  <si>
    <t>mm^2</t>
  </si>
  <si>
    <t>KN-m</t>
  </si>
  <si>
    <t>s</t>
  </si>
  <si>
    <r>
      <t>fyd  [N/mm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</si>
  <si>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h [mm]</t>
  </si>
  <si>
    <t>c [mm]</t>
  </si>
  <si>
    <t>d [mm]</t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</si>
  <si>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>+</t>
    </r>
  </si>
  <si>
    <t>Armatura travetto</t>
  </si>
  <si>
    <t>armatura aggiuntiva +</t>
  </si>
  <si>
    <t>armatura aggiuntiva -</t>
  </si>
  <si>
    <r>
      <t>M</t>
    </r>
    <r>
      <rPr>
        <vertAlign val="subscript"/>
        <sz val="11"/>
        <color theme="1"/>
        <rFont val="Calibri"/>
        <family val="2"/>
        <scheme val="minor"/>
      </rPr>
      <t>RD</t>
    </r>
    <r>
      <rPr>
        <vertAlign val="superscript"/>
        <sz val="11"/>
        <color theme="1"/>
        <rFont val="Calibri"/>
        <family val="2"/>
        <scheme val="minor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</si>
</sst>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"/>
  </numFmts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b/>
      <u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CFD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medium">
        <color indexed="64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/>
      <diagonal/>
    </border>
    <border>
      <left style="thin">
        <color rgb="FFF5F5F5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rgb="FFF5F5F5"/>
      </right>
      <top/>
      <bottom style="thin">
        <color rgb="FFF5F5F5"/>
      </bottom>
      <diagonal/>
    </border>
    <border>
      <left style="thin">
        <color rgb="FFCCCFDF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/>
      <top style="thin">
        <color indexed="64"/>
      </top>
      <bottom style="thin">
        <color rgb="FFF5F5F5"/>
      </bottom>
      <diagonal/>
    </border>
    <border>
      <left/>
      <right style="thin">
        <color rgb="FFF5F5F5"/>
      </right>
      <top style="thin">
        <color indexed="64"/>
      </top>
      <bottom style="thin">
        <color rgb="FFF5F5F5"/>
      </bottom>
      <diagonal/>
    </border>
    <border>
      <left/>
      <right style="thin">
        <color indexed="64"/>
      </right>
      <top style="thin">
        <color indexed="64"/>
      </top>
      <bottom style="thin">
        <color rgb="FFF5F5F5"/>
      </bottom>
      <diagonal/>
    </border>
    <border>
      <left style="thin">
        <color indexed="64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indexed="64"/>
      </right>
      <top style="thin">
        <color rgb="FFF5F5F5"/>
      </top>
      <bottom/>
      <diagonal/>
    </border>
    <border>
      <left style="thin">
        <color indexed="64"/>
      </left>
      <right style="thin">
        <color rgb="FFF5F5F5"/>
      </right>
      <top/>
      <bottom style="thin">
        <color rgb="FFF5F5F5"/>
      </bottom>
      <diagonal/>
    </border>
    <border>
      <left style="thin">
        <color rgb="FFF5F5F5"/>
      </left>
      <right style="thin">
        <color indexed="64"/>
      </right>
      <top/>
      <bottom style="thin">
        <color rgb="FFF5F5F5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rgb="FFCCCFDF"/>
      </left>
      <right style="thin">
        <color indexed="64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indexed="64"/>
      </right>
      <top style="thin">
        <color rgb="FFCCCFDF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9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3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" fontId="1" fillId="2" borderId="7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1" xfId="0" applyFont="1" applyBorder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3" xfId="0" applyFont="1" applyBorder="1"/>
    <xf numFmtId="0" fontId="1" fillId="0" borderId="13" xfId="0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2" fontId="1" fillId="0" borderId="0" xfId="0" applyNumberFormat="1" applyFont="1" applyBorder="1"/>
    <xf numFmtId="0" fontId="1" fillId="0" borderId="0" xfId="0" quotePrefix="1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 applyAlignment="1"/>
    <xf numFmtId="0" fontId="1" fillId="0" borderId="0" xfId="0" applyFont="1" applyBorder="1" applyAlignment="1">
      <alignment vertical="center" textRotation="90"/>
    </xf>
    <xf numFmtId="0" fontId="1" fillId="0" borderId="0" xfId="0" applyFont="1" applyAlignment="1">
      <alignment vertical="center" textRotation="90"/>
    </xf>
    <xf numFmtId="0" fontId="1" fillId="0" borderId="17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2" fontId="1" fillId="0" borderId="9" xfId="0" applyNumberFormat="1" applyFont="1" applyBorder="1"/>
    <xf numFmtId="0" fontId="1" fillId="0" borderId="0" xfId="0" applyFont="1" applyBorder="1" applyAlignment="1">
      <alignment horizontal="right" vertical="center" textRotation="90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2" fontId="1" fillId="0" borderId="20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2" fontId="1" fillId="0" borderId="19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25" xfId="0" applyNumberFormat="1" applyFont="1" applyBorder="1" applyAlignment="1">
      <alignment horizontal="center"/>
    </xf>
    <xf numFmtId="2" fontId="1" fillId="0" borderId="18" xfId="0" applyNumberFormat="1" applyFont="1" applyBorder="1"/>
    <xf numFmtId="0" fontId="1" fillId="0" borderId="19" xfId="0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0" fontId="1" fillId="2" borderId="26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2" fontId="1" fillId="2" borderId="20" xfId="0" applyNumberFormat="1" applyFont="1" applyFill="1" applyBorder="1" applyAlignment="1">
      <alignment horizontal="center"/>
    </xf>
    <xf numFmtId="2" fontId="1" fillId="2" borderId="21" xfId="0" applyNumberFormat="1" applyFont="1" applyFill="1" applyBorder="1" applyAlignment="1">
      <alignment horizontal="center"/>
    </xf>
    <xf numFmtId="2" fontId="1" fillId="2" borderId="27" xfId="0" applyNumberFormat="1" applyFont="1" applyFill="1" applyBorder="1" applyAlignment="1">
      <alignment horizontal="center"/>
    </xf>
    <xf numFmtId="2" fontId="1" fillId="2" borderId="23" xfId="0" applyNumberFormat="1" applyFont="1" applyFill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2" fontId="1" fillId="3" borderId="20" xfId="0" applyNumberFormat="1" applyFont="1" applyFill="1" applyBorder="1" applyAlignment="1">
      <alignment horizontal="center"/>
    </xf>
    <xf numFmtId="2" fontId="1" fillId="3" borderId="21" xfId="0" applyNumberFormat="1" applyFont="1" applyFill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7" xfId="0" applyNumberFormat="1" applyFont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31" xfId="0" applyFont="1" applyFill="1" applyBorder="1" applyAlignment="1">
      <alignment horizontal="center"/>
    </xf>
    <xf numFmtId="2" fontId="1" fillId="0" borderId="32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" fontId="1" fillId="0" borderId="22" xfId="0" quotePrefix="1" applyNumberFormat="1" applyFont="1" applyBorder="1" applyAlignment="1">
      <alignment horizontal="center"/>
    </xf>
    <xf numFmtId="2" fontId="1" fillId="0" borderId="2" xfId="0" applyNumberFormat="1" applyFont="1" applyFill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/>
    <xf numFmtId="2" fontId="1" fillId="0" borderId="40" xfId="0" applyNumberFormat="1" applyFont="1" applyBorder="1"/>
    <xf numFmtId="0" fontId="1" fillId="2" borderId="39" xfId="0" applyFont="1" applyFill="1" applyBorder="1" applyAlignment="1">
      <alignment horizontal="center"/>
    </xf>
    <xf numFmtId="2" fontId="1" fillId="2" borderId="40" xfId="0" applyNumberFormat="1" applyFont="1" applyFill="1" applyBorder="1" applyAlignment="1">
      <alignment horizontal="center"/>
    </xf>
    <xf numFmtId="0" fontId="1" fillId="0" borderId="39" xfId="0" applyFont="1" applyFill="1" applyBorder="1" applyAlignment="1">
      <alignment horizontal="center"/>
    </xf>
    <xf numFmtId="2" fontId="1" fillId="3" borderId="7" xfId="0" applyNumberFormat="1" applyFont="1" applyFill="1" applyBorder="1" applyAlignment="1">
      <alignment horizontal="center"/>
    </xf>
    <xf numFmtId="2" fontId="1" fillId="3" borderId="41" xfId="0" applyNumberFormat="1" applyFont="1" applyFill="1" applyBorder="1" applyAlignment="1">
      <alignment horizontal="center"/>
    </xf>
    <xf numFmtId="2" fontId="1" fillId="3" borderId="10" xfId="0" applyNumberFormat="1" applyFont="1" applyFill="1" applyBorder="1" applyAlignment="1">
      <alignment horizontal="center"/>
    </xf>
    <xf numFmtId="2" fontId="1" fillId="3" borderId="42" xfId="0" applyNumberFormat="1" applyFont="1" applyFill="1" applyBorder="1" applyAlignment="1">
      <alignment horizontal="center"/>
    </xf>
    <xf numFmtId="2" fontId="1" fillId="0" borderId="43" xfId="0" applyNumberFormat="1" applyFont="1" applyBorder="1" applyAlignment="1">
      <alignment horizontal="center"/>
    </xf>
    <xf numFmtId="2" fontId="1" fillId="0" borderId="44" xfId="0" applyNumberFormat="1" applyFont="1" applyBorder="1" applyAlignment="1">
      <alignment horizontal="center"/>
    </xf>
    <xf numFmtId="2" fontId="1" fillId="0" borderId="45" xfId="0" applyNumberFormat="1" applyFont="1" applyBorder="1" applyAlignment="1">
      <alignment horizontal="center"/>
    </xf>
    <xf numFmtId="2" fontId="1" fillId="0" borderId="5" xfId="0" applyNumberFormat="1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1" xfId="0" quotePrefix="1" applyFont="1" applyBorder="1" applyAlignment="1">
      <alignment horizontal="center"/>
    </xf>
    <xf numFmtId="2" fontId="1" fillId="0" borderId="7" xfId="0" applyNumberFormat="1" applyFont="1" applyBorder="1"/>
    <xf numFmtId="0" fontId="1" fillId="0" borderId="1" xfId="0" applyFont="1" applyBorder="1"/>
    <xf numFmtId="2" fontId="1" fillId="0" borderId="1" xfId="0" applyNumberFormat="1" applyFont="1" applyBorder="1"/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2" fontId="1" fillId="0" borderId="4" xfId="0" applyNumberFormat="1" applyFont="1" applyFill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48" xfId="0" applyFont="1" applyFill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164" fontId="1" fillId="0" borderId="51" xfId="0" applyNumberFormat="1" applyFont="1" applyBorder="1" applyAlignment="1">
      <alignment horizontal="center"/>
    </xf>
    <xf numFmtId="0" fontId="1" fillId="0" borderId="40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2" fontId="1" fillId="0" borderId="24" xfId="0" applyNumberFormat="1" applyFont="1" applyBorder="1" applyAlignment="1">
      <alignment horizontal="center"/>
    </xf>
    <xf numFmtId="164" fontId="1" fillId="0" borderId="22" xfId="0" applyNumberFormat="1" applyFont="1" applyBorder="1" applyAlignment="1">
      <alignment horizontal="center"/>
    </xf>
    <xf numFmtId="164" fontId="1" fillId="0" borderId="23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16" fontId="1" fillId="0" borderId="54" xfId="0" quotePrefix="1" applyNumberFormat="1" applyFont="1" applyBorder="1" applyAlignment="1">
      <alignment horizontal="center"/>
    </xf>
    <xf numFmtId="0" fontId="1" fillId="0" borderId="54" xfId="0" quotePrefix="1" applyFont="1" applyBorder="1" applyAlignment="1">
      <alignment horizontal="center"/>
    </xf>
    <xf numFmtId="0" fontId="1" fillId="0" borderId="53" xfId="0" quotePrefix="1" applyFont="1" applyBorder="1" applyAlignment="1">
      <alignment horizontal="center"/>
    </xf>
    <xf numFmtId="2" fontId="1" fillId="2" borderId="18" xfId="0" applyNumberFormat="1" applyFont="1" applyFill="1" applyBorder="1" applyAlignment="1">
      <alignment horizontal="center"/>
    </xf>
    <xf numFmtId="2" fontId="1" fillId="2" borderId="26" xfId="0" applyNumberFormat="1" applyFont="1" applyFill="1" applyBorder="1" applyAlignment="1">
      <alignment horizontal="center"/>
    </xf>
    <xf numFmtId="2" fontId="1" fillId="2" borderId="19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1" fillId="3" borderId="18" xfId="0" applyNumberFormat="1" applyFont="1" applyFill="1" applyBorder="1" applyAlignment="1">
      <alignment horizontal="center"/>
    </xf>
    <xf numFmtId="2" fontId="1" fillId="3" borderId="26" xfId="0" applyNumberFormat="1" applyFont="1" applyFill="1" applyBorder="1" applyAlignment="1">
      <alignment horizontal="center"/>
    </xf>
    <xf numFmtId="2" fontId="1" fillId="3" borderId="19" xfId="0" applyNumberFormat="1" applyFont="1" applyFill="1" applyBorder="1" applyAlignment="1">
      <alignment horizontal="center"/>
    </xf>
    <xf numFmtId="2" fontId="1" fillId="3" borderId="22" xfId="0" applyNumberFormat="1" applyFont="1" applyFill="1" applyBorder="1" applyAlignment="1">
      <alignment horizontal="center"/>
    </xf>
    <xf numFmtId="2" fontId="1" fillId="3" borderId="27" xfId="0" applyNumberFormat="1" applyFont="1" applyFill="1" applyBorder="1" applyAlignment="1">
      <alignment horizontal="center"/>
    </xf>
    <xf numFmtId="2" fontId="1" fillId="3" borderId="23" xfId="0" applyNumberFormat="1" applyFon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5" borderId="20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2" fontId="1" fillId="5" borderId="21" xfId="0" applyNumberFormat="1" applyFont="1" applyFill="1" applyBorder="1" applyAlignment="1">
      <alignment horizontal="center"/>
    </xf>
    <xf numFmtId="2" fontId="1" fillId="4" borderId="18" xfId="0" applyNumberFormat="1" applyFont="1" applyFill="1" applyBorder="1" applyAlignment="1">
      <alignment horizontal="center"/>
    </xf>
    <xf numFmtId="2" fontId="1" fillId="4" borderId="26" xfId="0" applyNumberFormat="1" applyFont="1" applyFill="1" applyBorder="1" applyAlignment="1">
      <alignment horizontal="center"/>
    </xf>
    <xf numFmtId="2" fontId="1" fillId="4" borderId="19" xfId="0" applyNumberFormat="1" applyFont="1" applyFill="1" applyBorder="1" applyAlignment="1">
      <alignment horizontal="center"/>
    </xf>
    <xf numFmtId="2" fontId="1" fillId="4" borderId="20" xfId="0" applyNumberFormat="1" applyFont="1" applyFill="1" applyBorder="1" applyAlignment="1">
      <alignment horizontal="center"/>
    </xf>
    <xf numFmtId="2" fontId="1" fillId="4" borderId="40" xfId="0" applyNumberFormat="1" applyFont="1" applyFill="1" applyBorder="1" applyAlignment="1">
      <alignment horizontal="center"/>
    </xf>
    <xf numFmtId="2" fontId="1" fillId="4" borderId="27" xfId="0" applyNumberFormat="1" applyFont="1" applyFill="1" applyBorder="1" applyAlignment="1">
      <alignment horizontal="center"/>
    </xf>
    <xf numFmtId="2" fontId="1" fillId="4" borderId="23" xfId="0" applyNumberFormat="1" applyFont="1" applyFill="1" applyBorder="1" applyAlignment="1">
      <alignment horizontal="center"/>
    </xf>
    <xf numFmtId="2" fontId="1" fillId="5" borderId="22" xfId="0" applyNumberFormat="1" applyFont="1" applyFill="1" applyBorder="1" applyAlignment="1">
      <alignment horizontal="center"/>
    </xf>
    <xf numFmtId="2" fontId="1" fillId="5" borderId="27" xfId="0" applyNumberFormat="1" applyFont="1" applyFill="1" applyBorder="1" applyAlignment="1">
      <alignment horizontal="center"/>
    </xf>
    <xf numFmtId="2" fontId="1" fillId="5" borderId="23" xfId="0" applyNumberFormat="1" applyFont="1" applyFill="1" applyBorder="1" applyAlignment="1">
      <alignment horizontal="center"/>
    </xf>
    <xf numFmtId="2" fontId="1" fillId="4" borderId="22" xfId="0" applyNumberFormat="1" applyFont="1" applyFill="1" applyBorder="1" applyAlignment="1">
      <alignment horizontal="center"/>
    </xf>
    <xf numFmtId="2" fontId="1" fillId="5" borderId="18" xfId="0" applyNumberFormat="1" applyFont="1" applyFill="1" applyBorder="1" applyAlignment="1">
      <alignment horizontal="center"/>
    </xf>
    <xf numFmtId="2" fontId="1" fillId="5" borderId="26" xfId="0" applyNumberFormat="1" applyFont="1" applyFill="1" applyBorder="1" applyAlignment="1">
      <alignment horizontal="center"/>
    </xf>
    <xf numFmtId="2" fontId="1" fillId="5" borderId="19" xfId="0" applyNumberFormat="1" applyFont="1" applyFill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" fillId="0" borderId="47" xfId="0" applyFont="1" applyBorder="1"/>
    <xf numFmtId="2" fontId="1" fillId="0" borderId="55" xfId="0" applyNumberFormat="1" applyFont="1" applyBorder="1" applyAlignment="1">
      <alignment horizontal="center"/>
    </xf>
    <xf numFmtId="2" fontId="1" fillId="0" borderId="42" xfId="0" applyNumberFormat="1" applyFont="1" applyBorder="1" applyAlignment="1">
      <alignment horizontal="center"/>
    </xf>
    <xf numFmtId="0" fontId="1" fillId="0" borderId="56" xfId="0" applyFont="1" applyFill="1" applyBorder="1" applyAlignment="1">
      <alignment horizontal="center"/>
    </xf>
    <xf numFmtId="0" fontId="1" fillId="0" borderId="56" xfId="0" applyFont="1" applyBorder="1" applyAlignment="1">
      <alignment horizontal="center"/>
    </xf>
    <xf numFmtId="164" fontId="1" fillId="0" borderId="56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16" fontId="1" fillId="0" borderId="57" xfId="0" quotePrefix="1" applyNumberFormat="1" applyFont="1" applyBorder="1" applyAlignment="1">
      <alignment horizontal="center"/>
    </xf>
    <xf numFmtId="0" fontId="1" fillId="0" borderId="57" xfId="0" quotePrefix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2" fontId="1" fillId="6" borderId="1" xfId="0" applyNumberFormat="1" applyFont="1" applyFill="1" applyBorder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2" fontId="1" fillId="0" borderId="15" xfId="0" applyNumberFormat="1" applyFont="1" applyBorder="1" applyAlignment="1" applyProtection="1">
      <alignment horizontal="center"/>
      <protection hidden="1"/>
    </xf>
    <xf numFmtId="2" fontId="1" fillId="0" borderId="16" xfId="0" applyNumberFormat="1" applyFont="1" applyBorder="1" applyAlignment="1" applyProtection="1">
      <alignment horizontal="center"/>
      <protection hidden="1"/>
    </xf>
    <xf numFmtId="2" fontId="1" fillId="0" borderId="15" xfId="0" applyNumberFormat="1" applyFont="1" applyFill="1" applyBorder="1" applyAlignment="1" applyProtection="1">
      <alignment horizontal="center"/>
      <protection hidden="1"/>
    </xf>
    <xf numFmtId="2" fontId="1" fillId="0" borderId="3" xfId="0" applyNumberFormat="1" applyFont="1" applyFill="1" applyBorder="1" applyAlignment="1" applyProtection="1">
      <alignment horizontal="center"/>
      <protection hidden="1"/>
    </xf>
    <xf numFmtId="2" fontId="1" fillId="0" borderId="16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Border="1" applyAlignment="1" applyProtection="1">
      <alignment horizontal="center"/>
      <protection hidden="1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7" borderId="59" xfId="0" applyFont="1" applyFill="1" applyBorder="1" applyAlignment="1">
      <alignment horizontal="center" wrapText="1"/>
    </xf>
    <xf numFmtId="0" fontId="1" fillId="7" borderId="60" xfId="0" applyFont="1" applyFill="1" applyBorder="1" applyAlignment="1">
      <alignment horizontal="center" wrapText="1"/>
    </xf>
    <xf numFmtId="0" fontId="4" fillId="7" borderId="59" xfId="0" applyFont="1" applyFill="1" applyBorder="1" applyAlignment="1">
      <alignment horizontal="center" wrapText="1"/>
    </xf>
    <xf numFmtId="0" fontId="1" fillId="7" borderId="61" xfId="0" applyFont="1" applyFill="1" applyBorder="1" applyAlignment="1">
      <alignment wrapText="1"/>
    </xf>
    <xf numFmtId="0" fontId="1" fillId="7" borderId="61" xfId="0" applyFont="1" applyFill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3" fontId="1" fillId="0" borderId="62" xfId="0" applyNumberFormat="1" applyFont="1" applyBorder="1" applyAlignment="1">
      <alignment horizontal="center" wrapText="1"/>
    </xf>
    <xf numFmtId="20" fontId="1" fillId="0" borderId="62" xfId="0" applyNumberFormat="1" applyFont="1" applyBorder="1" applyAlignment="1">
      <alignment horizontal="center" wrapText="1"/>
    </xf>
    <xf numFmtId="2" fontId="1" fillId="0" borderId="62" xfId="0" applyNumberFormat="1" applyFont="1" applyFill="1" applyBorder="1" applyAlignment="1">
      <alignment horizontal="center" wrapText="1"/>
    </xf>
    <xf numFmtId="0" fontId="1" fillId="0" borderId="62" xfId="0" applyNumberFormat="1" applyFont="1" applyBorder="1" applyAlignment="1">
      <alignment horizontal="center" wrapText="1"/>
    </xf>
    <xf numFmtId="0" fontId="1" fillId="8" borderId="62" xfId="0" applyFont="1" applyFill="1" applyBorder="1" applyAlignment="1">
      <alignment horizontal="center" wrapText="1"/>
    </xf>
    <xf numFmtId="3" fontId="1" fillId="8" borderId="62" xfId="0" applyNumberFormat="1" applyFont="1" applyFill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2" fillId="7" borderId="67" xfId="0" applyFont="1" applyFill="1" applyBorder="1" applyAlignment="1">
      <alignment horizontal="center" wrapText="1"/>
    </xf>
    <xf numFmtId="0" fontId="2" fillId="7" borderId="68" xfId="0" applyFont="1" applyFill="1" applyBorder="1" applyAlignment="1">
      <alignment horizontal="center" wrapText="1"/>
    </xf>
    <xf numFmtId="0" fontId="1" fillId="7" borderId="72" xfId="0" applyFont="1" applyFill="1" applyBorder="1" applyAlignment="1">
      <alignment horizontal="center" wrapText="1"/>
    </xf>
    <xf numFmtId="0" fontId="4" fillId="7" borderId="73" xfId="0" applyFont="1" applyFill="1" applyBorder="1" applyAlignment="1">
      <alignment horizontal="center" wrapText="1"/>
    </xf>
    <xf numFmtId="0" fontId="1" fillId="7" borderId="74" xfId="0" applyFont="1" applyFill="1" applyBorder="1" applyAlignment="1">
      <alignment wrapText="1"/>
    </xf>
    <xf numFmtId="0" fontId="1" fillId="7" borderId="75" xfId="0" applyFont="1" applyFill="1" applyBorder="1" applyAlignment="1">
      <alignment horizontal="center" wrapText="1"/>
    </xf>
    <xf numFmtId="0" fontId="1" fillId="0" borderId="76" xfId="0" applyFont="1" applyBorder="1" applyAlignment="1">
      <alignment horizontal="center" wrapText="1"/>
    </xf>
    <xf numFmtId="0" fontId="1" fillId="0" borderId="77" xfId="0" applyFont="1" applyBorder="1" applyAlignment="1">
      <alignment horizontal="center" wrapText="1"/>
    </xf>
    <xf numFmtId="20" fontId="1" fillId="0" borderId="77" xfId="0" applyNumberFormat="1" applyFont="1" applyBorder="1" applyAlignment="1">
      <alignment horizontal="center" wrapText="1"/>
    </xf>
    <xf numFmtId="0" fontId="1" fillId="8" borderId="76" xfId="0" applyFont="1" applyFill="1" applyBorder="1" applyAlignment="1">
      <alignment horizontal="center" wrapText="1"/>
    </xf>
    <xf numFmtId="0" fontId="1" fillId="8" borderId="77" xfId="0" applyFont="1" applyFill="1" applyBorder="1" applyAlignment="1">
      <alignment horizontal="center" wrapText="1"/>
    </xf>
    <xf numFmtId="0" fontId="1" fillId="0" borderId="78" xfId="0" applyFont="1" applyBorder="1" applyAlignment="1">
      <alignment horizontal="center" wrapText="1"/>
    </xf>
    <xf numFmtId="0" fontId="1" fillId="8" borderId="78" xfId="0" applyFont="1" applyFill="1" applyBorder="1" applyAlignment="1">
      <alignment horizontal="center" wrapText="1"/>
    </xf>
    <xf numFmtId="0" fontId="1" fillId="0" borderId="77" xfId="0" applyNumberFormat="1" applyFont="1" applyBorder="1" applyAlignment="1">
      <alignment horizontal="center" wrapText="1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63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1" fillId="0" borderId="64" xfId="0" applyFont="1" applyFill="1" applyBorder="1" applyAlignment="1">
      <alignment horizontal="center" wrapText="1"/>
    </xf>
    <xf numFmtId="0" fontId="1" fillId="8" borderId="79" xfId="0" applyFont="1" applyFill="1" applyBorder="1" applyAlignment="1">
      <alignment horizontal="center" wrapText="1"/>
    </xf>
    <xf numFmtId="0" fontId="1" fillId="0" borderId="79" xfId="0" applyFont="1" applyBorder="1" applyAlignment="1">
      <alignment horizontal="center" wrapText="1"/>
    </xf>
    <xf numFmtId="3" fontId="1" fillId="8" borderId="79" xfId="0" applyNumberFormat="1" applyFont="1" applyFill="1" applyBorder="1" applyAlignment="1">
      <alignment horizontal="center" wrapText="1"/>
    </xf>
    <xf numFmtId="0" fontId="1" fillId="8" borderId="80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Border="1" applyAlignment="1"/>
    <xf numFmtId="0" fontId="2" fillId="0" borderId="3" xfId="0" applyFont="1" applyBorder="1"/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2" fillId="0" borderId="34" xfId="0" applyFont="1" applyBorder="1"/>
    <xf numFmtId="0" fontId="2" fillId="0" borderId="82" xfId="0" applyFont="1" applyFill="1" applyBorder="1" applyAlignment="1"/>
    <xf numFmtId="0" fontId="2" fillId="0" borderId="2" xfId="0" applyFont="1" applyFill="1" applyBorder="1" applyAlignment="1"/>
    <xf numFmtId="0" fontId="2" fillId="0" borderId="83" xfId="0" applyFont="1" applyFill="1" applyBorder="1" applyAlignment="1"/>
    <xf numFmtId="0" fontId="1" fillId="0" borderId="63" xfId="0" applyFont="1" applyBorder="1"/>
    <xf numFmtId="0" fontId="1" fillId="0" borderId="64" xfId="0" applyFont="1" applyBorder="1"/>
    <xf numFmtId="0" fontId="2" fillId="0" borderId="63" xfId="0" applyFont="1" applyBorder="1" applyAlignment="1">
      <alignment horizontal="left"/>
    </xf>
    <xf numFmtId="0" fontId="1" fillId="0" borderId="84" xfId="0" applyFont="1" applyBorder="1" applyAlignment="1">
      <alignment horizontal="center"/>
    </xf>
    <xf numFmtId="0" fontId="1" fillId="0" borderId="84" xfId="0" applyFont="1" applyBorder="1" applyAlignment="1" applyProtection="1">
      <alignment horizontal="center"/>
      <protection hidden="1"/>
    </xf>
    <xf numFmtId="0" fontId="1" fillId="0" borderId="64" xfId="0" applyFont="1" applyBorder="1" applyAlignment="1">
      <alignment horizontal="center"/>
    </xf>
    <xf numFmtId="0" fontId="1" fillId="0" borderId="65" xfId="0" applyFont="1" applyBorder="1"/>
    <xf numFmtId="0" fontId="1" fillId="0" borderId="16" xfId="0" applyFont="1" applyBorder="1" applyAlignment="1">
      <alignment horizontal="center"/>
    </xf>
    <xf numFmtId="0" fontId="1" fillId="0" borderId="16" xfId="0" applyFont="1" applyBorder="1" applyAlignment="1" applyProtection="1">
      <alignment horizontal="center"/>
      <protection hidden="1"/>
    </xf>
    <xf numFmtId="0" fontId="1" fillId="0" borderId="85" xfId="0" applyFont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9" borderId="3" xfId="0" applyFont="1" applyFill="1" applyBorder="1" applyAlignment="1" applyProtection="1">
      <alignment horizontal="center"/>
      <protection locked="0"/>
    </xf>
    <xf numFmtId="2" fontId="1" fillId="9" borderId="81" xfId="0" applyNumberFormat="1" applyFont="1" applyFill="1" applyBorder="1" applyAlignment="1" applyProtection="1">
      <alignment horizontal="center"/>
      <protection locked="0"/>
    </xf>
    <xf numFmtId="2" fontId="1" fillId="9" borderId="3" xfId="0" applyNumberFormat="1" applyFont="1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5" fillId="0" borderId="81" xfId="0" applyFont="1" applyBorder="1" applyAlignment="1"/>
    <xf numFmtId="165" fontId="1" fillId="0" borderId="3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2" fillId="0" borderId="0" xfId="0" applyFont="1" applyBorder="1"/>
    <xf numFmtId="0" fontId="5" fillId="0" borderId="0" xfId="0" applyFont="1" applyBorder="1" applyAlignment="1"/>
    <xf numFmtId="0" fontId="1" fillId="0" borderId="14" xfId="0" applyFont="1" applyBorder="1"/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1" xfId="0" applyFill="1" applyBorder="1" applyAlignment="1">
      <alignment horizontal="center"/>
    </xf>
    <xf numFmtId="0" fontId="0" fillId="0" borderId="86" xfId="0" applyBorder="1"/>
    <xf numFmtId="0" fontId="0" fillId="0" borderId="87" xfId="0" applyBorder="1"/>
    <xf numFmtId="0" fontId="0" fillId="0" borderId="86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8" xfId="0" applyFill="1" applyBorder="1" applyAlignment="1">
      <alignment horizontal="center"/>
    </xf>
    <xf numFmtId="0" fontId="0" fillId="0" borderId="89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1" xfId="0" applyFont="1" applyFill="1" applyBorder="1" applyAlignment="1">
      <alignment horizontal="center"/>
    </xf>
    <xf numFmtId="0" fontId="1" fillId="0" borderId="81" xfId="0" applyFont="1" applyBorder="1"/>
    <xf numFmtId="0" fontId="1" fillId="0" borderId="2" xfId="0" applyFont="1" applyBorder="1"/>
    <xf numFmtId="0" fontId="1" fillId="9" borderId="3" xfId="0" applyFont="1" applyFill="1" applyBorder="1" applyAlignment="1" applyProtection="1">
      <alignment horizontal="center"/>
      <protection locked="0"/>
    </xf>
    <xf numFmtId="1" fontId="1" fillId="0" borderId="3" xfId="0" applyNumberFormat="1" applyFont="1" applyBorder="1" applyAlignment="1" applyProtection="1">
      <alignment horizontal="center"/>
      <protection hidden="1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0" xfId="0" applyFont="1" applyBorder="1" applyAlignment="1">
      <alignment horizontal="center"/>
    </xf>
    <xf numFmtId="1" fontId="1" fillId="0" borderId="91" xfId="0" applyNumberFormat="1" applyFont="1" applyBorder="1" applyAlignment="1">
      <alignment horizontal="center"/>
    </xf>
    <xf numFmtId="0" fontId="1" fillId="0" borderId="92" xfId="0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1" fontId="1" fillId="0" borderId="84" xfId="0" applyNumberFormat="1" applyFont="1" applyBorder="1" applyAlignment="1">
      <alignment horizontal="center"/>
    </xf>
    <xf numFmtId="2" fontId="1" fillId="0" borderId="16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1" fillId="9" borderId="92" xfId="0" applyFont="1" applyFill="1" applyBorder="1" applyAlignment="1" applyProtection="1">
      <alignment horizontal="center"/>
      <protection locked="0"/>
    </xf>
    <xf numFmtId="0" fontId="1" fillId="9" borderId="93" xfId="0" applyFont="1" applyFill="1" applyBorder="1" applyAlignment="1" applyProtection="1">
      <alignment horizontal="center"/>
      <protection locked="0"/>
    </xf>
    <xf numFmtId="0" fontId="1" fillId="9" borderId="16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2" fillId="0" borderId="4" xfId="0" applyFont="1" applyBorder="1" applyAlignment="1">
      <alignment horizontal="center"/>
    </xf>
    <xf numFmtId="0" fontId="2" fillId="0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83" xfId="0" applyFont="1" applyFill="1" applyBorder="1" applyAlignment="1">
      <alignment horizontal="center"/>
    </xf>
    <xf numFmtId="0" fontId="1" fillId="0" borderId="0" xfId="0" applyFont="1" applyAlignment="1">
      <alignment horizontal="right" vertical="center" textRotation="90"/>
    </xf>
    <xf numFmtId="0" fontId="1" fillId="0" borderId="0" xfId="0" applyFont="1" applyBorder="1" applyAlignment="1">
      <alignment horizontal="right" vertical="center" textRotation="9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2" fillId="7" borderId="69" xfId="0" applyFont="1" applyFill="1" applyBorder="1" applyAlignment="1">
      <alignment horizontal="center" wrapText="1"/>
    </xf>
    <xf numFmtId="0" fontId="2" fillId="7" borderId="70" xfId="0" applyFont="1" applyFill="1" applyBorder="1" applyAlignment="1">
      <alignment horizontal="center" wrapText="1"/>
    </xf>
    <xf numFmtId="0" fontId="2" fillId="7" borderId="71" xfId="0" applyFont="1" applyFill="1" applyBorder="1" applyAlignment="1">
      <alignment horizontal="center" wrapText="1"/>
    </xf>
    <xf numFmtId="0" fontId="0" fillId="10" borderId="1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11" borderId="1" xfId="0" applyFill="1" applyBorder="1" applyAlignment="1">
      <alignment horizontal="center"/>
    </xf>
    <xf numFmtId="2" fontId="0" fillId="0" borderId="1" xfId="0" applyNumberFormat="1" applyBorder="1"/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ad una campata</a:t>
            </a:r>
          </a:p>
        </c:rich>
      </c:tx>
      <c:layout>
        <c:manualLayout>
          <c:xMode val="edge"/>
          <c:yMode val="edge"/>
          <c:x val="0.34045560930290142"/>
          <c:y val="1.716463524251264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723881181518976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Menu'!$A$4:$A$7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'Coordinate travi Menu'!$B$4:$B$7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7-4F06-B752-C2258089C67F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Menu'!$A$11:$A$14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Menu'!$B$11:$B$14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B7-4F06-B752-C2258089C67F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Menu'!$D$11:$D$14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Menu'!$E$11:$E$14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B7-4F06-B752-C2258089C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4448"/>
        <c:axId val="306395008"/>
      </c:scatterChart>
      <c:valAx>
        <c:axId val="3063944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6395008"/>
        <c:crosses val="autoZero"/>
        <c:crossBetween val="midCat"/>
        <c:majorUnit val="1"/>
      </c:valAx>
      <c:valAx>
        <c:axId val="306395008"/>
        <c:scaling>
          <c:orientation val="minMax"/>
          <c:max val="0.8"/>
          <c:min val="-0.5"/>
        </c:scaling>
        <c:delete val="1"/>
        <c:axPos val="l"/>
        <c:numFmt formatCode="General" sourceLinked="1"/>
        <c:majorTickMark val="out"/>
        <c:minorTickMark val="none"/>
        <c:tickLblPos val="none"/>
        <c:crossAx val="306394448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chemeClr val="tx1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due campate</a:t>
            </a:r>
          </a:p>
        </c:rich>
      </c:tx>
      <c:layout>
        <c:manualLayout>
          <c:xMode val="edge"/>
          <c:yMode val="edge"/>
          <c:x val="0.32391632893626116"/>
          <c:y val="1.716456507575230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46905858770407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Menu'!$G$4:$G$8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'Coordinate travi Menu'!$H$4:$H$8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5-47F4-83C3-AFF86243B2EE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Menu'!$G$12:$G$15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Menu'!$H$12:$H$15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5-47F4-83C3-AFF86243B2EE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Menu'!$J$12:$J$15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Menu'!$K$12:$K$15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05-47F4-83C3-AFF86243B2EE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Menu'!$G$18:$G$21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Menu'!$H$18:$H$21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05-47F4-83C3-AFF86243B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55792"/>
        <c:axId val="309156352"/>
      </c:scatterChart>
      <c:valAx>
        <c:axId val="3091557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56352"/>
        <c:crosses val="autoZero"/>
        <c:crossBetween val="midCat"/>
        <c:majorUnit val="1"/>
      </c:valAx>
      <c:valAx>
        <c:axId val="3091563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55792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tre campate</a:t>
            </a:r>
          </a:p>
        </c:rich>
      </c:tx>
      <c:layout>
        <c:manualLayout>
          <c:xMode val="edge"/>
          <c:yMode val="edge"/>
          <c:x val="0.33741926920636595"/>
          <c:y val="1.716460310015874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156273146334980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Menu'!$M$4:$M$9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17</c:v>
                </c:pt>
              </c:numCache>
            </c:numRef>
          </c:xVal>
          <c:yVal>
            <c:numRef>
              <c:f>'Coordinate travi Menu'!$N$4:$N$9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6-4FFC-921F-4C5778AC4422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Menu'!$M$12:$M$15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Menu'!$N$12:$N$15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16-4FFC-921F-4C5778AC4422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Menu'!$P$12:$P$15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Menu'!$Q$12:$Q$15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16-4FFC-921F-4C5778AC4422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Menu'!$M$18:$M$21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Menu'!$N$18:$N$21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16-4FFC-921F-4C5778AC4422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Menu'!$P$18:$P$21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Menu'!$Q$18:$Q$21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16-4FFC-921F-4C5778AC4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61392"/>
        <c:axId val="309161952"/>
      </c:scatterChart>
      <c:valAx>
        <c:axId val="3091613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61952"/>
        <c:crosses val="autoZero"/>
        <c:crossBetween val="midCat"/>
        <c:majorUnit val="1"/>
      </c:valAx>
      <c:valAx>
        <c:axId val="3091619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61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quattro campate</a:t>
            </a:r>
          </a:p>
        </c:rich>
      </c:tx>
      <c:layout>
        <c:manualLayout>
          <c:xMode val="edge"/>
          <c:yMode val="edge"/>
          <c:x val="0.31449870422585796"/>
          <c:y val="1.716467192420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577985367924141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Menu'!$S$4:$S$10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21</c:v>
                </c:pt>
                <c:pt idx="6">
                  <c:v>22</c:v>
                </c:pt>
              </c:numCache>
            </c:numRef>
          </c:xVal>
          <c:yVal>
            <c:numRef>
              <c:f>'Coordinate travi Menu'!$T$4:$T$10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2D-4ED7-AAB0-F727CCC44084}"/>
            </c:ext>
          </c:extLst>
        </c:ser>
        <c:ser>
          <c:idx val="1"/>
          <c:order val="1"/>
          <c:tx>
            <c:v>vincolo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Menu'!$S$13:$S$16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Menu'!$T$13:$T$16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2D-4ED7-AAB0-F727CCC44084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Menu'!$V$13:$V$16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Menu'!$W$13:$W$16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2D-4ED7-AAB0-F727CCC44084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Menu'!$S$19:$S$22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Menu'!$T$19:$T$22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2D-4ED7-AAB0-F727CCC44084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Menu'!$V$19:$V$22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Menu'!$W$19:$W$22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2D-4ED7-AAB0-F727CCC44084}"/>
            </c:ext>
          </c:extLst>
        </c:ser>
        <c:ser>
          <c:idx val="5"/>
          <c:order val="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Menu'!$S$25:$S$28</c:f>
              <c:numCache>
                <c:formatCode>General</c:formatCode>
                <c:ptCount val="4"/>
                <c:pt idx="0">
                  <c:v>21</c:v>
                </c:pt>
                <c:pt idx="1">
                  <c:v>20.75</c:v>
                </c:pt>
                <c:pt idx="2">
                  <c:v>21.25</c:v>
                </c:pt>
                <c:pt idx="3">
                  <c:v>21</c:v>
                </c:pt>
              </c:numCache>
            </c:numRef>
          </c:xVal>
          <c:yVal>
            <c:numRef>
              <c:f>'Coordinate travi Menu'!$T$25:$T$28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2D-4ED7-AAB0-F727CCC44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94928"/>
        <c:axId val="308995488"/>
      </c:scatterChart>
      <c:valAx>
        <c:axId val="30899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8995488"/>
        <c:crosses val="autoZero"/>
        <c:crossBetween val="midCat"/>
        <c:majorUnit val="1"/>
      </c:valAx>
      <c:valAx>
        <c:axId val="308995488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8994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6E-2"/>
          <c:y val="9.9061975819114148E-2"/>
          <c:w val="0.948479879503909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0.32602499999999995</c:v>
                </c:pt>
                <c:pt idx="6">
                  <c:v>0.55889999999999995</c:v>
                </c:pt>
                <c:pt idx="7">
                  <c:v>0.69862499999999983</c:v>
                </c:pt>
                <c:pt idx="8">
                  <c:v>0.74519999999999986</c:v>
                </c:pt>
                <c:pt idx="9">
                  <c:v>0.69862499999999961</c:v>
                </c:pt>
                <c:pt idx="10">
                  <c:v>0.55889999999999995</c:v>
                </c:pt>
                <c:pt idx="11">
                  <c:v>0.32602499999999957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6-4DE7-AA6B-491FF2E020F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4D6-4DE7-AA6B-491FF2E020F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4D6-4DE7-AA6B-491FF2E020F2}"/>
            </c:ext>
          </c:extLst>
        </c:ser>
        <c:ser>
          <c:idx val="10"/>
          <c:order val="3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4D6-4DE7-AA6B-491FF2E020F2}"/>
            </c:ext>
          </c:extLst>
        </c:ser>
        <c:ser>
          <c:idx val="4"/>
          <c:order val="4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4D6-4DE7-AA6B-491FF2E020F2}"/>
            </c:ext>
          </c:extLst>
        </c:ser>
        <c:ser>
          <c:idx val="5"/>
          <c:order val="5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4D6-4DE7-AA6B-491FF2E020F2}"/>
            </c:ext>
          </c:extLst>
        </c:ser>
        <c:ser>
          <c:idx val="6"/>
          <c:order val="6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4D6-4DE7-AA6B-491FF2E020F2}"/>
            </c:ext>
          </c:extLst>
        </c:ser>
        <c:ser>
          <c:idx val="8"/>
          <c:order val="7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4D6-4DE7-AA6B-491FF2E020F2}"/>
            </c:ext>
          </c:extLst>
        </c:ser>
        <c:ser>
          <c:idx val="12"/>
          <c:order val="8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4D6-4DE7-AA6B-491FF2E020F2}"/>
            </c:ext>
          </c:extLst>
        </c:ser>
        <c:ser>
          <c:idx val="13"/>
          <c:order val="9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4D6-4DE7-AA6B-491FF2E020F2}"/>
            </c:ext>
          </c:extLst>
        </c:ser>
        <c:ser>
          <c:idx val="14"/>
          <c:order val="10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14D6-4DE7-AA6B-491FF2E020F2}"/>
            </c:ext>
          </c:extLst>
        </c:ser>
        <c:ser>
          <c:idx val="16"/>
          <c:order val="1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4D6-4DE7-AA6B-491FF2E020F2}"/>
            </c:ext>
          </c:extLst>
        </c:ser>
        <c:ser>
          <c:idx val="1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4D6-4DE7-AA6B-491FF2E020F2}"/>
            </c:ext>
          </c:extLst>
        </c:ser>
        <c:ser>
          <c:idx val="19"/>
          <c:order val="13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4D6-4DE7-AA6B-491FF2E020F2}"/>
            </c:ext>
          </c:extLst>
        </c:ser>
        <c:ser>
          <c:idx val="20"/>
          <c:order val="14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4D6-4DE7-AA6B-491FF2E020F2}"/>
            </c:ext>
          </c:extLst>
        </c:ser>
        <c:ser>
          <c:idx val="22"/>
          <c:order val="15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4D6-4DE7-AA6B-491FF2E020F2}"/>
            </c:ext>
          </c:extLst>
        </c:ser>
        <c:ser>
          <c:idx val="24"/>
          <c:order val="16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4D6-4DE7-AA6B-491FF2E020F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4D6-4DE7-AA6B-491FF2E020F2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4D6-4DE7-AA6B-491FF2E020F2}"/>
            </c:ext>
          </c:extLst>
        </c:ser>
        <c:ser>
          <c:idx val="25"/>
          <c:order val="17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14D6-4DE7-AA6B-491FF2E020F2}"/>
            </c:ext>
          </c:extLst>
        </c:ser>
        <c:ser>
          <c:idx val="26"/>
          <c:order val="18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14D6-4DE7-AA6B-491FF2E020F2}"/>
            </c:ext>
          </c:extLst>
        </c:ser>
        <c:ser>
          <c:idx val="28"/>
          <c:order val="19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4D6-4DE7-AA6B-491FF2E02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889312"/>
        <c:axId val="310889872"/>
      </c:scatterChart>
      <c:valAx>
        <c:axId val="31088931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889872"/>
        <c:crosses val="autoZero"/>
        <c:crossBetween val="midCat"/>
        <c:majorUnit val="1"/>
      </c:valAx>
      <c:valAx>
        <c:axId val="31088987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889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9"/>
          <c:w val="0.94796977526453763"/>
          <c:h val="0.77738578636805189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F7-4B3F-AD46-EE8D010B9AD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F7-4B3F-AD46-EE8D010B9AD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F7-4B3F-AD46-EE8D010B9AD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F7-4B3F-AD46-EE8D010B9AD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F7-4B3F-AD46-EE8D010B9AD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F7-4B3F-AD46-EE8D010B9AD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F7-4B3F-AD46-EE8D010B9AD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F7-4B3F-AD46-EE8D010B9AD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F7-4B3F-AD46-EE8D010B9AD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F7-4B3F-AD46-EE8D010B9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2.4839999999999995</c:v>
                </c:pt>
                <c:pt idx="5">
                  <c:v>1.8629999999999995</c:v>
                </c:pt>
                <c:pt idx="6">
                  <c:v>1.2419999999999998</c:v>
                </c:pt>
                <c:pt idx="7">
                  <c:v>0.62099999999999977</c:v>
                </c:pt>
                <c:pt idx="8">
                  <c:v>0</c:v>
                </c:pt>
                <c:pt idx="9">
                  <c:v>-0.621</c:v>
                </c:pt>
                <c:pt idx="10">
                  <c:v>-1.242</c:v>
                </c:pt>
                <c:pt idx="11">
                  <c:v>-1.863</c:v>
                </c:pt>
                <c:pt idx="12">
                  <c:v>-2.4839999999999995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F7-4B3F-AD46-EE8D010B9AD3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F7-4B3F-AD46-EE8D010B9AD3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F7-4B3F-AD46-EE8D010B9AD3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F7-4B3F-AD46-EE8D010B9AD3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DF7-4B3F-AD46-EE8D010B9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0736"/>
        <c:axId val="311291296"/>
      </c:scatterChart>
      <c:valAx>
        <c:axId val="31129073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1291296"/>
        <c:crosses val="autoZero"/>
        <c:crossBetween val="midCat"/>
        <c:majorUnit val="1"/>
      </c:valAx>
      <c:valAx>
        <c:axId val="3112912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0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"/>
          <c:w val="0.907424557108517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3F-452C-849B-9CE1479255B5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3F-452C-849B-9CE1479255B5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3F-452C-849B-9CE1479255B5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3F-452C-849B-9CE1479255B5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60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3F-452C-849B-9CE1479255B5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3F-452C-849B-9CE1479255B5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3F-452C-849B-9CE1479255B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3F-452C-849B-9CE1479255B5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3F-452C-849B-9CE1479255B5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3F-452C-849B-9CE1479255B5}"/>
            </c:ext>
          </c:extLst>
        </c:ser>
        <c:ser>
          <c:idx val="11"/>
          <c:order val="3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23F-452C-849B-9CE1479255B5}"/>
            </c:ext>
          </c:extLst>
        </c:ser>
        <c:ser>
          <c:idx val="1"/>
          <c:order val="4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-0.2</c:v>
                </c:pt>
                <c:pt idx="2">
                  <c:v>0.2</c:v>
                </c:pt>
                <c:pt idx="3">
                  <c:v>0</c:v>
                </c:pt>
              </c:numCache>
            </c:numRef>
          </c:xVal>
          <c:yVal>
            <c:numRef>
              <c:f>'C-Vincoli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23F-452C-849B-9CE1479255B5}"/>
            </c:ext>
          </c:extLst>
        </c:ser>
        <c:ser>
          <c:idx val="2"/>
          <c:order val="5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trave'!$D$2:$D$5</c:f>
              <c:numCache>
                <c:formatCode>0.00</c:formatCode>
                <c:ptCount val="4"/>
                <c:pt idx="0">
                  <c:v>1.2</c:v>
                </c:pt>
                <c:pt idx="1">
                  <c:v>1</c:v>
                </c:pt>
                <c:pt idx="2">
                  <c:v>1.4</c:v>
                </c:pt>
                <c:pt idx="3">
                  <c:v>1.2</c:v>
                </c:pt>
              </c:numCache>
            </c:numRef>
          </c:xVal>
          <c:yVal>
            <c:numRef>
              <c:f>'C-Vincoli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23F-452C-849B-9CE1479255B5}"/>
            </c:ext>
          </c:extLst>
        </c:ser>
        <c:ser>
          <c:idx val="4"/>
          <c:order val="6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23F-452C-849B-9CE1479255B5}"/>
            </c:ext>
          </c:extLst>
        </c:ser>
        <c:ser>
          <c:idx val="5"/>
          <c:order val="7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23F-452C-849B-9CE1479255B5}"/>
            </c:ext>
          </c:extLst>
        </c:ser>
        <c:ser>
          <c:idx val="10"/>
          <c:order val="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23F-452C-849B-9CE1479255B5}"/>
            </c:ext>
          </c:extLst>
        </c:ser>
        <c:ser>
          <c:idx val="12"/>
          <c:order val="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23F-452C-849B-9CE1479255B5}"/>
            </c:ext>
          </c:extLst>
        </c:ser>
        <c:ser>
          <c:idx val="13"/>
          <c:order val="1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23F-452C-849B-9CE1479255B5}"/>
            </c:ext>
          </c:extLst>
        </c:ser>
        <c:ser>
          <c:idx val="15"/>
          <c:order val="11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23F-452C-849B-9CE1479255B5}"/>
            </c:ext>
          </c:extLst>
        </c:ser>
        <c:ser>
          <c:idx val="16"/>
          <c:order val="12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23F-452C-849B-9CE1479255B5}"/>
            </c:ext>
          </c:extLst>
        </c:ser>
        <c:ser>
          <c:idx val="17"/>
          <c:order val="13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23F-452C-849B-9CE1479255B5}"/>
            </c:ext>
          </c:extLst>
        </c:ser>
        <c:ser>
          <c:idx val="19"/>
          <c:order val="1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23F-452C-849B-9CE1479255B5}"/>
            </c:ext>
          </c:extLst>
        </c:ser>
        <c:ser>
          <c:idx val="20"/>
          <c:order val="1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23F-452C-849B-9CE1479255B5}"/>
            </c:ext>
          </c:extLst>
        </c:ser>
        <c:ser>
          <c:idx val="21"/>
          <c:order val="1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23F-452C-849B-9CE1479255B5}"/>
            </c:ext>
          </c:extLst>
        </c:ser>
        <c:ser>
          <c:idx val="23"/>
          <c:order val="17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23F-452C-849B-9CE147925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57632"/>
        <c:axId val="311148656"/>
      </c:scatterChart>
      <c:valAx>
        <c:axId val="31105763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96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1148656"/>
        <c:crosses val="autoZero"/>
        <c:crossBetween val="midCat"/>
        <c:majorUnit val="1"/>
      </c:valAx>
      <c:valAx>
        <c:axId val="311148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0576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678590191602596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6-40AC-B8C7-2EEB1BA3B467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56-40AC-B8C7-2EEB1BA3B467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56-40AC-B8C7-2EEB1BA3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54816"/>
        <c:axId val="311155376"/>
      </c:scatterChart>
      <c:valAx>
        <c:axId val="3111548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155376"/>
        <c:crosses val="autoZero"/>
        <c:crossBetween val="midCat"/>
        <c:majorUnit val="1"/>
      </c:valAx>
      <c:valAx>
        <c:axId val="3111553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15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A-4709-A013-3E80C52A0B3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AA-4709-A013-3E80C52A0B3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AA-4709-A013-3E80C52A0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8928"/>
        <c:axId val="311299488"/>
      </c:scatterChart>
      <c:valAx>
        <c:axId val="31129892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299488"/>
        <c:crosses val="autoZero"/>
        <c:crossBetween val="midCat"/>
        <c:majorUnit val="1"/>
      </c:valAx>
      <c:valAx>
        <c:axId val="31129948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C-48F5-BAEB-237568A60D8E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AC-48F5-BAEB-237568A60D8E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AC-48F5-BAEB-237568A6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2848"/>
        <c:axId val="311303408"/>
      </c:scatterChart>
      <c:valAx>
        <c:axId val="31130284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3408"/>
        <c:crosses val="autoZero"/>
        <c:crossBetween val="midCat"/>
        <c:majorUnit val="1"/>
      </c:valAx>
      <c:valAx>
        <c:axId val="3113034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2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A-48F3-AF1C-5D54CFE239B7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EA-48F3-AF1C-5D54CFE239B7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EA-48F3-AF1C-5D54CFE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6768"/>
        <c:axId val="311307328"/>
      </c:scatterChart>
      <c:valAx>
        <c:axId val="31130676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7328"/>
        <c:crosses val="autoZero"/>
        <c:crossBetween val="midCat"/>
        <c:majorUnit val="1"/>
      </c:valAx>
      <c:valAx>
        <c:axId val="31130732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6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1-4E3C-ABEF-633E15E8A83A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1-4E3C-ABEF-633E15E8A83A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1-4E3C-ABEF-633E15E8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10688"/>
        <c:axId val="311311248"/>
      </c:scatterChart>
      <c:valAx>
        <c:axId val="31131068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11248"/>
        <c:crosses val="autoZero"/>
        <c:crossBetween val="midCat"/>
        <c:majorUnit val="1"/>
      </c:valAx>
      <c:valAx>
        <c:axId val="31131124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1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88E-2"/>
          <c:y val="9.9061975819114148E-2"/>
          <c:w val="0.948479879503909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'C-car.1'!$AE$47:$AE$77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5-4CC9-BF97-C32F60585FF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35-4CC9-BF97-C32F60585FF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35-4CC9-BF97-C32F60585FF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'C-car.1'!$AB$15:$AB$16</c:f>
              <c:numCache>
                <c:formatCode>0.00</c:formatCode>
                <c:ptCount val="2"/>
              </c:numCache>
            </c:numRef>
          </c:xVal>
          <c:yVal>
            <c:numRef>
              <c:f>'C-car.1'!$AC$15:$AC$16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435-4CC9-BF97-C32F60585FF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'C-car.1'!$AB$17:$AB$18</c:f>
              <c:numCache>
                <c:formatCode>0.00</c:formatCode>
                <c:ptCount val="2"/>
              </c:numCache>
            </c:numRef>
          </c:xVal>
          <c:yVal>
            <c:numRef>
              <c:f>'C-car.1'!$AC$17:$AC$18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35-4CC9-BF97-C32F60585FF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435-4CC9-BF97-C32F60585FF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'C-car.1'!$AB$19:$AB$20</c:f>
              <c:numCache>
                <c:formatCode>0.00</c:formatCode>
                <c:ptCount val="2"/>
              </c:numCache>
            </c:numRef>
          </c:xVal>
          <c:yVal>
            <c:numRef>
              <c:f>'C-car.1'!$AC$19:$AC$20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435-4CC9-BF97-C32F60585FF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435-4CC9-BF97-C32F60585FF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'C-car.1'!$AB$36:$AB$37</c:f>
              <c:numCache>
                <c:formatCode>0.00</c:formatCode>
                <c:ptCount val="2"/>
              </c:numCache>
            </c:numRef>
          </c:xVal>
          <c:yVal>
            <c:numRef>
              <c:f>'C-car.1'!$AC$36:$AC$37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435-4CC9-BF97-C32F60585FF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'C-car.1'!$AB$38:$AB$39</c:f>
              <c:numCache>
                <c:formatCode>0.00</c:formatCode>
                <c:ptCount val="2"/>
              </c:numCache>
            </c:numRef>
          </c:xVal>
          <c:yVal>
            <c:numRef>
              <c:f>'C-car.1'!$AC$38:$AC$39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35-4CC9-BF97-C32F60585FF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'C-car.1'!$AB$40:$AB$41</c:f>
              <c:numCache>
                <c:formatCode>0.00</c:formatCode>
                <c:ptCount val="2"/>
              </c:numCache>
            </c:numRef>
          </c:xVal>
          <c:yVal>
            <c:numRef>
              <c:f>'C-car.1'!$AC$40:$AC$41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35-4CC9-BF97-C32F60585F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1376624"/>
        <c:axId val="311377184"/>
      </c:scatterChart>
      <c:valAx>
        <c:axId val="31137662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1377184"/>
        <c:crosses val="autoZero"/>
        <c:crossBetween val="midCat"/>
        <c:majorUnit val="1"/>
      </c:valAx>
      <c:valAx>
        <c:axId val="31137718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766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7"/>
          <c:w val="0.94796977526453763"/>
          <c:h val="0.777385786368052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55-4739-84C1-7802D7505BC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55-4739-84C1-7802D7505BC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55-4739-84C1-7802D7505BC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55-4739-84C1-7802D7505BC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55-4739-84C1-7802D7505BC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55-4739-84C1-7802D7505BC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55-4739-84C1-7802D7505BC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55-4739-84C1-7802D7505BC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55-4739-84C1-7802D7505BC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55-4739-84C1-7802D7505B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'C-car.1'!$AF$47:$AF$86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55-4739-84C1-7802D7505BC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'C-car.1'!$U$44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55-4739-84C1-7802D7505BC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'C-car.1'!$U$45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'C-car.1'!$W$45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55-4739-84C1-7802D7505BC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'C-car.1'!$U$53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'C-car.1'!$W$53</c:f>
              <c:numCache>
                <c:formatCode>0.00</c:formatCode>
                <c:ptCount val="1"/>
                <c:pt idx="0">
                  <c:v>-2.4839999999999995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55-4739-84C1-7802D7505BC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55-4739-84C1-7802D7505BC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'C-car.1'!$U$62</c:f>
              <c:numCache>
                <c:formatCode>0.00</c:formatCode>
                <c:ptCount val="1"/>
              </c:numCache>
            </c:numRef>
          </c:xVal>
          <c:yVal>
            <c:numRef>
              <c:f>'C-car.1'!$W$62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55-4739-84C1-7802D7505BC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55-4739-84C1-7802D7505BC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'C-car.1'!$AD$77</c:f>
              <c:numCache>
                <c:formatCode>0.00</c:formatCode>
                <c:ptCount val="1"/>
              </c:numCache>
            </c:numRef>
          </c:xVal>
          <c:yVal>
            <c:numRef>
              <c:f>'C-car.1'!$AF$77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55-4739-84C1-7802D7505BC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55-4739-84C1-7802D7505BC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'C-car.1'!$AD$86</c:f>
              <c:numCache>
                <c:formatCode>0.00</c:formatCode>
                <c:ptCount val="1"/>
              </c:numCache>
            </c:numRef>
          </c:xVal>
          <c:yVal>
            <c:numRef>
              <c:f>'C-car.1'!$AF$86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55-4739-84C1-7802D7505BC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'C-car.1'!$U$54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55-4739-84C1-7802D750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09040"/>
        <c:axId val="312209600"/>
      </c:scatterChart>
      <c:valAx>
        <c:axId val="3122090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2209600"/>
        <c:crosses val="autoZero"/>
        <c:crossBetween val="midCat"/>
        <c:majorUnit val="1"/>
      </c:valAx>
      <c:valAx>
        <c:axId val="3122096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209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F-4462-B1FC-E798BBCB5F9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EF-4462-B1FC-E798BBCB5F9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EF-4462-B1FC-E798BBCB5F9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'C-car.1'!$S$30:$S$31</c:f>
              <c:numCache>
                <c:formatCode>0.00</c:formatCode>
                <c:ptCount val="2"/>
              </c:numCache>
            </c:numRef>
          </c:xVal>
          <c:yVal>
            <c:numRef>
              <c:f>'C-car.1'!$T$30:$T$31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EF-4462-B1FC-E798BBCB5F9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EF-4462-B1FC-E798BBCB5F9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EF-4462-B1FC-E798BBCB5F9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EF-4462-B1FC-E798BBCB5F9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EF-4462-B1FC-E798BBCB5F9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'C-car.1'!$M$31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'C-car.1'!$N$31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EF-4462-B1FC-E798BBCB5F9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'C-car.1'!$P$31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'C-car.1'!$Q$31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EF-4462-B1FC-E798BBCB5F9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'C-car.1'!$S$31</c:f>
              <c:numCache>
                <c:formatCode>0.00</c:formatCode>
                <c:ptCount val="1"/>
              </c:numCache>
            </c:numRef>
          </c:xVal>
          <c:yVal>
            <c:numRef>
              <c:f>'C-car.1'!$T$31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EF-4462-B1FC-E798BBCB5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2400"/>
        <c:axId val="312782960"/>
      </c:scatterChart>
      <c:valAx>
        <c:axId val="3127824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2782960"/>
        <c:crosses val="autoZero"/>
        <c:crossBetween val="midCat"/>
        <c:majorUnit val="1"/>
      </c:valAx>
      <c:valAx>
        <c:axId val="312782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82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9E-2"/>
          <c:y val="9.9061975819114148E-2"/>
          <c:w val="0.948479879503909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'C-car.2'!$AE$47:$AE$77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C-4463-A959-F1B00B33E38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C-4463-A959-F1B00B33E38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9C-4463-A959-F1B00B33E38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'C-car.2'!$AB$15:$AB$16</c:f>
              <c:numCache>
                <c:formatCode>0.00</c:formatCode>
                <c:ptCount val="2"/>
              </c:numCache>
            </c:numRef>
          </c:xVal>
          <c:yVal>
            <c:numRef>
              <c:f>'C-car.2'!$AC$15:$AC$16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C9C-4463-A959-F1B00B33E38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'C-car.2'!$AB$17:$AB$18</c:f>
              <c:numCache>
                <c:formatCode>0.00</c:formatCode>
                <c:ptCount val="2"/>
              </c:numCache>
            </c:numRef>
          </c:xVal>
          <c:yVal>
            <c:numRef>
              <c:f>'C-car.2'!$AC$17:$AC$18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C9C-4463-A959-F1B00B33E38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C9C-4463-A959-F1B00B33E3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'C-car.2'!$AB$19:$AB$20</c:f>
              <c:numCache>
                <c:formatCode>0.00</c:formatCode>
                <c:ptCount val="2"/>
              </c:numCache>
            </c:numRef>
          </c:xVal>
          <c:yVal>
            <c:numRef>
              <c:f>'C-car.2'!$AC$19:$AC$20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C9C-4463-A959-F1B00B33E38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C9C-4463-A959-F1B00B33E38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'C-car.2'!$AB$36:$AB$37</c:f>
              <c:numCache>
                <c:formatCode>0.00</c:formatCode>
                <c:ptCount val="2"/>
              </c:numCache>
            </c:numRef>
          </c:xVal>
          <c:yVal>
            <c:numRef>
              <c:f>'C-car.2'!$AC$36:$AC$37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C9C-4463-A959-F1B00B33E38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'C-car.2'!$AB$38:$AB$39</c:f>
              <c:numCache>
                <c:formatCode>0.00</c:formatCode>
                <c:ptCount val="2"/>
              </c:numCache>
            </c:numRef>
          </c:xVal>
          <c:yVal>
            <c:numRef>
              <c:f>'C-car.2'!$AC$38:$AC$39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C9C-4463-A959-F1B00B33E38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'C-car.2'!$AB$40:$AB$41</c:f>
              <c:numCache>
                <c:formatCode>0.00</c:formatCode>
                <c:ptCount val="2"/>
              </c:numCache>
            </c:numRef>
          </c:xVal>
          <c:yVal>
            <c:numRef>
              <c:f>'C-car.2'!$AC$40:$AC$41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C9C-4463-A959-F1B00B33E3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2790800"/>
        <c:axId val="312791360"/>
      </c:scatterChart>
      <c:valAx>
        <c:axId val="3127908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7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2791360"/>
        <c:crosses val="autoZero"/>
        <c:crossBetween val="midCat"/>
        <c:majorUnit val="1"/>
      </c:valAx>
      <c:valAx>
        <c:axId val="3127913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90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5"/>
          <c:w val="0.94796977526453763"/>
          <c:h val="0.77738578636805233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71-452B-892B-1425869D11D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71-452B-892B-1425869D11D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71-452B-892B-1425869D11D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71-452B-892B-1425869D11D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71-452B-892B-1425869D11D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71-452B-892B-1425869D11D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71-452B-892B-1425869D11D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71-452B-892B-1425869D11D7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71-452B-892B-1425869D11D7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71-452B-892B-1425869D11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'C-car.2'!$AF$47:$AF$86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71-452B-892B-1425869D11D7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'C-car.2'!$U$44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71-452B-892B-1425869D11D7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'C-car.2'!$U$45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71-452B-892B-1425869D11D7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'C-car.2'!$U$53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71-452B-892B-1425869D11D7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71-452B-892B-1425869D11D7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'C-car.2'!$U$62</c:f>
              <c:numCache>
                <c:formatCode>0.00</c:formatCode>
                <c:ptCount val="1"/>
              </c:numCache>
            </c:numRef>
          </c:xVal>
          <c:yVal>
            <c:numRef>
              <c:f>'C-car.2'!$W$62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71-452B-892B-1425869D11D7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71-452B-892B-1425869D11D7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'C-car.2'!$AD$77</c:f>
              <c:numCache>
                <c:formatCode>0.00</c:formatCode>
                <c:ptCount val="1"/>
              </c:numCache>
            </c:numRef>
          </c:xVal>
          <c:yVal>
            <c:numRef>
              <c:f>'C-car.2'!$AF$77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71-452B-892B-1425869D11D7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71-452B-892B-1425869D11D7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'C-car.2'!$AD$86</c:f>
              <c:numCache>
                <c:formatCode>0.00</c:formatCode>
                <c:ptCount val="1"/>
              </c:numCache>
            </c:numRef>
          </c:xVal>
          <c:yVal>
            <c:numRef>
              <c:f>'C-car.2'!$AF$86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71-452B-892B-1425869D11D7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'C-car.2'!$U$54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71-452B-892B-1425869D1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1008"/>
        <c:axId val="313271568"/>
      </c:scatterChart>
      <c:valAx>
        <c:axId val="31327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3271568"/>
        <c:crosses val="autoZero"/>
        <c:crossBetween val="midCat"/>
        <c:majorUnit val="1"/>
      </c:valAx>
      <c:valAx>
        <c:axId val="31327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8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'C-car.2'!$AC$48:$AC$54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8F-49BE-994B-7244ABE005D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8F-49BE-994B-7244ABE005D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8F-49BE-994B-7244ABE005D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'C-car.2'!$S$30:$S$31</c:f>
              <c:numCache>
                <c:formatCode>0.00</c:formatCode>
                <c:ptCount val="2"/>
              </c:numCache>
            </c:numRef>
          </c:xVal>
          <c:yVal>
            <c:numRef>
              <c:f>'C-car.2'!$T$30:$T$31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8F-49BE-994B-7244ABE005D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8F-49BE-994B-7244ABE005D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8F-49BE-994B-7244ABE005D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8F-49BE-994B-7244ABE005D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8F-49BE-994B-7244ABE005D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'C-car.2'!$M$31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8F-49BE-994B-7244ABE005D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'C-car.2'!$P$31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8F-49BE-994B-7244ABE005D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'C-car.2'!$S$31</c:f>
              <c:numCache>
                <c:formatCode>0.00</c:formatCode>
                <c:ptCount val="1"/>
              </c:numCache>
            </c:numRef>
          </c:xVal>
          <c:yVal>
            <c:numRef>
              <c:f>'C-car.2'!$T$31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8F-49BE-994B-7244ABE00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9968"/>
        <c:axId val="313280528"/>
      </c:scatterChart>
      <c:valAx>
        <c:axId val="313279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280528"/>
        <c:crosses val="autoZero"/>
        <c:crossBetween val="midCat"/>
        <c:majorUnit val="1"/>
      </c:valAx>
      <c:valAx>
        <c:axId val="313280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9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26E-2"/>
          <c:y val="9.9061975819114148E-2"/>
          <c:w val="0.948479879503910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'C-car.3'!$AE$47:$AE$77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F-4516-B393-5A1E8AC25F3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F-4516-B393-5A1E8AC25F3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F-4516-B393-5A1E8AC25F3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'C-car.3'!$AB$15:$AB$16</c:f>
              <c:numCache>
                <c:formatCode>0.00</c:formatCode>
                <c:ptCount val="2"/>
              </c:numCache>
            </c:numRef>
          </c:xVal>
          <c:yVal>
            <c:numRef>
              <c:f>'C-car.3'!$AC$15:$AC$16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F-4516-B393-5A1E8AC25F3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'C-car.3'!$AB$17:$AB$18</c:f>
              <c:numCache>
                <c:formatCode>0.00</c:formatCode>
                <c:ptCount val="2"/>
              </c:numCache>
            </c:numRef>
          </c:xVal>
          <c:yVal>
            <c:numRef>
              <c:f>'C-car.3'!$AC$17:$AC$18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CF-4516-B393-5A1E8AC25F3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ACF-4516-B393-5A1E8AC25F3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'C-car.3'!$AB$19:$AB$20</c:f>
              <c:numCache>
                <c:formatCode>0.00</c:formatCode>
                <c:ptCount val="2"/>
              </c:numCache>
            </c:numRef>
          </c:xVal>
          <c:yVal>
            <c:numRef>
              <c:f>'C-car.3'!$AC$19:$AC$20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CF-4516-B393-5A1E8AC25F3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F-4516-B393-5A1E8AC25F3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'C-car.3'!$AB$36:$AB$37</c:f>
              <c:numCache>
                <c:formatCode>0.00</c:formatCode>
                <c:ptCount val="2"/>
              </c:numCache>
            </c:numRef>
          </c:xVal>
          <c:yVal>
            <c:numRef>
              <c:f>'C-car.3'!$AC$36:$AC$37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ACF-4516-B393-5A1E8AC25F3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'C-car.3'!$AB$38:$AB$39</c:f>
              <c:numCache>
                <c:formatCode>0.00</c:formatCode>
                <c:ptCount val="2"/>
              </c:numCache>
            </c:numRef>
          </c:xVal>
          <c:yVal>
            <c:numRef>
              <c:f>'C-car.3'!$AC$38:$AC$39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ACF-4516-B393-5A1E8AC25F3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'C-car.3'!$AB$40:$AB$41</c:f>
              <c:numCache>
                <c:formatCode>0.00</c:formatCode>
                <c:ptCount val="2"/>
              </c:numCache>
            </c:numRef>
          </c:xVal>
          <c:yVal>
            <c:numRef>
              <c:f>'C-car.3'!$AC$40:$AC$41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ACF-4516-B393-5A1E8AC25F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693744"/>
        <c:axId val="310694304"/>
      </c:scatterChart>
      <c:valAx>
        <c:axId val="3106937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694304"/>
        <c:crosses val="autoZero"/>
        <c:crossBetween val="midCat"/>
        <c:majorUnit val="1"/>
      </c:valAx>
      <c:valAx>
        <c:axId val="3106943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693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1"/>
          <c:w val="0.94796977526453763"/>
          <c:h val="0.77738578636805256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A7-49BE-AF20-55107BDF85A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A7-49BE-AF20-55107BDF85A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A7-49BE-AF20-55107BDF85A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A7-49BE-AF20-55107BDF85A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A7-49BE-AF20-55107BDF85A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FA7-49BE-AF20-55107BDF85A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A7-49BE-AF20-55107BDF85A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A7-49BE-AF20-55107BDF85A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A7-49BE-AF20-55107BDF85A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FA7-49BE-AF20-55107BDF85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'C-car.3'!$AF$47:$AF$86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FA7-49BE-AF20-55107BDF85A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'C-car.3'!$U$44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FA7-49BE-AF20-55107BDF85A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'C-car.3'!$U$45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FA7-49BE-AF20-55107BDF85A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'C-car.3'!$U$53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FA7-49BE-AF20-55107BDF85A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FA7-49BE-AF20-55107BDF85A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'C-car.3'!$U$62</c:f>
              <c:numCache>
                <c:formatCode>0.00</c:formatCode>
                <c:ptCount val="1"/>
              </c:numCache>
            </c:numRef>
          </c:xVal>
          <c:yVal>
            <c:numRef>
              <c:f>'C-car.3'!$W$62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FA7-49BE-AF20-55107BDF85A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FA7-49BE-AF20-55107BDF85A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'C-car.3'!$AD$77</c:f>
              <c:numCache>
                <c:formatCode>0.00</c:formatCode>
                <c:ptCount val="1"/>
              </c:numCache>
            </c:numRef>
          </c:xVal>
          <c:yVal>
            <c:numRef>
              <c:f>'C-car.3'!$AF$77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FA7-49BE-AF20-55107BDF85A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FA7-49BE-AF20-55107BDF85A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'C-car.3'!$AD$86</c:f>
              <c:numCache>
                <c:formatCode>0.00</c:formatCode>
                <c:ptCount val="1"/>
              </c:numCache>
            </c:numRef>
          </c:xVal>
          <c:yVal>
            <c:numRef>
              <c:f>'C-car.3'!$AF$86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FA7-49BE-AF20-55107BDF85A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'C-car.3'!$U$54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FA7-49BE-AF20-55107BDF8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2704"/>
        <c:axId val="310703264"/>
      </c:scatterChart>
      <c:valAx>
        <c:axId val="3107027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6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0703264"/>
        <c:crosses val="autoZero"/>
        <c:crossBetween val="midCat"/>
        <c:majorUnit val="1"/>
      </c:valAx>
      <c:valAx>
        <c:axId val="3107032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702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'C-car.3'!$AC$48:$AC$54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C-467A-B4B8-1BFC33B1C128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8C-467A-B4B8-1BFC33B1C128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8C-467A-B4B8-1BFC33B1C128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'C-car.3'!$S$30:$S$31</c:f>
              <c:numCache>
                <c:formatCode>0.00</c:formatCode>
                <c:ptCount val="2"/>
              </c:numCache>
            </c:numRef>
          </c:xVal>
          <c:yVal>
            <c:numRef>
              <c:f>'C-car.3'!$T$30:$T$31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8C-467A-B4B8-1BFC33B1C128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C-467A-B4B8-1BFC33B1C128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48C-467A-B4B8-1BFC33B1C128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48C-467A-B4B8-1BFC33B1C128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48C-467A-B4B8-1BFC33B1C128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'C-car.3'!$M$31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48C-467A-B4B8-1BFC33B1C128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'C-car.3'!$P$31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C-467A-B4B8-1BFC33B1C128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'C-car.3'!$S$31</c:f>
              <c:numCache>
                <c:formatCode>0.00</c:formatCode>
                <c:ptCount val="1"/>
              </c:numCache>
            </c:numRef>
          </c:xVal>
          <c:yVal>
            <c:numRef>
              <c:f>'C-car.3'!$T$31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48C-467A-B4B8-1BFC33B1C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25360"/>
        <c:axId val="313925920"/>
      </c:scatterChart>
      <c:valAx>
        <c:axId val="313925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925920"/>
        <c:crosses val="autoZero"/>
        <c:crossBetween val="midCat"/>
        <c:majorUnit val="1"/>
      </c:valAx>
      <c:valAx>
        <c:axId val="313925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25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51E-2"/>
          <c:y val="9.9061975819114148E-2"/>
          <c:w val="0.948479879503910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'C-car.4'!$AE$47:$AE$77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9-4230-9414-BD9667E99CA6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29-4230-9414-BD9667E99CA6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29-4230-9414-BD9667E99CA6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'C-car.4'!$AB$15:$AB$16</c:f>
              <c:numCache>
                <c:formatCode>0.00</c:formatCode>
                <c:ptCount val="2"/>
              </c:numCache>
            </c:numRef>
          </c:xVal>
          <c:yVal>
            <c:numRef>
              <c:f>'C-car.4'!$AC$15:$AC$16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B29-4230-9414-BD9667E99CA6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'C-car.4'!$AB$17:$AB$18</c:f>
              <c:numCache>
                <c:formatCode>0.00</c:formatCode>
                <c:ptCount val="2"/>
              </c:numCache>
            </c:numRef>
          </c:xVal>
          <c:yVal>
            <c:numRef>
              <c:f>'C-car.4'!$AC$17:$AC$18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B29-4230-9414-BD9667E99CA6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B29-4230-9414-BD9667E99CA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'C-car.4'!$AB$19:$AB$20</c:f>
              <c:numCache>
                <c:formatCode>0.00</c:formatCode>
                <c:ptCount val="2"/>
              </c:numCache>
            </c:numRef>
          </c:xVal>
          <c:yVal>
            <c:numRef>
              <c:f>'C-car.4'!$AC$19:$AC$20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B29-4230-9414-BD9667E99CA6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B29-4230-9414-BD9667E99CA6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'C-car.4'!$AB$36:$AB$37</c:f>
              <c:numCache>
                <c:formatCode>0.00</c:formatCode>
                <c:ptCount val="2"/>
              </c:numCache>
            </c:numRef>
          </c:xVal>
          <c:yVal>
            <c:numRef>
              <c:f>'C-car.4'!$AC$36:$AC$37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B29-4230-9414-BD9667E99CA6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'C-car.4'!$AB$38:$AB$39</c:f>
              <c:numCache>
                <c:formatCode>0.00</c:formatCode>
                <c:ptCount val="2"/>
              </c:numCache>
            </c:numRef>
          </c:xVal>
          <c:yVal>
            <c:numRef>
              <c:f>'C-car.4'!$AC$38:$AC$39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B29-4230-9414-BD9667E99CA6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'C-car.4'!$AB$40:$AB$41</c:f>
              <c:numCache>
                <c:formatCode>0.00</c:formatCode>
                <c:ptCount val="2"/>
              </c:numCache>
            </c:numRef>
          </c:xVal>
          <c:yVal>
            <c:numRef>
              <c:f>'C-car.4'!$AC$40:$AC$41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B29-4230-9414-BD9667E99C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3933760"/>
        <c:axId val="313934320"/>
      </c:scatterChart>
      <c:valAx>
        <c:axId val="3139337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3934320"/>
        <c:crosses val="autoZero"/>
        <c:crossBetween val="midCat"/>
        <c:majorUnit val="1"/>
      </c:valAx>
      <c:valAx>
        <c:axId val="3139343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33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7"/>
          <c:w val="0.94796977526453763"/>
          <c:h val="0.77738578636805289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F2-419C-9234-E3BD33B2394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F2-419C-9234-E3BD33B2394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F2-419C-9234-E3BD33B2394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F2-419C-9234-E3BD33B2394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F2-419C-9234-E3BD33B2394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F2-419C-9234-E3BD33B2394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F2-419C-9234-E3BD33B2394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F2-419C-9234-E3BD33B2394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F2-419C-9234-E3BD33B2394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F2-419C-9234-E3BD33B2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'C-car.4'!$AF$47:$AF$86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EF2-419C-9234-E3BD33B2394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'C-car.4'!$U$44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EF2-419C-9234-E3BD33B2394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'C-car.4'!$U$45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EF2-419C-9234-E3BD33B2394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'C-car.4'!$U$53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EF2-419C-9234-E3BD33B2394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EF2-419C-9234-E3BD33B2394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'C-car.4'!$U$62</c:f>
              <c:numCache>
                <c:formatCode>0.00</c:formatCode>
                <c:ptCount val="1"/>
              </c:numCache>
            </c:numRef>
          </c:xVal>
          <c:yVal>
            <c:numRef>
              <c:f>'C-car.4'!$W$62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EF2-419C-9234-E3BD33B2394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EF2-419C-9234-E3BD33B2394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'C-car.4'!$AD$77</c:f>
              <c:numCache>
                <c:formatCode>0.00</c:formatCode>
                <c:ptCount val="1"/>
              </c:numCache>
            </c:numRef>
          </c:xVal>
          <c:yVal>
            <c:numRef>
              <c:f>'C-car.4'!$AF$77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EF2-419C-9234-E3BD33B2394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EF2-419C-9234-E3BD33B2394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'C-car.4'!$AD$86</c:f>
              <c:numCache>
                <c:formatCode>0.00</c:formatCode>
                <c:ptCount val="1"/>
              </c:numCache>
            </c:numRef>
          </c:xVal>
          <c:yVal>
            <c:numRef>
              <c:f>'C-car.4'!$AF$86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EF2-419C-9234-E3BD33B2394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'C-car.4'!$U$54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EF2-419C-9234-E3BD33B23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61344"/>
        <c:axId val="314261904"/>
      </c:scatterChart>
      <c:valAx>
        <c:axId val="31426134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4261904"/>
        <c:crosses val="autoZero"/>
        <c:crossBetween val="midCat"/>
        <c:majorUnit val="1"/>
      </c:valAx>
      <c:valAx>
        <c:axId val="31426190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6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'C-car.4'!$AC$48:$AC$54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2-4D6C-95D9-A8F33E22536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62-4D6C-95D9-A8F33E22536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62-4D6C-95D9-A8F33E22536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'C-car.4'!$S$30:$S$31</c:f>
              <c:numCache>
                <c:formatCode>0.00</c:formatCode>
                <c:ptCount val="2"/>
              </c:numCache>
            </c:numRef>
          </c:xVal>
          <c:yVal>
            <c:numRef>
              <c:f>'C-car.4'!$T$30:$T$31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62-4D6C-95D9-A8F33E22536E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562-4D6C-95D9-A8F33E22536E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562-4D6C-95D9-A8F33E22536E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62-4D6C-95D9-A8F33E22536E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562-4D6C-95D9-A8F33E22536E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'C-car.4'!$M$31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562-4D6C-95D9-A8F33E22536E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'C-car.4'!$P$31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562-4D6C-95D9-A8F33E22536E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'C-car.4'!$S$31</c:f>
              <c:numCache>
                <c:formatCode>0.00</c:formatCode>
                <c:ptCount val="1"/>
              </c:numCache>
            </c:numRef>
          </c:xVal>
          <c:yVal>
            <c:numRef>
              <c:f>'C-car.4'!$T$31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562-4D6C-95D9-A8F33E22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70304"/>
        <c:axId val="314270864"/>
      </c:scatterChart>
      <c:valAx>
        <c:axId val="314270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4270864"/>
        <c:crosses val="autoZero"/>
        <c:crossBetween val="midCat"/>
        <c:majorUnit val="1"/>
      </c:valAx>
      <c:valAx>
        <c:axId val="314270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7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68E-2"/>
          <c:y val="9.9061975819114148E-2"/>
          <c:w val="0.948479879503910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'C-car.5'!$AE$47:$AE$77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3-4CFE-BB7C-DF579C3F0174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23-4CFE-BB7C-DF579C3F0174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23-4CFE-BB7C-DF579C3F0174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'C-car.5'!$AB$15:$AB$16</c:f>
              <c:numCache>
                <c:formatCode>0.00</c:formatCode>
                <c:ptCount val="2"/>
              </c:numCache>
            </c:numRef>
          </c:xVal>
          <c:yVal>
            <c:numRef>
              <c:f>'C-car.5'!$AC$15:$AC$16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23-4CFE-BB7C-DF579C3F0174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'C-car.5'!$AB$17:$AB$18</c:f>
              <c:numCache>
                <c:formatCode>0.00</c:formatCode>
                <c:ptCount val="2"/>
              </c:numCache>
            </c:numRef>
          </c:xVal>
          <c:yVal>
            <c:numRef>
              <c:f>'C-car.5'!$AC$17:$AC$18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323-4CFE-BB7C-DF579C3F0174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E323-4CFE-BB7C-DF579C3F017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'C-car.5'!$AB$19:$AB$20</c:f>
              <c:numCache>
                <c:formatCode>0.00</c:formatCode>
                <c:ptCount val="2"/>
              </c:numCache>
            </c:numRef>
          </c:xVal>
          <c:yVal>
            <c:numRef>
              <c:f>'C-car.5'!$AC$19:$AC$20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323-4CFE-BB7C-DF579C3F0174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323-4CFE-BB7C-DF579C3F0174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'C-car.5'!$AB$36:$AB$37</c:f>
              <c:numCache>
                <c:formatCode>0.00</c:formatCode>
                <c:ptCount val="2"/>
              </c:numCache>
            </c:numRef>
          </c:xVal>
          <c:yVal>
            <c:numRef>
              <c:f>'C-car.5'!$AC$36:$AC$37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323-4CFE-BB7C-DF579C3F0174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'C-car.5'!$AB$38:$AB$39</c:f>
              <c:numCache>
                <c:formatCode>0.00</c:formatCode>
                <c:ptCount val="2"/>
              </c:numCache>
            </c:numRef>
          </c:xVal>
          <c:yVal>
            <c:numRef>
              <c:f>'C-car.5'!$AC$38:$AC$39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323-4CFE-BB7C-DF579C3F0174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'C-car.5'!$AB$40:$AB$41</c:f>
              <c:numCache>
                <c:formatCode>0.00</c:formatCode>
                <c:ptCount val="2"/>
              </c:numCache>
            </c:numRef>
          </c:xVal>
          <c:yVal>
            <c:numRef>
              <c:f>'C-car.5'!$AC$40:$AC$41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323-4CFE-BB7C-DF579C3F0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245792"/>
        <c:axId val="315246352"/>
      </c:scatterChart>
      <c:valAx>
        <c:axId val="31524579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246352"/>
        <c:crosses val="autoZero"/>
        <c:crossBetween val="midCat"/>
        <c:majorUnit val="1"/>
      </c:valAx>
      <c:valAx>
        <c:axId val="31524635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4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45"/>
          <c:w val="0.94796977526453763"/>
          <c:h val="0.777385786368053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A-439C-AA62-34466D204A2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FA-439C-AA62-34466D204A2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A-439C-AA62-34466D204A2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A-439C-AA62-34466D204A2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A-439C-AA62-34466D204A2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FA-439C-AA62-34466D204A2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A-439C-AA62-34466D204A2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A-439C-AA62-34466D204A2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A-439C-AA62-34466D204A2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FA-439C-AA62-34466D204A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'C-car.5'!$AF$47:$AF$86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0FA-439C-AA62-34466D204A2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'C-car.5'!$U$44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0FA-439C-AA62-34466D204A2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'C-car.5'!$U$45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0FA-439C-AA62-34466D204A2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'C-car.5'!$U$53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0FA-439C-AA62-34466D204A2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0FA-439C-AA62-34466D204A2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'C-car.5'!$U$62</c:f>
              <c:numCache>
                <c:formatCode>0.00</c:formatCode>
                <c:ptCount val="1"/>
              </c:numCache>
            </c:numRef>
          </c:xVal>
          <c:yVal>
            <c:numRef>
              <c:f>'C-car.5'!$W$62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0FA-439C-AA62-34466D204A2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0FA-439C-AA62-34466D204A2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'C-car.5'!$AD$77</c:f>
              <c:numCache>
                <c:formatCode>0.00</c:formatCode>
                <c:ptCount val="1"/>
              </c:numCache>
            </c:numRef>
          </c:xVal>
          <c:yVal>
            <c:numRef>
              <c:f>'C-car.5'!$AF$77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0FA-439C-AA62-34466D204A2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0FA-439C-AA62-34466D204A2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'C-car.5'!$AD$86</c:f>
              <c:numCache>
                <c:formatCode>0.00</c:formatCode>
                <c:ptCount val="1"/>
              </c:numCache>
            </c:numRef>
          </c:xVal>
          <c:yVal>
            <c:numRef>
              <c:f>'C-car.5'!$AF$86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0FA-439C-AA62-34466D204A2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'C-car.5'!$U$54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0FA-439C-AA62-34466D20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54752"/>
        <c:axId val="315604976"/>
      </c:scatterChart>
      <c:valAx>
        <c:axId val="315254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9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5604976"/>
        <c:crosses val="autoZero"/>
        <c:crossBetween val="midCat"/>
        <c:majorUnit val="1"/>
      </c:valAx>
      <c:valAx>
        <c:axId val="3156049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54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'C-car.5'!$AC$48:$AC$54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7A-4B9C-8643-F6C719C73A40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7A-4B9C-8643-F6C719C73A40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7A-4B9C-8643-F6C719C73A40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'C-car.5'!$S$30:$S$31</c:f>
              <c:numCache>
                <c:formatCode>0.00</c:formatCode>
                <c:ptCount val="2"/>
              </c:numCache>
            </c:numRef>
          </c:xVal>
          <c:yVal>
            <c:numRef>
              <c:f>'C-car.5'!$T$30:$T$31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7A-4B9C-8643-F6C719C73A40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7A-4B9C-8643-F6C719C73A40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47A-4B9C-8643-F6C719C73A40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7A-4B9C-8643-F6C719C73A40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47A-4B9C-8643-F6C719C73A40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'C-car.5'!$M$31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47A-4B9C-8643-F6C719C73A40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'C-car.5'!$P$31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47A-4B9C-8643-F6C719C73A40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'C-car.5'!$S$31</c:f>
              <c:numCache>
                <c:formatCode>0.00</c:formatCode>
                <c:ptCount val="1"/>
              </c:numCache>
            </c:numRef>
          </c:xVal>
          <c:yVal>
            <c:numRef>
              <c:f>'C-car.5'!$T$31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47A-4B9C-8643-F6C719C7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13376"/>
        <c:axId val="315613936"/>
      </c:scatterChart>
      <c:valAx>
        <c:axId val="315613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3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5613936"/>
        <c:crosses val="autoZero"/>
        <c:crossBetween val="midCat"/>
        <c:majorUnit val="1"/>
      </c:valAx>
      <c:valAx>
        <c:axId val="315613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13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6-4C8B-AFA1-1B5A534D475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A6-4C8B-AFA1-1B5A534D475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A6-4C8B-AFA1-1B5A534D475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A6-4C8B-AFA1-1B5A534D4751}"/>
            </c:ext>
          </c:extLst>
        </c:ser>
        <c:ser>
          <c:idx val="10"/>
          <c:order val="4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A6-4C8B-AFA1-1B5A534D4751}"/>
            </c:ext>
          </c:extLst>
        </c:ser>
        <c:ser>
          <c:idx val="11"/>
          <c:order val="5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8A6-4C8B-AFA1-1B5A534D4751}"/>
            </c:ext>
          </c:extLst>
        </c:ser>
        <c:ser>
          <c:idx val="4"/>
          <c:order val="6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8A6-4C8B-AFA1-1B5A534D4751}"/>
            </c:ext>
          </c:extLst>
        </c:ser>
        <c:ser>
          <c:idx val="5"/>
          <c:order val="7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8A6-4C8B-AFA1-1B5A534D4751}"/>
            </c:ext>
          </c:extLst>
        </c:ser>
        <c:ser>
          <c:idx val="6"/>
          <c:order val="8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68A6-4C8B-AFA1-1B5A534D4751}"/>
            </c:ext>
          </c:extLst>
        </c:ser>
        <c:ser>
          <c:idx val="7"/>
          <c:order val="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8A6-4C8B-AFA1-1B5A534D4751}"/>
            </c:ext>
          </c:extLst>
        </c:ser>
        <c:ser>
          <c:idx val="8"/>
          <c:order val="10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8A6-4C8B-AFA1-1B5A534D4751}"/>
            </c:ext>
          </c:extLst>
        </c:ser>
        <c:ser>
          <c:idx val="9"/>
          <c:order val="11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68A6-4C8B-AFA1-1B5A534D4751}"/>
            </c:ext>
          </c:extLst>
        </c:ser>
        <c:ser>
          <c:idx val="12"/>
          <c:order val="12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68A6-4C8B-AFA1-1B5A534D4751}"/>
            </c:ext>
          </c:extLst>
        </c:ser>
        <c:ser>
          <c:idx val="13"/>
          <c:order val="13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8A6-4C8B-AFA1-1B5A534D4751}"/>
            </c:ext>
          </c:extLst>
        </c:ser>
        <c:ser>
          <c:idx val="14"/>
          <c:order val="14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68A6-4C8B-AFA1-1B5A534D4751}"/>
            </c:ext>
          </c:extLst>
        </c:ser>
        <c:ser>
          <c:idx val="15"/>
          <c:order val="15"/>
          <c:tx>
            <c:v>3-app.3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8A6-4C8B-AFA1-1B5A534D4751}"/>
            </c:ext>
          </c:extLst>
        </c:ser>
        <c:ser>
          <c:idx val="16"/>
          <c:order val="16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68A6-4C8B-AFA1-1B5A534D4751}"/>
            </c:ext>
          </c:extLst>
        </c:ser>
        <c:ser>
          <c:idx val="17"/>
          <c:order val="17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68A6-4C8B-AFA1-1B5A534D4751}"/>
            </c:ext>
          </c:extLst>
        </c:ser>
        <c:ser>
          <c:idx val="18"/>
          <c:order val="18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68A6-4C8B-AFA1-1B5A534D4751}"/>
            </c:ext>
          </c:extLst>
        </c:ser>
        <c:ser>
          <c:idx val="19"/>
          <c:order val="19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8A6-4C8B-AFA1-1B5A534D4751}"/>
            </c:ext>
          </c:extLst>
        </c:ser>
        <c:ser>
          <c:idx val="20"/>
          <c:order val="20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68A6-4C8B-AFA1-1B5A534D4751}"/>
            </c:ext>
          </c:extLst>
        </c:ser>
        <c:ser>
          <c:idx val="21"/>
          <c:order val="21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68A6-4C8B-AFA1-1B5A534D4751}"/>
            </c:ext>
          </c:extLst>
        </c:ser>
        <c:ser>
          <c:idx val="22"/>
          <c:order val="22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68A6-4C8B-AFA1-1B5A534D4751}"/>
            </c:ext>
          </c:extLst>
        </c:ser>
        <c:ser>
          <c:idx val="23"/>
          <c:order val="23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68A6-4C8B-AFA1-1B5A534D4751}"/>
            </c:ext>
          </c:extLst>
        </c:ser>
        <c:ser>
          <c:idx val="24"/>
          <c:order val="24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A6-4C8B-AFA1-1B5A534D475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A6-4C8B-AFA1-1B5A534D4751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68A6-4C8B-AFA1-1B5A534D4751}"/>
            </c:ext>
          </c:extLst>
        </c:ser>
        <c:ser>
          <c:idx val="25"/>
          <c:order val="25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68A6-4C8B-AFA1-1B5A534D4751}"/>
            </c:ext>
          </c:extLst>
        </c:ser>
        <c:ser>
          <c:idx val="26"/>
          <c:order val="26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68A6-4C8B-AFA1-1B5A534D4751}"/>
            </c:ext>
          </c:extLst>
        </c:ser>
        <c:ser>
          <c:idx val="27"/>
          <c:order val="27"/>
          <c:tx>
            <c:v>5-app.3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8A6-4C8B-AFA1-1B5A534D4751}"/>
            </c:ext>
          </c:extLst>
        </c:ser>
        <c:ser>
          <c:idx val="28"/>
          <c:order val="28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8A6-4C8B-AFA1-1B5A534D4751}"/>
            </c:ext>
          </c:extLst>
        </c:ser>
        <c:ser>
          <c:idx val="29"/>
          <c:order val="29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8A6-4C8B-AFA1-1B5A534D47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634096"/>
        <c:axId val="315634656"/>
      </c:scatterChart>
      <c:valAx>
        <c:axId val="31563409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634656"/>
        <c:crosses val="autoZero"/>
        <c:crossBetween val="midCat"/>
        <c:majorUnit val="1"/>
      </c:valAx>
      <c:valAx>
        <c:axId val="31563465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34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2F-41A0-8B0C-F7E6239CE5A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2F-41A0-8B0C-F7E6239CE5A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2F-41A0-8B0C-F7E6239CE5A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2F-41A0-8B0C-F7E6239CE5A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2F-41A0-8B0C-F7E6239CE5AA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C2F-41A0-8B0C-F7E6239CE5AA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C2F-41A0-8B0C-F7E6239CE5AA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C2F-41A0-8B0C-F7E6239CE5AA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C2F-41A0-8B0C-F7E6239C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73680"/>
        <c:axId val="316774240"/>
      </c:scatterChart>
      <c:valAx>
        <c:axId val="31677368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6774240"/>
        <c:crosses val="autoZero"/>
        <c:crossBetween val="midCat"/>
        <c:majorUnit val="1"/>
      </c:valAx>
      <c:valAx>
        <c:axId val="31677424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73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80-4DAA-BD34-ABC861A23AFC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80-4DAA-BD34-ABC861A23AFC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80-4DAA-BD34-ABC861A23AFC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80-4DAA-BD34-ABC861A23AFC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9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80-4DAA-BD34-ABC861A23AFC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80-4DAA-BD34-ABC861A23AFC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80-4DAA-BD34-ABC861A23A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'CC-car.1'!$AL$54:$AL$58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80-4DAA-BD34-ABC861A23AFC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80-4DAA-BD34-ABC861A23AFC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80-4DAA-BD34-ABC861A23AFC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80-4DAA-BD34-ABC861A23AFC}"/>
            </c:ext>
          </c:extLst>
        </c:ser>
        <c:ser>
          <c:idx val="11"/>
          <c:order val="4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80-4DAA-BD34-ABC861A23AFC}"/>
            </c:ext>
          </c:extLst>
        </c:ser>
        <c:ser>
          <c:idx val="1"/>
          <c:order val="5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80-4DAA-BD34-ABC861A23AFC}"/>
            </c:ext>
          </c:extLst>
        </c:ser>
        <c:ser>
          <c:idx val="2"/>
          <c:order val="6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trave'!$D$2:$D$5</c:f>
              <c:numCache>
                <c:formatCode>0.00</c:formatCode>
                <c:ptCount val="4"/>
                <c:pt idx="0">
                  <c:v>5</c:v>
                </c:pt>
                <c:pt idx="1">
                  <c:v>4.5999999999999996</c:v>
                </c:pt>
                <c:pt idx="2">
                  <c:v>5.4</c:v>
                </c:pt>
                <c:pt idx="3">
                  <c:v>5</c:v>
                </c:pt>
              </c:numCache>
            </c:numRef>
          </c:xVal>
          <c:yVal>
            <c:numRef>
              <c:f>'CC-Vincoli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80-4DAA-BD34-ABC861A23AFC}"/>
            </c:ext>
          </c:extLst>
        </c:ser>
        <c:ser>
          <c:idx val="3"/>
          <c:order val="7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trave'!$G$2:$G$5</c:f>
              <c:numCache>
                <c:formatCode>0.00</c:formatCode>
                <c:ptCount val="4"/>
                <c:pt idx="0">
                  <c:v>9</c:v>
                </c:pt>
                <c:pt idx="1">
                  <c:v>8.6</c:v>
                </c:pt>
                <c:pt idx="2">
                  <c:v>9.4</c:v>
                </c:pt>
                <c:pt idx="3">
                  <c:v>9</c:v>
                </c:pt>
              </c:numCache>
            </c:numRef>
          </c:xVal>
          <c:yVal>
            <c:numRef>
              <c:f>'CC-Vincoli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80-4DAA-BD34-ABC861A23AFC}"/>
            </c:ext>
          </c:extLst>
        </c:ser>
        <c:ser>
          <c:idx val="4"/>
          <c:order val="8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80-4DAA-BD34-ABC861A23AFC}"/>
            </c:ext>
          </c:extLst>
        </c:ser>
        <c:ser>
          <c:idx val="5"/>
          <c:order val="9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80-4DAA-BD34-ABC861A23AFC}"/>
            </c:ext>
          </c:extLst>
        </c:ser>
        <c:ser>
          <c:idx val="9"/>
          <c:order val="10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80-4DAA-BD34-ABC861A23AFC}"/>
            </c:ext>
          </c:extLst>
        </c:ser>
        <c:ser>
          <c:idx val="10"/>
          <c:order val="11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80-4DAA-BD34-ABC861A23AFC}"/>
            </c:ext>
          </c:extLst>
        </c:ser>
        <c:ser>
          <c:idx val="12"/>
          <c:order val="12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80-4DAA-BD34-ABC861A23AFC}"/>
            </c:ext>
          </c:extLst>
        </c:ser>
        <c:ser>
          <c:idx val="13"/>
          <c:order val="13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80-4DAA-BD34-ABC861A23AFC}"/>
            </c:ext>
          </c:extLst>
        </c:ser>
        <c:ser>
          <c:idx val="14"/>
          <c:order val="14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80-4DAA-BD34-ABC861A23AFC}"/>
            </c:ext>
          </c:extLst>
        </c:ser>
        <c:ser>
          <c:idx val="15"/>
          <c:order val="15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80-4DAA-BD34-ABC861A23AFC}"/>
            </c:ext>
          </c:extLst>
        </c:ser>
        <c:ser>
          <c:idx val="16"/>
          <c:order val="16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80-4DAA-BD34-ABC861A23AFC}"/>
            </c:ext>
          </c:extLst>
        </c:ser>
        <c:ser>
          <c:idx val="17"/>
          <c:order val="17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80-4DAA-BD34-ABC861A23AFC}"/>
            </c:ext>
          </c:extLst>
        </c:ser>
        <c:ser>
          <c:idx val="18"/>
          <c:order val="18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80-4DAA-BD34-ABC861A23AFC}"/>
            </c:ext>
          </c:extLst>
        </c:ser>
        <c:ser>
          <c:idx val="19"/>
          <c:order val="19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80-4DAA-BD34-ABC861A23AFC}"/>
            </c:ext>
          </c:extLst>
        </c:ser>
        <c:ser>
          <c:idx val="20"/>
          <c:order val="20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80-4DAA-BD34-ABC861A23AFC}"/>
            </c:ext>
          </c:extLst>
        </c:ser>
        <c:ser>
          <c:idx val="21"/>
          <c:order val="21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80-4DAA-BD34-ABC861A23AFC}"/>
            </c:ext>
          </c:extLst>
        </c:ser>
        <c:ser>
          <c:idx val="22"/>
          <c:order val="22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80-4DAA-BD34-ABC861A23AFC}"/>
            </c:ext>
          </c:extLst>
        </c:ser>
        <c:ser>
          <c:idx val="23"/>
          <c:order val="23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80-4DAA-BD34-ABC861A2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89360"/>
        <c:axId val="316789920"/>
      </c:scatterChart>
      <c:valAx>
        <c:axId val="316789360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6789920"/>
        <c:crosses val="autoZero"/>
        <c:crossBetween val="midCat"/>
        <c:majorUnit val="1"/>
      </c:valAx>
      <c:valAx>
        <c:axId val="316789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89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78590191602595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4-4562-B341-92B27313F4E5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94-4562-B341-92B27313F4E5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94-4562-B341-92B27313F4E5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94-4562-B341-92B27313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97200"/>
        <c:axId val="316797760"/>
      </c:scatterChart>
      <c:valAx>
        <c:axId val="316797200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6797760"/>
        <c:crosses val="autoZero"/>
        <c:crossBetween val="midCat"/>
        <c:majorUnit val="1"/>
      </c:valAx>
      <c:valAx>
        <c:axId val="3167977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97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67-43E7-9F71-021A97D056D6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67-43E7-9F71-021A97D056D6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67-43E7-9F71-021A97D056D6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67-43E7-9F71-021A97D0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0416"/>
        <c:axId val="317290976"/>
      </c:scatterChart>
      <c:valAx>
        <c:axId val="3172904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0976"/>
        <c:crosses val="autoZero"/>
        <c:crossBetween val="midCat"/>
        <c:majorUnit val="1"/>
      </c:valAx>
      <c:valAx>
        <c:axId val="3172909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0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0-453B-9163-DA2D13F63B55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50-453B-9163-DA2D13F63B55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50-453B-9163-DA2D13F63B55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50-453B-9163-DA2D13F6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5456"/>
        <c:axId val="317296016"/>
      </c:scatterChart>
      <c:valAx>
        <c:axId val="317295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6016"/>
        <c:crosses val="autoZero"/>
        <c:crossBetween val="midCat"/>
        <c:majorUnit val="1"/>
      </c:valAx>
      <c:valAx>
        <c:axId val="317296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5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A-4366-9DCB-BD8FBF99DC2E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DA-4366-9DCB-BD8FBF99DC2E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DA-4366-9DCB-BD8FBF99DC2E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DA-4366-9DCB-BD8FBF99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0496"/>
        <c:axId val="317301056"/>
      </c:scatterChart>
      <c:valAx>
        <c:axId val="3173004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1056"/>
        <c:crosses val="autoZero"/>
        <c:crossBetween val="midCat"/>
        <c:majorUnit val="1"/>
      </c:valAx>
      <c:valAx>
        <c:axId val="3173010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0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D-42E2-A52A-AE4C72FD3443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7D-42E2-A52A-AE4C72FD3443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7D-42E2-A52A-AE4C72FD3443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7D-42E2-A52A-AE4C72FD3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5536"/>
        <c:axId val="317306096"/>
      </c:scatterChart>
      <c:valAx>
        <c:axId val="31730553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6096"/>
        <c:crosses val="autoZero"/>
        <c:crossBetween val="midCat"/>
        <c:majorUnit val="1"/>
      </c:valAx>
      <c:valAx>
        <c:axId val="3173060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5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29E-2"/>
          <c:y val="9.9061975819114148E-2"/>
          <c:w val="0.8428226862835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34-49F6-8DCD-C4AC74DE90F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34-49F6-8DCD-C4AC74DE90F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34-49F6-8DCD-C4AC74DE90F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34-49F6-8DCD-C4AC74DE90F1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234-49F6-8DCD-C4AC74DE90F1}"/>
            </c:ext>
          </c:extLst>
        </c:ser>
        <c:ser>
          <c:idx val="10"/>
          <c:order val="5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234-49F6-8DCD-C4AC74DE90F1}"/>
            </c:ext>
          </c:extLst>
        </c:ser>
        <c:ser>
          <c:idx val="11"/>
          <c:order val="6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234-49F6-8DCD-C4AC74DE90F1}"/>
            </c:ext>
          </c:extLst>
        </c:ser>
        <c:ser>
          <c:idx val="12"/>
          <c:order val="7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234-49F6-8DCD-C4AC74DE90F1}"/>
            </c:ext>
          </c:extLst>
        </c:ser>
        <c:ser>
          <c:idx val="5"/>
          <c:order val="8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5.0615384615384622</c:v>
                </c:pt>
                <c:pt idx="6">
                  <c:v>7.7730769230769239</c:v>
                </c:pt>
                <c:pt idx="7">
                  <c:v>8.134615384615385</c:v>
                </c:pt>
                <c:pt idx="8">
                  <c:v>6.1461538461538474</c:v>
                </c:pt>
                <c:pt idx="9">
                  <c:v>1.8076923076923102</c:v>
                </c:pt>
                <c:pt idx="10">
                  <c:v>-4.8807692307692321</c:v>
                </c:pt>
                <c:pt idx="11">
                  <c:v>-13.919230769230765</c:v>
                </c:pt>
                <c:pt idx="12">
                  <c:v>-25.307692307692307</c:v>
                </c:pt>
                <c:pt idx="13">
                  <c:v>-25.307692307692314</c:v>
                </c:pt>
                <c:pt idx="14">
                  <c:v>-6.8014423076923123</c:v>
                </c:pt>
                <c:pt idx="15">
                  <c:v>6.4173076923076877</c:v>
                </c:pt>
                <c:pt idx="16">
                  <c:v>14.348557692307693</c:v>
                </c:pt>
                <c:pt idx="17">
                  <c:v>16.992307692307691</c:v>
                </c:pt>
                <c:pt idx="18">
                  <c:v>14.348557692307693</c:v>
                </c:pt>
                <c:pt idx="19">
                  <c:v>6.4173076923077019</c:v>
                </c:pt>
                <c:pt idx="20">
                  <c:v>-6.8014423076923265</c:v>
                </c:pt>
                <c:pt idx="21">
                  <c:v>-25.307692307692321</c:v>
                </c:pt>
                <c:pt idx="22">
                  <c:v>-25.307692307692307</c:v>
                </c:pt>
                <c:pt idx="23">
                  <c:v>-13.919230769230769</c:v>
                </c:pt>
                <c:pt idx="24">
                  <c:v>-4.8807692307692285</c:v>
                </c:pt>
                <c:pt idx="25">
                  <c:v>1.8076923076923066</c:v>
                </c:pt>
                <c:pt idx="26">
                  <c:v>6.146153846153851</c:v>
                </c:pt>
                <c:pt idx="27">
                  <c:v>8.1346153846153868</c:v>
                </c:pt>
                <c:pt idx="28">
                  <c:v>7.7730769230769283</c:v>
                </c:pt>
                <c:pt idx="29">
                  <c:v>5.0615384615384613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234-49F6-8DCD-C4AC74DE90F1}"/>
            </c:ext>
          </c:extLst>
        </c:ser>
        <c:ser>
          <c:idx val="6"/>
          <c:order val="9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234-49F6-8DCD-C4AC74DE90F1}"/>
            </c:ext>
          </c:extLst>
        </c:ser>
        <c:ser>
          <c:idx val="7"/>
          <c:order val="10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-25.307692307692307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234-49F6-8DCD-C4AC74DE90F1}"/>
            </c:ext>
          </c:extLst>
        </c:ser>
        <c:ser>
          <c:idx val="8"/>
          <c:order val="11"/>
          <c:tx>
            <c:v>2-app.3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-25.307692307692321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234-49F6-8DCD-C4AC74DE90F1}"/>
            </c:ext>
          </c:extLst>
        </c:ser>
        <c:ser>
          <c:idx val="9"/>
          <c:order val="12"/>
          <c:tx>
            <c:v>2-app.4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234-49F6-8DCD-C4AC74DE90F1}"/>
            </c:ext>
          </c:extLst>
        </c:ser>
        <c:ser>
          <c:idx val="13"/>
          <c:order val="13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1.3269230769230769</c:v>
                </c:pt>
                <c:pt idx="1">
                  <c:v>1.3269230769230769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234-49F6-8DCD-C4AC74DE90F1}"/>
            </c:ext>
          </c:extLst>
        </c:ser>
        <c:ser>
          <c:idx val="14"/>
          <c:order val="14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16.992307692307698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234-49F6-8DCD-C4AC74DE90F1}"/>
            </c:ext>
          </c:extLst>
        </c:ser>
        <c:ser>
          <c:idx val="15"/>
          <c:order val="15"/>
          <c:tx>
            <c:v>2-camp.3-4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12.673076923076923</c:v>
                </c:pt>
                <c:pt idx="1">
                  <c:v>12.673076923076923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234-49F6-8DCD-C4AC74DE90F1}"/>
            </c:ext>
          </c:extLst>
        </c:ser>
        <c:ser>
          <c:idx val="16"/>
          <c:order val="16"/>
          <c:tx>
            <c:v>M3(x)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234-49F6-8DCD-C4AC74DE90F1}"/>
            </c:ext>
          </c:extLst>
        </c:ser>
        <c:ser>
          <c:idx val="17"/>
          <c:order val="17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234-49F6-8DCD-C4AC74DE90F1}"/>
            </c:ext>
          </c:extLst>
        </c:ser>
        <c:ser>
          <c:idx val="18"/>
          <c:order val="18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234-49F6-8DCD-C4AC74DE90F1}"/>
            </c:ext>
          </c:extLst>
        </c:ser>
        <c:ser>
          <c:idx val="19"/>
          <c:order val="1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D234-49F6-8DCD-C4AC74DE90F1}"/>
            </c:ext>
          </c:extLst>
        </c:ser>
        <c:ser>
          <c:idx val="20"/>
          <c:order val="20"/>
          <c:tx>
            <c:v>3-app.4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D234-49F6-8DCD-C4AC74DE90F1}"/>
            </c:ext>
          </c:extLst>
        </c:ser>
        <c:ser>
          <c:idx val="21"/>
          <c:order val="2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D234-49F6-8DCD-C4AC74DE90F1}"/>
            </c:ext>
          </c:extLst>
        </c:ser>
        <c:ser>
          <c:idx val="22"/>
          <c:order val="22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D234-49F6-8DCD-C4AC74DE90F1}"/>
            </c:ext>
          </c:extLst>
        </c:ser>
        <c:ser>
          <c:idx val="23"/>
          <c:order val="23"/>
          <c:tx>
            <c:v>3-camp.3-4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D234-49F6-8DCD-C4AC74DE90F1}"/>
            </c:ext>
          </c:extLst>
        </c:ser>
        <c:ser>
          <c:idx val="24"/>
          <c:order val="24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D234-49F6-8DCD-C4AC74DE90F1}"/>
            </c:ext>
          </c:extLst>
        </c:ser>
        <c:ser>
          <c:idx val="25"/>
          <c:order val="25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D234-49F6-8DCD-C4AC74DE90F1}"/>
            </c:ext>
          </c:extLst>
        </c:ser>
        <c:ser>
          <c:idx val="26"/>
          <c:order val="26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D234-49F6-8DCD-C4AC74DE90F1}"/>
            </c:ext>
          </c:extLst>
        </c:ser>
        <c:ser>
          <c:idx val="27"/>
          <c:order val="27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234-49F6-8DCD-C4AC74DE90F1}"/>
            </c:ext>
          </c:extLst>
        </c:ser>
        <c:ser>
          <c:idx val="28"/>
          <c:order val="28"/>
          <c:tx>
            <c:v>4-app.4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234-49F6-8DCD-C4AC74DE90F1}"/>
            </c:ext>
          </c:extLst>
        </c:ser>
        <c:ser>
          <c:idx val="29"/>
          <c:order val="29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234-49F6-8DCD-C4AC74DE90F1}"/>
            </c:ext>
          </c:extLst>
        </c:ser>
        <c:ser>
          <c:idx val="30"/>
          <c:order val="30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D234-49F6-8DCD-C4AC74DE90F1}"/>
            </c:ext>
          </c:extLst>
        </c:ser>
        <c:ser>
          <c:idx val="31"/>
          <c:order val="31"/>
          <c:tx>
            <c:v>4-camp.3-4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D234-49F6-8DCD-C4AC74DE90F1}"/>
            </c:ext>
          </c:extLst>
        </c:ser>
        <c:ser>
          <c:idx val="32"/>
          <c:order val="32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D234-49F6-8DCD-C4AC74DE90F1}"/>
            </c:ext>
          </c:extLst>
        </c:ser>
        <c:ser>
          <c:idx val="33"/>
          <c:order val="33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D234-49F6-8DCD-C4AC74DE90F1}"/>
            </c:ext>
          </c:extLst>
        </c:ser>
        <c:ser>
          <c:idx val="34"/>
          <c:order val="34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D234-49F6-8DCD-C4AC74DE90F1}"/>
            </c:ext>
          </c:extLst>
        </c:ser>
        <c:ser>
          <c:idx val="35"/>
          <c:order val="35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D234-49F6-8DCD-C4AC74DE90F1}"/>
            </c:ext>
          </c:extLst>
        </c:ser>
        <c:ser>
          <c:idx val="36"/>
          <c:order val="36"/>
          <c:tx>
            <c:v>5-app.4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D234-49F6-8DCD-C4AC74DE90F1}"/>
            </c:ext>
          </c:extLst>
        </c:ser>
        <c:ser>
          <c:idx val="37"/>
          <c:order val="37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D234-49F6-8DCD-C4AC74DE90F1}"/>
            </c:ext>
          </c:extLst>
        </c:ser>
        <c:ser>
          <c:idx val="38"/>
          <c:order val="38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D234-49F6-8DCD-C4AC74DE90F1}"/>
            </c:ext>
          </c:extLst>
        </c:ser>
        <c:ser>
          <c:idx val="39"/>
          <c:order val="39"/>
          <c:tx>
            <c:v>5-camp.3-4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D234-49F6-8DCD-C4AC74DE90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8488352"/>
        <c:axId val="318488912"/>
      </c:scatterChart>
      <c:valAx>
        <c:axId val="318488352"/>
        <c:scaling>
          <c:orientation val="minMax"/>
          <c:max val="14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8488912"/>
        <c:crosses val="autoZero"/>
        <c:crossBetween val="midCat"/>
        <c:majorUnit val="1"/>
      </c:valAx>
      <c:valAx>
        <c:axId val="31848891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488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A0-4E00-BACE-13E56AF8A23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A0-4E00-BACE-13E56AF8A23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9A0-4E00-BACE-13E56AF8A23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'CCC-Trave'!$AN$49</c:f>
              <c:numCache>
                <c:formatCode>0.00</c:formatCode>
                <c:ptCount val="1"/>
              </c:numCache>
            </c:numRef>
          </c:xVal>
          <c:yVal>
            <c:numRef>
              <c:f>'CCC-Trave'!$AP$49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A0-4E00-BACE-13E56AF8A23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'CCC-Trave'!$AN$50</c:f>
              <c:numCache>
                <c:formatCode>0.00</c:formatCode>
                <c:ptCount val="1"/>
              </c:numCache>
            </c:numRef>
          </c:xVal>
          <c:yVal>
            <c:numRef>
              <c:f>'CCC-Trave'!$AP$50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9A0-4E00-BACE-13E56AF8A23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'CCC-Trave'!$AN$58</c:f>
              <c:numCache>
                <c:formatCode>0.00</c:formatCode>
                <c:ptCount val="1"/>
              </c:numCache>
            </c:numRef>
          </c:xVal>
          <c:yVal>
            <c:numRef>
              <c:f>'CCC-Trave'!$AP$58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A0-4E00-BACE-13E56AF8A23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'CCC-Trave'!$AN$59</c:f>
              <c:numCache>
                <c:formatCode>0.00</c:formatCode>
                <c:ptCount val="1"/>
              </c:numCache>
            </c:numRef>
          </c:xVal>
          <c:yVal>
            <c:numRef>
              <c:f>'CCC-Trave'!$AP$59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9A0-4E00-BACE-13E56AF8A23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'CCC-Trave'!$AN$67</c:f>
              <c:numCache>
                <c:formatCode>0.00</c:formatCode>
                <c:ptCount val="1"/>
              </c:numCache>
            </c:numRef>
          </c:xVal>
          <c:yVal>
            <c:numRef>
              <c:f>'CCC-Trave'!$AP$67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9A0-4E00-BACE-13E56AF8A23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'CCC-Trave'!$AN$68</c:f>
              <c:numCache>
                <c:formatCode>0.00</c:formatCode>
                <c:ptCount val="1"/>
              </c:numCache>
            </c:numRef>
          </c:xVal>
          <c:yVal>
            <c:numRef>
              <c:f>'CCC-Trave'!$AP$68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9A0-4E00-BACE-13E56AF8A23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'CCC-Trave'!$AN$76</c:f>
            </c:numRef>
          </c:xVal>
          <c:yVal>
            <c:numRef>
              <c:f>'CCC-Trave'!$AP$76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79A0-4E00-BACE-13E56AF8A23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'CCC-Trave'!$AN$77</c:f>
            </c:numRef>
          </c:xVal>
          <c:yVal>
            <c:numRef>
              <c:f>'CCC-Trave'!$AP$77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79A0-4E00-BACE-13E56AF8A23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'CCC-Trave'!$AN$85</c:f>
              <c:numCache>
                <c:formatCode>0.00</c:formatCode>
                <c:ptCount val="1"/>
              </c:numCache>
            </c:numRef>
          </c:xVal>
          <c:yVal>
            <c:numRef>
              <c:f>'CCC-Trave'!$AP$85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9A0-4E00-BACE-13E56AF8A23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'CCC-Trave'!$AN$86</c:f>
              <c:numCache>
                <c:formatCode>0.00</c:formatCode>
                <c:ptCount val="1"/>
              </c:numCache>
            </c:numRef>
          </c:xVal>
          <c:yVal>
            <c:numRef>
              <c:f>'CCC-Trave'!$AP$86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9A0-4E00-BACE-13E56AF8A232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12.473076923076924</c:v>
                </c:pt>
                <c:pt idx="5">
                  <c:v>7.7730769230769239</c:v>
                </c:pt>
                <c:pt idx="6">
                  <c:v>3.0730769230769237</c:v>
                </c:pt>
                <c:pt idx="7">
                  <c:v>-1.6269230769230774</c:v>
                </c:pt>
                <c:pt idx="8">
                  <c:v>-6.3269230769230766</c:v>
                </c:pt>
                <c:pt idx="9">
                  <c:v>-11.026923076923076</c:v>
                </c:pt>
                <c:pt idx="10">
                  <c:v>-15.726923076923079</c:v>
                </c:pt>
                <c:pt idx="11">
                  <c:v>-20.426923076923075</c:v>
                </c:pt>
                <c:pt idx="12">
                  <c:v>-25.126923076923077</c:v>
                </c:pt>
                <c:pt idx="13">
                  <c:v>28.200000000000003</c:v>
                </c:pt>
                <c:pt idx="14">
                  <c:v>21.150000000000002</c:v>
                </c:pt>
                <c:pt idx="15">
                  <c:v>14.100000000000001</c:v>
                </c:pt>
                <c:pt idx="16">
                  <c:v>7.0500000000000007</c:v>
                </c:pt>
                <c:pt idx="17">
                  <c:v>0</c:v>
                </c:pt>
                <c:pt idx="18">
                  <c:v>-7.0499999999999972</c:v>
                </c:pt>
                <c:pt idx="19">
                  <c:v>-14.100000000000001</c:v>
                </c:pt>
                <c:pt idx="20">
                  <c:v>-21.15</c:v>
                </c:pt>
                <c:pt idx="21">
                  <c:v>-28.200000000000003</c:v>
                </c:pt>
                <c:pt idx="22">
                  <c:v>25.126923076923077</c:v>
                </c:pt>
                <c:pt idx="23">
                  <c:v>20.426923076923078</c:v>
                </c:pt>
                <c:pt idx="24">
                  <c:v>15.726923076923077</c:v>
                </c:pt>
                <c:pt idx="25">
                  <c:v>11.026923076923076</c:v>
                </c:pt>
                <c:pt idx="26">
                  <c:v>6.3269230769230766</c:v>
                </c:pt>
                <c:pt idx="27">
                  <c:v>1.6269230769230774</c:v>
                </c:pt>
                <c:pt idx="28">
                  <c:v>-3.0730769230769255</c:v>
                </c:pt>
                <c:pt idx="29">
                  <c:v>-7.7730769230769212</c:v>
                </c:pt>
                <c:pt idx="30">
                  <c:v>-12.473076923076924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9A0-4E00-BACE-13E56AF8A232}"/>
            </c:ext>
          </c:extLst>
        </c:ser>
        <c:ser>
          <c:idx val="12"/>
          <c:order val="12"/>
          <c:tx>
            <c:v>T3(x)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9A0-4E00-BACE-13E56AF8A232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9A0-4E00-BACE-13E56AF8A232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9A0-4E00-BACE-13E56AF8A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01792"/>
        <c:axId val="318502352"/>
      </c:scatterChart>
      <c:valAx>
        <c:axId val="31850179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8502352"/>
        <c:crosses val="autoZero"/>
        <c:crossBetween val="midCat"/>
        <c:majorUnit val="1"/>
      </c:valAx>
      <c:valAx>
        <c:axId val="3185023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50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7-47AC-90A5-23BC6941C769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7-47AC-90A5-23BC6941C769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7-47AC-90A5-23BC6941C769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7-47AC-90A5-23BC6941C769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7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7-47AC-90A5-23BC6941C769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D7-47AC-90A5-23BC6941C769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7-47AC-90A5-23BC6941C769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'CCC-car.1'!$AK$54:$AK$59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D7-47AC-90A5-23BC6941C769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D7-47AC-90A5-23BC6941C769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D7-47AC-90A5-23BC6941C769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D7-47AC-90A5-23BC6941C769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D7-47AC-90A5-23BC6941C769}"/>
            </c:ext>
          </c:extLst>
        </c:ser>
        <c:ser>
          <c:idx val="11"/>
          <c:order val="5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D7-47AC-90A5-23BC6941C769}"/>
            </c:ext>
          </c:extLst>
        </c:ser>
        <c:ser>
          <c:idx val="17"/>
          <c:order val="6"/>
          <c:tx>
            <c:v>2-qs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D7-47AC-90A5-23BC6941C769}"/>
            </c:ext>
          </c:extLst>
        </c:ser>
        <c:ser>
          <c:idx val="18"/>
          <c:order val="7"/>
          <c:tx>
            <c:v>2-q12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D7-47AC-90A5-23BC6941C769}"/>
            </c:ext>
          </c:extLst>
        </c:ser>
        <c:ser>
          <c:idx val="19"/>
          <c:order val="8"/>
          <c:tx>
            <c:v>2-q23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D7-47AC-90A5-23BC6941C769}"/>
            </c:ext>
          </c:extLst>
        </c:ser>
        <c:ser>
          <c:idx val="20"/>
          <c:order val="9"/>
          <c:tx>
            <c:v>2-q34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D7-47AC-90A5-23BC6941C769}"/>
            </c:ext>
          </c:extLst>
        </c:ser>
        <c:ser>
          <c:idx val="21"/>
          <c:order val="10"/>
          <c:tx>
            <c:v>2-q45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D7-47AC-90A5-23BC6941C769}"/>
            </c:ext>
          </c:extLst>
        </c:ser>
        <c:ser>
          <c:idx val="22"/>
          <c:order val="11"/>
          <c:tx>
            <c:v>2-qd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D7-47AC-90A5-23BC6941C769}"/>
            </c:ext>
          </c:extLst>
        </c:ser>
        <c:ser>
          <c:idx val="23"/>
          <c:order val="12"/>
          <c:tx>
            <c:v>3-qs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D7-47AC-90A5-23BC6941C769}"/>
            </c:ext>
          </c:extLst>
        </c:ser>
        <c:ser>
          <c:idx val="24"/>
          <c:order val="13"/>
          <c:tx>
            <c:v>3-q12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D7-47AC-90A5-23BC6941C769}"/>
            </c:ext>
          </c:extLst>
        </c:ser>
        <c:ser>
          <c:idx val="25"/>
          <c:order val="14"/>
          <c:tx>
            <c:v>3-q23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D7-47AC-90A5-23BC6941C769}"/>
            </c:ext>
          </c:extLst>
        </c:ser>
        <c:ser>
          <c:idx val="26"/>
          <c:order val="15"/>
          <c:tx>
            <c:v>3-q34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D7-47AC-90A5-23BC6941C769}"/>
            </c:ext>
          </c:extLst>
        </c:ser>
        <c:ser>
          <c:idx val="27"/>
          <c:order val="16"/>
          <c:tx>
            <c:v>3-q45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D7-47AC-90A5-23BC6941C769}"/>
            </c:ext>
          </c:extLst>
        </c:ser>
        <c:ser>
          <c:idx val="28"/>
          <c:order val="17"/>
          <c:tx>
            <c:v>3-qd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D7-47AC-90A5-23BC6941C769}"/>
            </c:ext>
          </c:extLst>
        </c:ser>
        <c:ser>
          <c:idx val="29"/>
          <c:order val="18"/>
          <c:tx>
            <c:v>4-qs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D7-47AC-90A5-23BC6941C769}"/>
            </c:ext>
          </c:extLst>
        </c:ser>
        <c:ser>
          <c:idx val="30"/>
          <c:order val="19"/>
          <c:tx>
            <c:v>4-q12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D7-47AC-90A5-23BC6941C769}"/>
            </c:ext>
          </c:extLst>
        </c:ser>
        <c:ser>
          <c:idx val="31"/>
          <c:order val="20"/>
          <c:tx>
            <c:v>4-q23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D7-47AC-90A5-23BC6941C769}"/>
            </c:ext>
          </c:extLst>
        </c:ser>
        <c:ser>
          <c:idx val="32"/>
          <c:order val="21"/>
          <c:tx>
            <c:v>4-q34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D7-47AC-90A5-23BC6941C769}"/>
            </c:ext>
          </c:extLst>
        </c:ser>
        <c:ser>
          <c:idx val="33"/>
          <c:order val="22"/>
          <c:tx>
            <c:v>4-q45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D7-47AC-90A5-23BC6941C769}"/>
            </c:ext>
          </c:extLst>
        </c:ser>
        <c:ser>
          <c:idx val="34"/>
          <c:order val="23"/>
          <c:tx>
            <c:v>4-qd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D7-47AC-90A5-23BC6941C769}"/>
            </c:ext>
          </c:extLst>
        </c:ser>
        <c:ser>
          <c:idx val="35"/>
          <c:order val="24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D7-47AC-90A5-23BC6941C769}"/>
            </c:ext>
          </c:extLst>
        </c:ser>
        <c:ser>
          <c:idx val="36"/>
          <c:order val="25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D7-47AC-90A5-23BC6941C769}"/>
            </c:ext>
          </c:extLst>
        </c:ser>
        <c:ser>
          <c:idx val="37"/>
          <c:order val="26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D7-47AC-90A5-23BC6941C769}"/>
            </c:ext>
          </c:extLst>
        </c:ser>
        <c:ser>
          <c:idx val="38"/>
          <c:order val="27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D7-47AC-90A5-23BC6941C769}"/>
            </c:ext>
          </c:extLst>
        </c:ser>
        <c:ser>
          <c:idx val="40"/>
          <c:order val="28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D7-47AC-90A5-23BC6941C769}"/>
            </c:ext>
          </c:extLst>
        </c:ser>
        <c:ser>
          <c:idx val="1"/>
          <c:order val="29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D7-47AC-90A5-23BC6941C769}"/>
            </c:ext>
          </c:extLst>
        </c:ser>
        <c:ser>
          <c:idx val="2"/>
          <c:order val="30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D7-47AC-90A5-23BC6941C769}"/>
            </c:ext>
          </c:extLst>
        </c:ser>
        <c:ser>
          <c:idx val="3"/>
          <c:order val="31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trave'!$G$2:$G$5</c:f>
              <c:numCache>
                <c:formatCode>0.00</c:formatCode>
                <c:ptCount val="4"/>
                <c:pt idx="0">
                  <c:v>10</c:v>
                </c:pt>
                <c:pt idx="1">
                  <c:v>9.6</c:v>
                </c:pt>
                <c:pt idx="2">
                  <c:v>10.4</c:v>
                </c:pt>
                <c:pt idx="3">
                  <c:v>10</c:v>
                </c:pt>
              </c:numCache>
            </c:numRef>
          </c:xVal>
          <c:yVal>
            <c:numRef>
              <c:f>'CCC-Vincoli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D7-47AC-90A5-23BC6941C769}"/>
            </c:ext>
          </c:extLst>
        </c:ser>
        <c:ser>
          <c:idx val="4"/>
          <c:order val="32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trave'!$J$2:$J$5</c:f>
              <c:numCache>
                <c:formatCode>0.00</c:formatCode>
                <c:ptCount val="4"/>
                <c:pt idx="0">
                  <c:v>14</c:v>
                </c:pt>
                <c:pt idx="1">
                  <c:v>13.6</c:v>
                </c:pt>
                <c:pt idx="2">
                  <c:v>14.4</c:v>
                </c:pt>
                <c:pt idx="3">
                  <c:v>14</c:v>
                </c:pt>
              </c:numCache>
            </c:numRef>
          </c:xVal>
          <c:yVal>
            <c:numRef>
              <c:f>'CCC-Vincoli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D7-47AC-90A5-23BC6941C769}"/>
            </c:ext>
          </c:extLst>
        </c:ser>
        <c:ser>
          <c:idx val="5"/>
          <c:order val="33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2518309237671824E-3"/>
                  <c:y val="3.781984946508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trave'!$M$2:$M$5</c:f>
              <c:numCache>
                <c:formatCode>0.00</c:formatCode>
                <c:ptCount val="4"/>
              </c:numCache>
            </c:numRef>
          </c:xVal>
          <c:yVal>
            <c:numRef>
              <c:f>'CCC-Vincoli trave'!$N$2:$N$5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D7-47AC-90A5-23BC6941C769}"/>
            </c:ext>
          </c:extLst>
        </c:ser>
        <c:ser>
          <c:idx val="10"/>
          <c:order val="34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D7-47AC-90A5-23BC6941C769}"/>
            </c:ext>
          </c:extLst>
        </c:ser>
        <c:ser>
          <c:idx val="12"/>
          <c:order val="35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D7-47AC-90A5-23BC6941C769}"/>
            </c:ext>
          </c:extLst>
        </c:ser>
        <c:ser>
          <c:idx val="13"/>
          <c:order val="36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D7-47AC-90A5-23BC6941C769}"/>
            </c:ext>
          </c:extLst>
        </c:ser>
        <c:ser>
          <c:idx val="14"/>
          <c:order val="37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D7-47AC-90A5-23BC6941C769}"/>
            </c:ext>
          </c:extLst>
        </c:ser>
        <c:ser>
          <c:idx val="15"/>
          <c:order val="3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D7-47AC-90A5-23BC6941C769}"/>
            </c:ext>
          </c:extLst>
        </c:ser>
        <c:ser>
          <c:idx val="16"/>
          <c:order val="3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D7-47AC-90A5-23BC6941C769}"/>
            </c:ext>
          </c:extLst>
        </c:ser>
        <c:ser>
          <c:idx val="41"/>
          <c:order val="4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D7-47AC-90A5-23BC6941C769}"/>
            </c:ext>
          </c:extLst>
        </c:ser>
        <c:ser>
          <c:idx val="42"/>
          <c:order val="41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D7-47AC-90A5-23BC6941C769}"/>
            </c:ext>
          </c:extLst>
        </c:ser>
        <c:ser>
          <c:idx val="43"/>
          <c:order val="42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D7-47AC-90A5-23BC6941C769}"/>
            </c:ext>
          </c:extLst>
        </c:ser>
        <c:ser>
          <c:idx val="44"/>
          <c:order val="43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D7-47AC-90A5-23BC6941C769}"/>
            </c:ext>
          </c:extLst>
        </c:ser>
        <c:ser>
          <c:idx val="45"/>
          <c:order val="44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D7-47AC-90A5-23BC6941C769}"/>
            </c:ext>
          </c:extLst>
        </c:ser>
        <c:ser>
          <c:idx val="46"/>
          <c:order val="45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D7-47AC-90A5-23BC6941C769}"/>
            </c:ext>
          </c:extLst>
        </c:ser>
        <c:ser>
          <c:idx val="47"/>
          <c:order val="46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D7-47AC-90A5-23BC6941C769}"/>
            </c:ext>
          </c:extLst>
        </c:ser>
        <c:ser>
          <c:idx val="48"/>
          <c:order val="47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D7-47AC-90A5-23BC6941C769}"/>
            </c:ext>
          </c:extLst>
        </c:ser>
        <c:ser>
          <c:idx val="49"/>
          <c:order val="48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D7-47AC-90A5-23BC6941C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0464"/>
        <c:axId val="319221024"/>
      </c:scatterChart>
      <c:valAx>
        <c:axId val="319220464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819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9221024"/>
        <c:crosses val="autoZero"/>
        <c:crossBetween val="midCat"/>
        <c:majorUnit val="1"/>
      </c:valAx>
      <c:valAx>
        <c:axId val="3192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0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785901916025944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0-4266-B45C-D0AFD3DCC9D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F0-4266-B45C-D0AFD3DCC9D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F0-4266-B45C-D0AFD3DCC9D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F0-4266-B45C-D0AFD3DCC9D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F0-4266-B45C-D0AFD3DCC9D4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9F0-4266-B45C-D0AFD3DC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9424"/>
        <c:axId val="319229984"/>
      </c:scatterChart>
      <c:valAx>
        <c:axId val="319229424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9229984"/>
        <c:crosses val="autoZero"/>
        <c:crossBetween val="midCat"/>
        <c:majorUnit val="1"/>
      </c:valAx>
      <c:valAx>
        <c:axId val="31922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9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DE5-9D45-A80573C7F97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DE5-9D45-A80573C7F97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2D-4DE5-9D45-A80573C7F972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2D-4DE5-9D45-A80573C7F972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82D-4DE5-9D45-A80573C7F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46096"/>
        <c:axId val="341446656"/>
      </c:scatterChart>
      <c:valAx>
        <c:axId val="3414460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46656"/>
        <c:crosses val="autoZero"/>
        <c:crossBetween val="midCat"/>
        <c:majorUnit val="1"/>
      </c:valAx>
      <c:valAx>
        <c:axId val="341446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4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3-4665-BC3E-AA8460FEF72C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23-4665-BC3E-AA8460FEF72C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23-4665-BC3E-AA8460FEF72C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23-4665-BC3E-AA8460FEF72C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23-4665-BC3E-AA8460FE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1696"/>
        <c:axId val="341452256"/>
      </c:scatterChart>
      <c:valAx>
        <c:axId val="3414516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2256"/>
        <c:crosses val="autoZero"/>
        <c:crossBetween val="midCat"/>
        <c:majorUnit val="1"/>
      </c:valAx>
      <c:valAx>
        <c:axId val="3414522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E-416B-BCF8-3B95A4E28731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E-416B-BCF8-3B95A4E28731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CE-416B-BCF8-3B95A4E28731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CE-416B-BCF8-3B95A4E28731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CE-416B-BCF8-3B95A4E28731}"/>
            </c:ext>
          </c:extLst>
        </c:ser>
        <c:ser>
          <c:idx val="5"/>
          <c:order val="5"/>
          <c:tx>
            <c:v>4-R5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CE-416B-BCF8-3B95A4E2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7856"/>
        <c:axId val="341458416"/>
      </c:scatterChart>
      <c:valAx>
        <c:axId val="3414578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8416"/>
        <c:crosses val="autoZero"/>
        <c:crossBetween val="midCat"/>
        <c:majorUnit val="1"/>
      </c:valAx>
      <c:valAx>
        <c:axId val="3414584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7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5-4365-9D38-77182C0D3B48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5-4365-9D38-77182C0D3B48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15-4365-9D38-77182C0D3B48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15-4365-9D38-77182C0D3B48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15-4365-9D38-77182C0D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3456"/>
        <c:axId val="341464016"/>
      </c:scatterChart>
      <c:valAx>
        <c:axId val="341463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64016"/>
        <c:crosses val="autoZero"/>
        <c:crossBetween val="midCat"/>
        <c:majorUnit val="1"/>
      </c:valAx>
      <c:valAx>
        <c:axId val="341464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6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42E-2"/>
          <c:y val="9.9061975819114148E-2"/>
          <c:w val="0.94847987950390711"/>
          <c:h val="0.8369846419971585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488416"/>
        <c:axId val="342488976"/>
        <c:extLst>
          <c:ext xmlns:c15="http://schemas.microsoft.com/office/drawing/2012/chart" uri="{02D57815-91ED-43cb-92C2-25804820EDAC}">
            <c15:filteredBarSeries>
              <c15:ser>
                <c:idx val="11"/>
                <c:order val="7"/>
                <c:tx>
                  <c:v>camp.2-3</c:v>
                </c:tx>
                <c:spPr>
                  <a:ln w="6350">
                    <a:solidFill>
                      <a:sysClr val="windowText" lastClr="000000"/>
                    </a:solidFill>
                  </a:ln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'CCCC-car.1'!$AK$42:$AK$43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5.8729795258620685</c:v>
                      </c:pt>
                      <c:pt idx="1">
                        <c:v>5.8729795258620685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'CCCC-car.1'!$AL$42:$AL$43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3.6684703264451706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6-E0FC-401F-A744-AF57728A2E16}"/>
                  </c:ext>
                </c:extLst>
              </c15:ser>
            </c15:filteredBarSeries>
            <c15:filteredBarSeries>
              <c15:ser>
                <c:idx val="12"/>
                <c:order val="8"/>
                <c:tx>
                  <c:v>camp.3-4</c:v>
                </c:tx>
                <c:spPr>
                  <a:ln w="6350">
                    <a:solidFill>
                      <a:sysClr val="windowText" lastClr="000000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'CCCC-car.1'!$AK$44:$AK$45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10.669278996865204</c:v>
                      </c:pt>
                      <c:pt idx="1">
                        <c:v>10.669278996865204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'CCCC-car.1'!$AL$44:$AL$45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22.329456182869627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8-E0FC-401F-A744-AF57728A2E16}"/>
                  </c:ext>
                </c:extLst>
              </c15:ser>
            </c15:filteredBarSeries>
            <c15:filteredBarSeries>
              <c15:ser>
                <c:idx val="13"/>
                <c:order val="9"/>
                <c:tx>
                  <c:v>camp.4-5</c:v>
                </c:tx>
                <c:spPr>
                  <a:ln w="6350">
                    <a:solidFill>
                      <a:sysClr val="windowText" lastClr="000000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'CCCC-car.1'!$AK$46:$AK$47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16.11260775862069</c:v>
                      </c:pt>
                      <c:pt idx="1">
                        <c:v>16.11260775862069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'CCCC-car.1'!$AL$46:$AL$47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13.810850635578433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A-E0FC-401F-A744-AF57728A2E16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v>2-app.1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'CCCC-car.2'!$AK$17:$AK$18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'CCCC-car.2'!$AL$17:$AL$18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0-E0FC-401F-A744-AF57728A2E16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v>2-app.2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'CCCC-car.2'!$AK$19:$AK$20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4</c:v>
                      </c:pt>
                      <c:pt idx="1">
                        <c:v>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'CCCC-car.2'!$AL$19:$AL$20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-19.083618810144344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2-E0FC-401F-A744-AF57728A2E16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v>2-app.3</c:v>
                </c:tx>
                <c:invertIfNegative val="0"/>
                <c:dPt>
                  <c:idx val="1"/>
                  <c:invertIfNegative val="0"/>
                  <c:bubble3D val="0"/>
                  <c:spPr>
                    <a:ln w="6350">
                      <a:solidFill>
                        <a:schemeClr val="tx1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24-E0FC-401F-A744-AF57728A2E16}"/>
                    </c:ext>
                  </c:extLst>
                </c:dPt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'CCCC-car.2'!$AK$21:$AK$22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8</c:v>
                      </c:pt>
                      <c:pt idx="1">
                        <c:v>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'CCCC-car.2'!$AL$21:$AL$22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-22.625524759422618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6-E0FC-401F-A744-AF57728A2E16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v>2-app.4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'CCCC-car.2'!$AK$23:$AK$24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13.5</c:v>
                      </c:pt>
                      <c:pt idx="1">
                        <c:v>13.5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'CCCC-car.2'!$AL$23:$AL$24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-28.279930332798699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8-E0FC-401F-A744-AF57728A2E16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v>2-app.5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'CCCC-car.2'!$AK$25:$AK$26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17.5</c:v>
                      </c:pt>
                      <c:pt idx="1">
                        <c:v>17.5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'CCCC-car.2'!$AL$25:$AL$26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A-E0FC-401F-A744-AF57728A2E16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v>2-camp.1-2</c:v>
                </c:tx>
                <c:invertIfNegative val="0"/>
                <c:dPt>
                  <c:idx val="1"/>
                  <c:invertIfNegative val="0"/>
                  <c:bubble3D val="0"/>
                  <c:spPr>
                    <a:ln w="6350">
                      <a:solidFill>
                        <a:schemeClr val="tx1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2C-E0FC-401F-A744-AF57728A2E16}"/>
                    </c:ext>
                  </c:extLst>
                </c:dPt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'CCCC-car.2'!$AK$40:$AK$41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1.5408176417193373</c:v>
                      </c:pt>
                      <c:pt idx="1">
                        <c:v>1.5408176417193373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'CCCC-car.2'!$AL$40:$AL$41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12.333548231149239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E-E0FC-401F-A744-AF57728A2E16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v>2-camp.2-3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5.9382943214411448</c:v>
                      </c:pt>
                      <c:pt idx="1">
                        <c:v>5.9382943214411448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'CCCC-car.2'!$AL$42:$AL$43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7.8727476789654958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0-E0FC-401F-A744-AF57728A2E16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v>2-camp.3-4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'CCCC-car.2'!$AK$44:$AK$45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10.651051613030429</c:v>
                      </c:pt>
                      <c:pt idx="1">
                        <c:v>10.651051613030429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'CCCC-car.2'!$AL$44:$AL$45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13.885323073049094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2-E0FC-401F-A744-AF57728A2E16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v>2-camp.4-5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'CCCC-car.2'!$AK$46:$AK$47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15.99268171311496</c:v>
                      </c:pt>
                      <c:pt idx="1">
                        <c:v>15.99268171311496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'CCCC-car.2'!$AL$46:$AL$47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16.301660398992539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4-E0FC-401F-A744-AF57728A2E16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v>3-app.1</c:v>
                </c:tx>
                <c:invertIfNegative val="0"/>
                <c:dPt>
                  <c:idx val="1"/>
                  <c:invertIfNegative val="0"/>
                  <c:bubble3D val="0"/>
                  <c:spPr>
                    <a:ln w="6350">
                      <a:solidFill>
                        <a:schemeClr val="tx1"/>
                      </a:solidFill>
                    </a:ln>
                  </c:spPr>
                  <c:extLst>
                    <c:ext xmlns:c16="http://schemas.microsoft.com/office/drawing/2014/chart" uri="{C3380CC4-5D6E-409C-BE32-E72D297353CC}">
                      <c16:uniqueId val="{00000036-E0FC-401F-A744-AF57728A2E16}"/>
                    </c:ext>
                  </c:extLst>
                </c:dPt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'CCCC-car.3'!$AK$17:$AK$18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'CCCC-car.3'!$AL$17:$AL$18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8-E0FC-401F-A744-AF57728A2E16}"/>
                  </c:ext>
                </c:extLst>
              </c15:ser>
            </c15:filteredBarSeries>
            <c15:filteredBarSeries>
              <c15:ser>
                <c:idx val="24"/>
                <c:order val="24"/>
                <c:tx>
                  <c:v>3-app.2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'CCCC-car.3'!$AK$19:$AK$20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4</c:v>
                      </c:pt>
                      <c:pt idx="1">
                        <c:v>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'CCCC-car.3'!$AL$19:$AL$20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-17.986391965717729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A-E0FC-401F-A744-AF57728A2E16}"/>
                  </c:ext>
                </c:extLst>
              </c15:ser>
            </c15:filteredBarSeries>
            <c15:filteredBarSeries>
              <c15:ser>
                <c:idx val="25"/>
                <c:order val="25"/>
                <c:tx>
                  <c:v>3-app.3</c:v>
                </c:tx>
                <c:spPr>
                  <a:ln w="6350">
                    <a:solidFill>
                      <a:schemeClr val="tx1"/>
                    </a:solidFill>
                  </a:ln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'CCCC-car.3'!$AK$21:$AK$22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8</c:v>
                      </c:pt>
                      <c:pt idx="1">
                        <c:v>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'CCCC-car.3'!$AL$21:$AL$22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-27.01443213712912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C-E0FC-401F-A744-AF57728A2E16}"/>
                  </c:ext>
                </c:extLst>
              </c15:ser>
            </c15:filteredBarSeries>
          </c:ext>
        </c:extLst>
      </c:barChart>
      <c:lineChart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88416"/>
        <c:axId val="342488976"/>
        <c:extLst>
          <c:ext xmlns:c15="http://schemas.microsoft.com/office/drawing/2012/chart" uri="{02D57815-91ED-43cb-92C2-25804820EDAC}">
            <c15:filteredLineSeries>
              <c15:ser>
                <c:idx val="27"/>
                <c:order val="27"/>
                <c:tx>
                  <c:v>3-app.5</c:v>
                </c:tx>
                <c:marker>
                  <c:symbol val="none"/>
                </c:marker>
                <c:dPt>
                  <c:idx val="1"/>
                  <c:bubble3D val="0"/>
                  <c:spPr/>
                  <c:extLst>
                    <c:ext xmlns:c16="http://schemas.microsoft.com/office/drawing/2014/chart" uri="{C3380CC4-5D6E-409C-BE32-E72D297353CC}">
                      <c16:uniqueId val="{00000040-E0FC-401F-A744-AF57728A2E16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'CCCC-car.3'!$AK$25:$AK$26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17.5</c:v>
                      </c:pt>
                      <c:pt idx="1">
                        <c:v>17.5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'CCCC-car.3'!$AL$25:$AL$26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2-E0FC-401F-A744-AF57728A2E1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v>3-camp.1-2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'CCCC-car.3'!$AK$40:$AK$41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1.6866482235937676</c:v>
                      </c:pt>
                      <c:pt idx="1">
                        <c:v>1.6866482235937676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'CCCC-car.3'!$AL$40:$AL$41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20.411312501340685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4-E0FC-401F-A744-AF57728A2E16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v>3-camp.2-3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5.782770929465558</c:v>
                      </c:pt>
                      <c:pt idx="1">
                        <c:v>5.782770929465558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'CCCC-car.3'!$AL$42:$AL$43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-1.4752679545255099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6-E0FC-401F-A744-AF57728A2E1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v>3-camp.3-4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'CCCC-car.3'!$AK$44:$AK$45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10.682476384882159</c:v>
                      </c:pt>
                      <c:pt idx="1">
                        <c:v>10.682476384882159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'CCCC-car.3'!$AL$44:$AL$45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24.614568673227886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8-E0FC-401F-A744-AF57728A2E16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v>3-camp.4-5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'CCCC-car.3'!$AK$46:$AK$47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16.278241902317244</c:v>
                      </c:pt>
                      <c:pt idx="1">
                        <c:v>16.278241902317244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'CCCC-car.3'!$AL$46:$AL$47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7.7545393518713368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A-E0FC-401F-A744-AF57728A2E16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v>4-app.1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'CCCC-car.4'!$AK$17:$AK$18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'CCCC-car.4'!$AL$17:$AL$18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C-E0FC-401F-A744-AF57728A2E16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v>4-app.2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'CCCC-car.4'!$AK$19:$AK$20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4</c:v>
                      </c:pt>
                      <c:pt idx="1">
                        <c:v>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'CCCC-car.4'!$AL$19:$AL$20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-23.284966043504397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4E-E0FC-401F-A744-AF57728A2E16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v>4-app.3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'CCCC-car.4'!$AK$21:$AK$22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8</c:v>
                      </c:pt>
                      <c:pt idx="1">
                        <c:v>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'CCCC-car.4'!$AL$21:$AL$22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-21.660135825982351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0-E0FC-401F-A744-AF57728A2E16}"/>
                  </c:ext>
                </c:extLst>
              </c15:ser>
            </c15:filteredLineSeries>
            <c15:filteredLineSeries>
              <c15:ser>
                <c:idx val="35"/>
                <c:order val="35"/>
                <c:tx>
                  <c:v>4-app.4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'CCCC-car.4'!$AK$23:$AK$24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13.5</c:v>
                      </c:pt>
                      <c:pt idx="1">
                        <c:v>13.5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'CCCC-car.4'!$AL$23:$AL$24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-28.559385024057747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2-E0FC-401F-A744-AF57728A2E16}"/>
                  </c:ext>
                </c:extLst>
              </c15:ser>
            </c15:filteredLineSeries>
            <c15:filteredLineSeries>
              <c15:ser>
                <c:idx val="36"/>
                <c:order val="36"/>
                <c:tx>
                  <c:v>4-app.5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'CCCC-car.4'!$AK$25:$AK$26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17.5</c:v>
                      </c:pt>
                      <c:pt idx="1">
                        <c:v>17.5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'CCCC-car.4'!$AL$25:$AL$26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4-E0FC-401F-A744-AF57728A2E16}"/>
                  </c:ext>
                </c:extLst>
              </c15:ser>
            </c15:filteredLineSeries>
            <c15:filteredLineSeries>
              <c15:ser>
                <c:idx val="37"/>
                <c:order val="37"/>
                <c:tx>
                  <c:v>4-camp.1-2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'CCCC-car.4'!$AK$40:$AK$41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1.594338570670655</c:v>
                      </c:pt>
                      <c:pt idx="1">
                        <c:v>1.594338570670655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'CCCC-car.4'!$AL$40:$AL$41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18.238243554134453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6-E0FC-401F-A744-AF57728A2E16}"/>
                  </c:ext>
                </c:extLst>
              </c15:ser>
            </c15:filteredLineSeries>
            <c15:filteredLineSeries>
              <c15:ser>
                <c:idx val="38"/>
                <c:order val="38"/>
                <c:tx>
                  <c:v>4-camp.2-3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6.0283071466467257</c:v>
                      </c:pt>
                      <c:pt idx="1">
                        <c:v>6.0283071466467257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'CCCC-car.4'!$AL$42:$AL$43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6.2331983536620506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8-E0FC-401F-A744-AF57728A2E16}"/>
                  </c:ext>
                </c:extLst>
              </c15:ser>
            </c15:filteredLineSeries>
            <c15:filteredLineSeries>
              <c15:ser>
                <c:idx val="39"/>
                <c:order val="39"/>
                <c:tx>
                  <c:v>4-camp.3-4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'CCCC-car.4'!$AK$44:$AK$45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10.629267666496187</c:v>
                      </c:pt>
                      <c:pt idx="1">
                        <c:v>10.629267666496187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'CCCC-car.4'!$AL$44:$AL$45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14.253150934535228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A-E0FC-401F-A744-AF57728A2E16}"/>
                  </c:ext>
                </c:extLst>
              </c15:ser>
            </c15:filteredLineSeries>
            <c15:filteredLineSeries>
              <c15:ser>
                <c:idx val="40"/>
                <c:order val="40"/>
                <c:tx>
                  <c:v>4-camp.4-5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'CCCC-car.4'!$AK$46:$AK$47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15.997550261743166</c:v>
                      </c:pt>
                      <c:pt idx="1">
                        <c:v>15.997550261743166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'CCCC-car.4'!$AL$46:$AL$47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16.196523674714086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C-E0FC-401F-A744-AF57728A2E16}"/>
                  </c:ext>
                </c:extLst>
              </c15:ser>
            </c15:filteredLineSeries>
            <c15:filteredLineSeries>
              <c15:ser>
                <c:idx val="41"/>
                <c:order val="41"/>
                <c:tx>
                  <c:v>5-app.1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'CCCC-car.5'!$AK$17:$AK$18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'CCCC-car.5'!$AL$17:$AL$18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E-E0FC-401F-A744-AF57728A2E16}"/>
                  </c:ext>
                </c:extLst>
              </c15:ser>
            </c15:filteredLineSeries>
            <c15:filteredLineSeries>
              <c15:ser>
                <c:idx val="42"/>
                <c:order val="42"/>
                <c:tx>
                  <c:v>5-app.2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'CCCC-car.5'!$AK$19:$AK$20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4</c:v>
                      </c:pt>
                      <c:pt idx="1">
                        <c:v>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'CCCC-car.5'!$AL$19:$AL$20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-18.265846656976748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0-E0FC-401F-A744-AF57728A2E16}"/>
                  </c:ext>
                </c:extLst>
              </c15:ser>
            </c15:filteredLineSeries>
            <c15:filteredLineSeries>
              <c15:ser>
                <c:idx val="43"/>
                <c:order val="43"/>
                <c:tx>
                  <c:v>5-app.3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'CCCC-car.5'!$AK$21:$AK$22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8</c:v>
                      </c:pt>
                      <c:pt idx="1">
                        <c:v>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'CCCC-car.5'!$AL$21:$AL$22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-25.896613372093043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2-E0FC-401F-A744-AF57728A2E16}"/>
                  </c:ext>
                </c:extLst>
              </c15:ser>
            </c15:filteredLineSeries>
            <c15:filteredLineSeries>
              <c15:ser>
                <c:idx val="44"/>
                <c:order val="44"/>
                <c:tx>
                  <c:v>5-app.4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'CCCC-car.5'!$AK$23:$AK$24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13.5</c:v>
                      </c:pt>
                      <c:pt idx="1">
                        <c:v>13.5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'CCCC-car.5'!$AL$23:$AL$24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-36.002049418604656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4-E0FC-401F-A744-AF57728A2E16}"/>
                  </c:ext>
                </c:extLst>
              </c15:ser>
            </c15:filteredLineSeries>
            <c15:filteredLineSeries>
              <c15:ser>
                <c:idx val="45"/>
                <c:order val="45"/>
                <c:tx>
                  <c:v>5-app.5</c:v>
                </c:tx>
                <c:marker>
                  <c:symbol val="none"/>
                </c:marker>
                <c:dPt>
                  <c:idx val="1"/>
                  <c:bubble3D val="0"/>
                  <c:spPr/>
                  <c:extLst>
                    <c:ext xmlns:c16="http://schemas.microsoft.com/office/drawing/2014/chart" uri="{C3380CC4-5D6E-409C-BE32-E72D297353CC}">
                      <c16:uniqueId val="{00000066-E0FC-401F-A744-AF57728A2E16}"/>
                    </c:ext>
                  </c:extLst>
                </c:dPt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'CCCC-car.5'!$AK$25:$AK$26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17.5</c:v>
                      </c:pt>
                      <c:pt idx="1">
                        <c:v>17.5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'CCCC-car.5'!$AL$25:$AL$26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8-E0FC-401F-A744-AF57728A2E16}"/>
                  </c:ext>
                </c:extLst>
              </c15:ser>
            </c15:filteredLineSeries>
            <c15:filteredLineSeries>
              <c15:ser>
                <c:idx val="46"/>
                <c:order val="46"/>
                <c:tx>
                  <c:v>5-camp.1-2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'CCCC-car.5'!$AK$40:$AK$41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1.6817796749655618</c:v>
                      </c:pt>
                      <c:pt idx="1">
                        <c:v>1.6817796749655618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'CCCC-car.5'!$AL$40:$AL$41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20.293647129038163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A-E0FC-401F-A744-AF57728A2E16}"/>
                  </c:ext>
                </c:extLst>
              </c15:ser>
            </c15:filteredLineSeries>
            <c15:filteredLineSeries>
              <c15:ser>
                <c:idx val="47"/>
                <c:order val="47"/>
                <c:tx>
                  <c:v>5-camp.2-3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'CCCC-car.5'!$AK$42:$AK$43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5.8163915612339681</c:v>
                      </c:pt>
                      <c:pt idx="1">
                        <c:v>5.8163915612339681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'CCCC-car.5'!$AL$42:$AL$43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-1.1260958691411069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C-E0FC-401F-A744-AF57728A2E16}"/>
                  </c:ext>
                </c:extLst>
              </c15:ser>
            </c15:filteredLineSeries>
            <c15:filteredLineSeries>
              <c15:ser>
                <c:idx val="48"/>
                <c:order val="48"/>
                <c:tx>
                  <c:v>5-camp.3-4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'CCCC-car.5'!$AK$44:$AK$45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10.621961532511731</c:v>
                      </c:pt>
                      <c:pt idx="1">
                        <c:v>10.621961532511731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'CCCC-car.5'!$AL$44:$AL$45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23.429231972350777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6E-E0FC-401F-A744-AF57728A2E16}"/>
                  </c:ext>
                </c:extLst>
              </c15:ser>
            </c15:filteredLineSeries>
            <c15:filteredLineSeries>
              <c15:ser>
                <c:idx val="49"/>
                <c:order val="49"/>
                <c:tx>
                  <c:v>5-camp.4-5</c:v>
                </c:tx>
                <c:spPr>
                  <a:ln w="6350"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'CCCC-car.5'!$AK$46:$AK$47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16.127213404505309</c:v>
                      </c:pt>
                      <c:pt idx="1">
                        <c:v>16.127213404505309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'CCCC-car.5'!$AL$46:$AL$47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 formatCode="General">
                        <c:v>0</c:v>
                      </c:pt>
                      <c:pt idx="1">
                        <c:v>13.521596288824071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70-E0FC-401F-A744-AF57728A2E16}"/>
                  </c:ext>
                </c:extLst>
              </c15:ser>
            </c15:filteredLineSeries>
          </c:ext>
        </c:extLst>
      </c:lineChar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9.8685243803879281</c:v>
                </c:pt>
                <c:pt idx="6">
                  <c:v>16.149548760775858</c:v>
                </c:pt>
                <c:pt idx="7">
                  <c:v>18.843073141163785</c:v>
                </c:pt>
                <c:pt idx="8">
                  <c:v>17.949097521551714</c:v>
                </c:pt>
                <c:pt idx="9">
                  <c:v>13.467621901939644</c:v>
                </c:pt>
                <c:pt idx="10">
                  <c:v>5.3986462823275758</c:v>
                </c:pt>
                <c:pt idx="11">
                  <c:v>-6.2578293372844911</c:v>
                </c:pt>
                <c:pt idx="12">
                  <c:v>-21.501804956896564</c:v>
                </c:pt>
                <c:pt idx="13">
                  <c:v>-21.501804956896549</c:v>
                </c:pt>
                <c:pt idx="14">
                  <c:v>-9.8569268588362071</c:v>
                </c:pt>
                <c:pt idx="15">
                  <c:v>-1.7995487607758633</c:v>
                </c:pt>
                <c:pt idx="16">
                  <c:v>2.6703293372844783</c:v>
                </c:pt>
                <c:pt idx="17">
                  <c:v>3.5527074353448214</c:v>
                </c:pt>
                <c:pt idx="18">
                  <c:v>0.84758553340518006</c:v>
                </c:pt>
                <c:pt idx="19">
                  <c:v>-5.4450363685344882</c:v>
                </c:pt>
                <c:pt idx="20">
                  <c:v>-15.325158270474148</c:v>
                </c:pt>
                <c:pt idx="21">
                  <c:v>-28.792780172413813</c:v>
                </c:pt>
                <c:pt idx="22">
                  <c:v>-28.792780172413796</c:v>
                </c:pt>
                <c:pt idx="23">
                  <c:v>-5.8499831627155281</c:v>
                </c:pt>
                <c:pt idx="24">
                  <c:v>10.310196659482742</c:v>
                </c:pt>
                <c:pt idx="25">
                  <c:v>19.687759294181021</c:v>
                </c:pt>
                <c:pt idx="26">
                  <c:v>22.282704741379291</c:v>
                </c:pt>
                <c:pt idx="27">
                  <c:v>18.095033001077553</c:v>
                </c:pt>
                <c:pt idx="28">
                  <c:v>7.1247440732758491</c:v>
                </c:pt>
                <c:pt idx="29">
                  <c:v>-10.628162042025906</c:v>
                </c:pt>
                <c:pt idx="30">
                  <c:v>-35.163685344827599</c:v>
                </c:pt>
                <c:pt idx="31">
                  <c:v>-35.163685344827577</c:v>
                </c:pt>
                <c:pt idx="32">
                  <c:v>-18.211974676724136</c:v>
                </c:pt>
                <c:pt idx="33">
                  <c:v>-4.8477640086206861</c:v>
                </c:pt>
                <c:pt idx="34">
                  <c:v>4.9289466594827545</c:v>
                </c:pt>
                <c:pt idx="35">
                  <c:v>11.118157327586204</c:v>
                </c:pt>
                <c:pt idx="36">
                  <c:v>13.719867995689654</c:v>
                </c:pt>
                <c:pt idx="37">
                  <c:v>12.734078663793099</c:v>
                </c:pt>
                <c:pt idx="38">
                  <c:v>8.1607893318965523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C-401F-A744-AF57728A2E16}"/>
            </c:ext>
          </c:extLst>
        </c:ser>
        <c:ser>
          <c:idx val="6"/>
          <c:order val="10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6.7057976487319575</c:v>
                </c:pt>
                <c:pt idx="6">
                  <c:v>10.814095297463915</c:v>
                </c:pt>
                <c:pt idx="7">
                  <c:v>12.324892946195872</c:v>
                </c:pt>
                <c:pt idx="8">
                  <c:v>11.238190594927829</c:v>
                </c:pt>
                <c:pt idx="9">
                  <c:v>7.5539882436597878</c:v>
                </c:pt>
                <c:pt idx="10">
                  <c:v>1.2722858923917428</c:v>
                </c:pt>
                <c:pt idx="11">
                  <c:v>-7.6069164588762987</c:v>
                </c:pt>
                <c:pt idx="12">
                  <c:v>-19.083618810144344</c:v>
                </c:pt>
                <c:pt idx="13">
                  <c:v>-19.083618810144344</c:v>
                </c:pt>
                <c:pt idx="14">
                  <c:v>-6.9701070538041296</c:v>
                </c:pt>
                <c:pt idx="15">
                  <c:v>1.5559047025360861</c:v>
                </c:pt>
                <c:pt idx="16">
                  <c:v>6.4944164588763016</c:v>
                </c:pt>
                <c:pt idx="17">
                  <c:v>7.8454282152165149</c:v>
                </c:pt>
                <c:pt idx="18">
                  <c:v>5.6089399715567296</c:v>
                </c:pt>
                <c:pt idx="19">
                  <c:v>-0.21504827210304711</c:v>
                </c:pt>
                <c:pt idx="20">
                  <c:v>-9.6265365157628366</c:v>
                </c:pt>
                <c:pt idx="21">
                  <c:v>-22.625524759422618</c:v>
                </c:pt>
                <c:pt idx="22">
                  <c:v>-22.625524759422614</c:v>
                </c:pt>
                <c:pt idx="23">
                  <c:v>-6.1441809248446262</c:v>
                </c:pt>
                <c:pt idx="24">
                  <c:v>5.4262644722333633</c:v>
                </c:pt>
                <c:pt idx="25">
                  <c:v>12.085811431811351</c:v>
                </c:pt>
                <c:pt idx="26">
                  <c:v>13.834459953889336</c:v>
                </c:pt>
                <c:pt idx="27">
                  <c:v>10.672210038467327</c:v>
                </c:pt>
                <c:pt idx="28">
                  <c:v>2.5990616855453084</c:v>
                </c:pt>
                <c:pt idx="29">
                  <c:v>-10.384985104876705</c:v>
                </c:pt>
                <c:pt idx="30">
                  <c:v>-28.279930332798699</c:v>
                </c:pt>
                <c:pt idx="31">
                  <c:v>-28.279930332798713</c:v>
                </c:pt>
                <c:pt idx="32">
                  <c:v>-12.188689041198874</c:v>
                </c:pt>
                <c:pt idx="33">
                  <c:v>0.31505225040096718</c:v>
                </c:pt>
                <c:pt idx="34">
                  <c:v>9.231293542000806</c:v>
                </c:pt>
                <c:pt idx="35">
                  <c:v>14.560034833600646</c:v>
                </c:pt>
                <c:pt idx="36">
                  <c:v>16.301276125200502</c:v>
                </c:pt>
                <c:pt idx="37">
                  <c:v>14.455017416800331</c:v>
                </c:pt>
                <c:pt idx="38">
                  <c:v>9.0212587084001683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0FC-401F-A744-AF57728A2E16}"/>
            </c:ext>
          </c:extLst>
        </c:ser>
        <c:ser>
          <c:idx val="7"/>
          <c:order val="11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10.307951004285282</c:v>
                </c:pt>
                <c:pt idx="6">
                  <c:v>17.028402008570566</c:v>
                </c:pt>
                <c:pt idx="7">
                  <c:v>20.161353012855848</c:v>
                </c:pt>
                <c:pt idx="8">
                  <c:v>19.706804017141131</c:v>
                </c:pt>
                <c:pt idx="9">
                  <c:v>15.664755021426416</c:v>
                </c:pt>
                <c:pt idx="10">
                  <c:v>8.0352060257117017</c:v>
                </c:pt>
                <c:pt idx="11">
                  <c:v>-3.1818429700030038</c:v>
                </c:pt>
                <c:pt idx="12">
                  <c:v>-17.986391965717729</c:v>
                </c:pt>
                <c:pt idx="13">
                  <c:v>-17.986391965717722</c:v>
                </c:pt>
                <c:pt idx="14">
                  <c:v>-10.023646987144144</c:v>
                </c:pt>
                <c:pt idx="15">
                  <c:v>-4.6584020085705689</c:v>
                </c:pt>
                <c:pt idx="16">
                  <c:v>-1.8906570299969907</c:v>
                </c:pt>
                <c:pt idx="17">
                  <c:v>-1.7204120514234162</c:v>
                </c:pt>
                <c:pt idx="18">
                  <c:v>-4.1476670728498348</c:v>
                </c:pt>
                <c:pt idx="19">
                  <c:v>-9.1724220942762642</c:v>
                </c:pt>
                <c:pt idx="20">
                  <c:v>-16.794677115702683</c:v>
                </c:pt>
                <c:pt idx="21">
                  <c:v>-27.01443213712912</c:v>
                </c:pt>
                <c:pt idx="22">
                  <c:v>-27.014432137129116</c:v>
                </c:pt>
                <c:pt idx="23">
                  <c:v>-3.9414346462760719</c:v>
                </c:pt>
                <c:pt idx="24">
                  <c:v>12.348945657076975</c:v>
                </c:pt>
                <c:pt idx="25">
                  <c:v>21.85670877293002</c:v>
                </c:pt>
                <c:pt idx="26">
                  <c:v>24.581854701283078</c:v>
                </c:pt>
                <c:pt idx="27">
                  <c:v>20.524383442136113</c:v>
                </c:pt>
                <c:pt idx="28">
                  <c:v>9.6842949954891537</c:v>
                </c:pt>
                <c:pt idx="29">
                  <c:v>-7.9384106386577855</c:v>
                </c:pt>
                <c:pt idx="30">
                  <c:v>-32.343733460304719</c:v>
                </c:pt>
                <c:pt idx="31">
                  <c:v>-32.343733460304726</c:v>
                </c:pt>
                <c:pt idx="32">
                  <c:v>-19.209516777766634</c:v>
                </c:pt>
                <c:pt idx="33">
                  <c:v>-8.6728000952285456</c:v>
                </c:pt>
                <c:pt idx="34">
                  <c:v>-0.73358341269045724</c:v>
                </c:pt>
                <c:pt idx="35">
                  <c:v>4.6081332698476345</c:v>
                </c:pt>
                <c:pt idx="36">
                  <c:v>7.3523499523857367</c:v>
                </c:pt>
                <c:pt idx="37">
                  <c:v>7.4990666349238069</c:v>
                </c:pt>
                <c:pt idx="38">
                  <c:v>5.0482833174618946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0FC-401F-A744-AF57728A2E16}"/>
            </c:ext>
          </c:extLst>
        </c:ser>
        <c:ser>
          <c:idx val="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9.6456292445619489</c:v>
                </c:pt>
                <c:pt idx="6">
                  <c:v>15.703758489123897</c:v>
                </c:pt>
                <c:pt idx="7">
                  <c:v>18.174387733685847</c:v>
                </c:pt>
                <c:pt idx="8">
                  <c:v>17.057516978247797</c:v>
                </c:pt>
                <c:pt idx="9">
                  <c:v>12.353146222809748</c:v>
                </c:pt>
                <c:pt idx="10">
                  <c:v>4.0612754673717006</c:v>
                </c:pt>
                <c:pt idx="11">
                  <c:v>-7.8180952880663455</c:v>
                </c:pt>
                <c:pt idx="12">
                  <c:v>-23.284966043504397</c:v>
                </c:pt>
                <c:pt idx="13">
                  <c:v>-23.284966043504404</c:v>
                </c:pt>
                <c:pt idx="14">
                  <c:v>-10.52561226631415</c:v>
                </c:pt>
                <c:pt idx="15">
                  <c:v>-1.3537584891238943</c:v>
                </c:pt>
                <c:pt idx="16">
                  <c:v>4.2305952880663611</c:v>
                </c:pt>
                <c:pt idx="17">
                  <c:v>6.2274490652566143</c:v>
                </c:pt>
                <c:pt idx="18">
                  <c:v>4.636802842446869</c:v>
                </c:pt>
                <c:pt idx="19">
                  <c:v>-0.54134338036286067</c:v>
                </c:pt>
                <c:pt idx="20">
                  <c:v>-9.3069896031726103</c:v>
                </c:pt>
                <c:pt idx="21">
                  <c:v>-21.660135825982351</c:v>
                </c:pt>
                <c:pt idx="22">
                  <c:v>-21.660135825982362</c:v>
                </c:pt>
                <c:pt idx="23">
                  <c:v>-5.3343974444917848</c:v>
                </c:pt>
                <c:pt idx="24">
                  <c:v>6.080442499498794</c:v>
                </c:pt>
                <c:pt idx="25">
                  <c:v>12.584384005989371</c:v>
                </c:pt>
                <c:pt idx="26">
                  <c:v>14.177427074979946</c:v>
                </c:pt>
                <c:pt idx="27">
                  <c:v>10.859571706470533</c:v>
                </c:pt>
                <c:pt idx="28">
                  <c:v>2.6308179004610963</c:v>
                </c:pt>
                <c:pt idx="29">
                  <c:v>-10.508834343048306</c:v>
                </c:pt>
                <c:pt idx="30">
                  <c:v>-28.559385024057747</c:v>
                </c:pt>
                <c:pt idx="31">
                  <c:v>-28.559385024057736</c:v>
                </c:pt>
                <c:pt idx="32">
                  <c:v>-12.433211896050523</c:v>
                </c:pt>
                <c:pt idx="33">
                  <c:v>0.10546123195668855</c:v>
                </c:pt>
                <c:pt idx="34">
                  <c:v>9.0566343599639083</c:v>
                </c:pt>
                <c:pt idx="35">
                  <c:v>14.420307487971115</c:v>
                </c:pt>
                <c:pt idx="36">
                  <c:v>16.196480615978331</c:v>
                </c:pt>
                <c:pt idx="37">
                  <c:v>14.385153743985555</c:v>
                </c:pt>
                <c:pt idx="38">
                  <c:v>8.9863268719927731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0FC-401F-A744-AF57728A2E16}"/>
            </c:ext>
          </c:extLst>
        </c:ser>
        <c:ser>
          <c:idx val="9"/>
          <c:order val="13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10.273019167877905</c:v>
                </c:pt>
                <c:pt idx="6">
                  <c:v>16.958538335755811</c:v>
                </c:pt>
                <c:pt idx="7">
                  <c:v>20.056557503633712</c:v>
                </c:pt>
                <c:pt idx="8">
                  <c:v>19.567076671511622</c:v>
                </c:pt>
                <c:pt idx="9">
                  <c:v>15.490095839389532</c:v>
                </c:pt>
                <c:pt idx="10">
                  <c:v>7.8256150072674302</c:v>
                </c:pt>
                <c:pt idx="11">
                  <c:v>-3.4263658248546562</c:v>
                </c:pt>
                <c:pt idx="12">
                  <c:v>-18.265846656976748</c:v>
                </c:pt>
                <c:pt idx="13">
                  <c:v>-18.265846656976741</c:v>
                </c:pt>
                <c:pt idx="14">
                  <c:v>-10.128442496366276</c:v>
                </c:pt>
                <c:pt idx="15">
                  <c:v>-4.588538335755814</c:v>
                </c:pt>
                <c:pt idx="16">
                  <c:v>-1.6461341751453489</c:v>
                </c:pt>
                <c:pt idx="17">
                  <c:v>-1.3012300145348874</c:v>
                </c:pt>
                <c:pt idx="18">
                  <c:v>-3.5538258539244225</c:v>
                </c:pt>
                <c:pt idx="19">
                  <c:v>-8.4039216933139613</c:v>
                </c:pt>
                <c:pt idx="20">
                  <c:v>-15.851517532703497</c:v>
                </c:pt>
                <c:pt idx="21">
                  <c:v>-25.896613372093043</c:v>
                </c:pt>
                <c:pt idx="22">
                  <c:v>-25.896613372093032</c:v>
                </c:pt>
                <c:pt idx="23">
                  <c:v>-3.4206327216569896</c:v>
                </c:pt>
                <c:pt idx="24">
                  <c:v>12.272730741279055</c:v>
                </c:pt>
                <c:pt idx="25">
                  <c:v>21.183477016715102</c:v>
                </c:pt>
                <c:pt idx="26">
                  <c:v>23.311606104651148</c:v>
                </c:pt>
                <c:pt idx="27">
                  <c:v>18.657118005087199</c:v>
                </c:pt>
                <c:pt idx="28">
                  <c:v>7.2200127180232414</c:v>
                </c:pt>
                <c:pt idx="29">
                  <c:v>-10.999709756540739</c:v>
                </c:pt>
                <c:pt idx="30">
                  <c:v>-36.002049418604656</c:v>
                </c:pt>
                <c:pt idx="31">
                  <c:v>-36.002049418604642</c:v>
                </c:pt>
                <c:pt idx="32">
                  <c:v>-18.945543241279069</c:v>
                </c:pt>
                <c:pt idx="33">
                  <c:v>-5.4765370639534865</c:v>
                </c:pt>
                <c:pt idx="34">
                  <c:v>4.4049691133720899</c:v>
                </c:pt>
                <c:pt idx="35">
                  <c:v>10.698975290697661</c:v>
                </c:pt>
                <c:pt idx="36">
                  <c:v>13.405481468023254</c:v>
                </c:pt>
                <c:pt idx="37">
                  <c:v>12.524487645348827</c:v>
                </c:pt>
                <c:pt idx="38">
                  <c:v>8.0559938226744094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0FC-401F-A744-AF57728A2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88416"/>
        <c:axId val="342488976"/>
      </c:scatterChart>
      <c:scatterChart>
        <c:scatterStyle val="lineMarker"/>
        <c:varyColors val="0"/>
        <c:ser>
          <c:idx val="1"/>
          <c:order val="1"/>
          <c:tx>
            <c:v>app1</c:v>
          </c:tx>
          <c:spPr>
            <a:ln w="28575">
              <a:noFill/>
            </a:ln>
          </c:spPr>
          <c:dPt>
            <c:idx val="1"/>
            <c:bubble3D val="0"/>
            <c:spPr>
              <a:ln w="285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0FC-401F-A744-AF57728A2E16}"/>
              </c:ext>
            </c:extLst>
          </c:dPt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FC-401F-A744-AF57728A2E16}"/>
            </c:ext>
          </c:extLst>
        </c:ser>
        <c:ser>
          <c:idx val="2"/>
          <c:order val="2"/>
          <c:tx>
            <c:v>app2</c:v>
          </c:tx>
          <c:spPr>
            <a:ln w="25400">
              <a:noFill/>
            </a:ln>
          </c:spPr>
          <c:dPt>
            <c:idx val="1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6-E0FC-401F-A744-AF57728A2E16}"/>
              </c:ext>
            </c:extLst>
          </c:dPt>
          <c:xVal>
            <c:numRef>
              <c:f>'CCCC-car.1'!$AK$19:$AK$20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-21.501804956896564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FC-401F-A744-AF57728A2E16}"/>
            </c:ext>
          </c:extLst>
        </c:ser>
        <c:ser>
          <c:idx val="3"/>
          <c:order val="3"/>
          <c:tx>
            <c:v>app3</c:v>
          </c:tx>
          <c:spPr>
            <a:ln w="25400">
              <a:noFill/>
            </a:ln>
          </c:spPr>
          <c:dPt>
            <c:idx val="1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A-E0FC-401F-A744-AF57728A2E16}"/>
              </c:ext>
            </c:extLst>
          </c:dPt>
          <c:xVal>
            <c:numRef>
              <c:f>'CCCC-car.1'!$AK$21:$AK$22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-28.792780172413813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FC-401F-A744-AF57728A2E16}"/>
            </c:ext>
          </c:extLst>
        </c:ser>
        <c:ser>
          <c:idx val="4"/>
          <c:order val="4"/>
          <c:tx>
            <c:v>app4</c:v>
          </c:tx>
          <c:spPr>
            <a:ln w="25400">
              <a:noFill/>
            </a:ln>
          </c:spPr>
          <c:xVal>
            <c:numRef>
              <c:f>'CCCC-car.1'!$AK$23:$AK$24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-35.163685344827599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FC-401F-A744-AF57728A2E16}"/>
            </c:ext>
          </c:extLst>
        </c:ser>
        <c:ser>
          <c:idx val="5"/>
          <c:order val="5"/>
          <c:tx>
            <c:v>app5</c:v>
          </c:tx>
          <c:spPr>
            <a:ln w="28575">
              <a:noFill/>
            </a:ln>
          </c:spPr>
          <c:dPt>
            <c:idx val="1"/>
            <c:bubble3D val="0"/>
            <c:spPr>
              <a:ln w="28575">
                <a:noFill/>
              </a:ln>
            </c:spPr>
            <c:extLst>
              <c:ext xmlns:c16="http://schemas.microsoft.com/office/drawing/2014/chart" uri="{C3380CC4-5D6E-409C-BE32-E72D297353CC}">
                <c16:uniqueId val="{00000010-E0FC-401F-A744-AF57728A2E16}"/>
              </c:ext>
            </c:extLst>
          </c:dPt>
          <c:xVal>
            <c:numRef>
              <c:f>'CCCC-car.1'!$AK$25:$AK$26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0FC-401F-A744-AF57728A2E16}"/>
            </c:ext>
          </c:extLst>
        </c:ser>
        <c:ser>
          <c:idx val="10"/>
          <c:order val="6"/>
          <c:tx>
            <c:v>camp1-2</c:v>
          </c:tx>
          <c:spPr>
            <a:ln w="25400">
              <a:noFill/>
            </a:ln>
          </c:spPr>
          <c:xVal>
            <c:numRef>
              <c:f>'CCCC-car.1'!$AK$40:$AK$41</c:f>
              <c:numCache>
                <c:formatCode>0.00</c:formatCode>
                <c:ptCount val="2"/>
                <c:pt idx="0">
                  <c:v>1.6254040948275859</c:v>
                </c:pt>
                <c:pt idx="1">
                  <c:v>1.6254040948275859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18.955908532885388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0FC-401F-A744-AF57728A2E16}"/>
            </c:ext>
          </c:extLst>
        </c:ser>
        <c:ser>
          <c:idx val="26"/>
          <c:order val="26"/>
          <c:tx>
            <c:v>3-app.4</c:v>
          </c:tx>
          <c:spPr>
            <a:ln w="6350">
              <a:solidFill>
                <a:schemeClr val="tx1"/>
              </a:solidFill>
            </a:ln>
          </c:spPr>
          <c:xVal>
            <c:numRef>
              <c:f>'CCCC-car.3'!$AK$23:$AK$24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-32.343733460304719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0FC-401F-A744-AF57728A2E16}"/>
            </c:ext>
          </c:extLst>
        </c:ser>
        <c:ser>
          <c:idx val="50"/>
          <c:order val="50"/>
          <c:tx>
            <c:v>MRD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Foglio1!$A$4:$A$43</c:f>
              <c:numCache>
                <c:formatCode>0.00</c:formatCode>
                <c:ptCount val="4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</c:v>
                </c:pt>
                <c:pt idx="19">
                  <c:v>8.6875</c:v>
                </c:pt>
                <c:pt idx="20">
                  <c:v>9.375</c:v>
                </c:pt>
                <c:pt idx="21">
                  <c:v>10.0625</c:v>
                </c:pt>
                <c:pt idx="22">
                  <c:v>10.75</c:v>
                </c:pt>
                <c:pt idx="23">
                  <c:v>11.4375</c:v>
                </c:pt>
                <c:pt idx="24">
                  <c:v>12.125</c:v>
                </c:pt>
                <c:pt idx="25">
                  <c:v>12.8125</c:v>
                </c:pt>
                <c:pt idx="26">
                  <c:v>13.5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</c:numCache>
            </c:numRef>
          </c:xVal>
          <c:yVal>
            <c:numRef>
              <c:f>Foglio1!$G$4:$G$43</c:f>
              <c:numCache>
                <c:formatCode>0.0</c:formatCode>
                <c:ptCount val="40"/>
                <c:pt idx="0">
                  <c:v>22.703060788628992</c:v>
                </c:pt>
                <c:pt idx="1">
                  <c:v>22.703060788628992</c:v>
                </c:pt>
                <c:pt idx="2">
                  <c:v>22.703060788628992</c:v>
                </c:pt>
                <c:pt idx="3">
                  <c:v>22.703060788628992</c:v>
                </c:pt>
                <c:pt idx="4">
                  <c:v>22.703060788628992</c:v>
                </c:pt>
                <c:pt idx="5">
                  <c:v>22.703060788628992</c:v>
                </c:pt>
                <c:pt idx="6">
                  <c:v>22.703060788628992</c:v>
                </c:pt>
                <c:pt idx="7">
                  <c:v>22.703060788628992</c:v>
                </c:pt>
                <c:pt idx="8">
                  <c:v>22.703060788628992</c:v>
                </c:pt>
                <c:pt idx="9">
                  <c:v>22.703060788628992</c:v>
                </c:pt>
                <c:pt idx="10">
                  <c:v>22.703060788628992</c:v>
                </c:pt>
                <c:pt idx="11">
                  <c:v>22.703060788628992</c:v>
                </c:pt>
                <c:pt idx="12">
                  <c:v>22.703060788628992</c:v>
                </c:pt>
                <c:pt idx="13">
                  <c:v>22.703060788628992</c:v>
                </c:pt>
                <c:pt idx="14">
                  <c:v>22.703060788628992</c:v>
                </c:pt>
                <c:pt idx="15">
                  <c:v>22.703060788628992</c:v>
                </c:pt>
                <c:pt idx="16">
                  <c:v>22.703060788628992</c:v>
                </c:pt>
                <c:pt idx="17">
                  <c:v>22.703060788628992</c:v>
                </c:pt>
                <c:pt idx="18">
                  <c:v>22.703060788628992</c:v>
                </c:pt>
                <c:pt idx="19">
                  <c:v>22.703060788628992</c:v>
                </c:pt>
                <c:pt idx="20">
                  <c:v>37.83843464771499</c:v>
                </c:pt>
                <c:pt idx="21">
                  <c:v>37.83843464771499</c:v>
                </c:pt>
                <c:pt idx="22">
                  <c:v>37.83843464771499</c:v>
                </c:pt>
                <c:pt idx="23">
                  <c:v>37.83843464771499</c:v>
                </c:pt>
                <c:pt idx="24">
                  <c:v>37.83843464771499</c:v>
                </c:pt>
                <c:pt idx="25">
                  <c:v>22.703060788628992</c:v>
                </c:pt>
                <c:pt idx="26">
                  <c:v>22.703060788628992</c:v>
                </c:pt>
                <c:pt idx="27">
                  <c:v>22.703060788628992</c:v>
                </c:pt>
                <c:pt idx="28">
                  <c:v>22.703060788628992</c:v>
                </c:pt>
                <c:pt idx="29">
                  <c:v>22.703060788628992</c:v>
                </c:pt>
                <c:pt idx="30">
                  <c:v>22.703060788628992</c:v>
                </c:pt>
                <c:pt idx="31">
                  <c:v>22.703060788628992</c:v>
                </c:pt>
                <c:pt idx="32">
                  <c:v>22.703060788628992</c:v>
                </c:pt>
                <c:pt idx="33">
                  <c:v>22.703060788628992</c:v>
                </c:pt>
                <c:pt idx="34">
                  <c:v>22.703060788628992</c:v>
                </c:pt>
                <c:pt idx="35">
                  <c:v>22.703060788628992</c:v>
                </c:pt>
                <c:pt idx="36">
                  <c:v>22.703060788628992</c:v>
                </c:pt>
                <c:pt idx="37">
                  <c:v>22.703060788628992</c:v>
                </c:pt>
                <c:pt idx="38">
                  <c:v>22.703060788628992</c:v>
                </c:pt>
                <c:pt idx="39">
                  <c:v>22.703060788628992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53E-4FAA-83A0-88DB8AC84B60}"/>
            </c:ext>
          </c:extLst>
        </c:ser>
        <c:ser>
          <c:idx val="51"/>
          <c:order val="51"/>
          <c:tx>
            <c:v>MRD-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Foglio1!$A$4:$A$43</c:f>
              <c:numCache>
                <c:formatCode>0.00</c:formatCode>
                <c:ptCount val="4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</c:v>
                </c:pt>
                <c:pt idx="19">
                  <c:v>8.6875</c:v>
                </c:pt>
                <c:pt idx="20">
                  <c:v>9.375</c:v>
                </c:pt>
                <c:pt idx="21">
                  <c:v>10.0625</c:v>
                </c:pt>
                <c:pt idx="22">
                  <c:v>10.75</c:v>
                </c:pt>
                <c:pt idx="23">
                  <c:v>11.4375</c:v>
                </c:pt>
                <c:pt idx="24">
                  <c:v>12.125</c:v>
                </c:pt>
                <c:pt idx="25">
                  <c:v>12.8125</c:v>
                </c:pt>
                <c:pt idx="26">
                  <c:v>13.5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</c:numCache>
            </c:numRef>
          </c:xVal>
          <c:yVal>
            <c:numRef>
              <c:f>Foglio1!$K$4:$K$43</c:f>
              <c:numCache>
                <c:formatCode>0.0</c:formatCode>
                <c:ptCount val="40"/>
                <c:pt idx="0">
                  <c:v>-30.270747718171986</c:v>
                </c:pt>
                <c:pt idx="1">
                  <c:v>-30.270747718171986</c:v>
                </c:pt>
                <c:pt idx="2">
                  <c:v>-30.270747718171986</c:v>
                </c:pt>
                <c:pt idx="3">
                  <c:v>-30.270747718171986</c:v>
                </c:pt>
                <c:pt idx="4">
                  <c:v>-30.270747718171986</c:v>
                </c:pt>
                <c:pt idx="5">
                  <c:v>-30.270747718171986</c:v>
                </c:pt>
                <c:pt idx="6">
                  <c:v>-30.270747718171986</c:v>
                </c:pt>
                <c:pt idx="7">
                  <c:v>-30.270747718171986</c:v>
                </c:pt>
                <c:pt idx="8">
                  <c:v>-30.270747718171986</c:v>
                </c:pt>
                <c:pt idx="9">
                  <c:v>-30.270747718171986</c:v>
                </c:pt>
                <c:pt idx="10">
                  <c:v>-30.270747718171986</c:v>
                </c:pt>
                <c:pt idx="11">
                  <c:v>-30.270747718171986</c:v>
                </c:pt>
                <c:pt idx="12">
                  <c:v>-30.270747718171986</c:v>
                </c:pt>
                <c:pt idx="13">
                  <c:v>-30.270747718171986</c:v>
                </c:pt>
                <c:pt idx="14">
                  <c:v>-30.270747718171986</c:v>
                </c:pt>
                <c:pt idx="15">
                  <c:v>-30.270747718171986</c:v>
                </c:pt>
                <c:pt idx="16">
                  <c:v>-30.270747718171986</c:v>
                </c:pt>
                <c:pt idx="17">
                  <c:v>-30.270747718171986</c:v>
                </c:pt>
                <c:pt idx="18">
                  <c:v>-30.270747718171986</c:v>
                </c:pt>
                <c:pt idx="19">
                  <c:v>-30.270747718171986</c:v>
                </c:pt>
                <c:pt idx="20">
                  <c:v>-30.270747718171986</c:v>
                </c:pt>
                <c:pt idx="21">
                  <c:v>-30.270747718171986</c:v>
                </c:pt>
                <c:pt idx="22">
                  <c:v>-30.270747718171986</c:v>
                </c:pt>
                <c:pt idx="23">
                  <c:v>-30.270747718171986</c:v>
                </c:pt>
                <c:pt idx="24">
                  <c:v>-45.406121577257984</c:v>
                </c:pt>
                <c:pt idx="25">
                  <c:v>-45.406121577257984</c:v>
                </c:pt>
                <c:pt idx="26">
                  <c:v>-45.406121577257984</c:v>
                </c:pt>
                <c:pt idx="27">
                  <c:v>-45.406121577257984</c:v>
                </c:pt>
                <c:pt idx="28">
                  <c:v>-45.406121577257984</c:v>
                </c:pt>
                <c:pt idx="29">
                  <c:v>-45.406121577257984</c:v>
                </c:pt>
                <c:pt idx="30">
                  <c:v>-45.406121577257984</c:v>
                </c:pt>
                <c:pt idx="31">
                  <c:v>-30.270747718171986</c:v>
                </c:pt>
                <c:pt idx="32">
                  <c:v>-30.270747718171986</c:v>
                </c:pt>
                <c:pt idx="33">
                  <c:v>-30.270747718171986</c:v>
                </c:pt>
                <c:pt idx="34">
                  <c:v>-30.270747718171986</c:v>
                </c:pt>
                <c:pt idx="35">
                  <c:v>-30.270747718171986</c:v>
                </c:pt>
                <c:pt idx="36">
                  <c:v>-30.270747718171986</c:v>
                </c:pt>
                <c:pt idx="37">
                  <c:v>-30.270747718171986</c:v>
                </c:pt>
                <c:pt idx="38">
                  <c:v>-30.270747718171986</c:v>
                </c:pt>
                <c:pt idx="39">
                  <c:v>-30.270747718171986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53E-4FAA-83A0-88DB8AC84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488416"/>
        <c:axId val="342488976"/>
      </c:scatterChart>
      <c:catAx>
        <c:axId val="3424884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56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2488976"/>
        <c:crosses val="autoZero"/>
        <c:auto val="1"/>
        <c:lblAlgn val="ctr"/>
        <c:lblOffset val="100"/>
        <c:noMultiLvlLbl val="1"/>
      </c:catAx>
      <c:valAx>
        <c:axId val="34248897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24884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 orientation="landscape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2"/>
          <c:w val="0.94796977526453763"/>
          <c:h val="0.77738578636804923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23.324548760775855</c:v>
                </c:pt>
                <c:pt idx="5">
                  <c:v>16.149548760775858</c:v>
                </c:pt>
                <c:pt idx="6">
                  <c:v>8.9745487607758569</c:v>
                </c:pt>
                <c:pt idx="7">
                  <c:v>1.7995487607758562</c:v>
                </c:pt>
                <c:pt idx="8">
                  <c:v>-5.3754512392241409</c:v>
                </c:pt>
                <c:pt idx="9">
                  <c:v>-12.550451239224138</c:v>
                </c:pt>
                <c:pt idx="10">
                  <c:v>-19.725451239224142</c:v>
                </c:pt>
                <c:pt idx="11">
                  <c:v>-26.900451239224139</c:v>
                </c:pt>
                <c:pt idx="12">
                  <c:v>-34.075451239224137</c:v>
                </c:pt>
                <c:pt idx="13">
                  <c:v>26.877256196120683</c:v>
                </c:pt>
                <c:pt idx="14">
                  <c:v>19.702256196120686</c:v>
                </c:pt>
                <c:pt idx="15">
                  <c:v>12.527256196120685</c:v>
                </c:pt>
                <c:pt idx="16">
                  <c:v>5.3522561961206847</c:v>
                </c:pt>
                <c:pt idx="17">
                  <c:v>-1.8227438038793125</c:v>
                </c:pt>
                <c:pt idx="18">
                  <c:v>-8.9977438038793096</c:v>
                </c:pt>
                <c:pt idx="19">
                  <c:v>-16.172743803879314</c:v>
                </c:pt>
                <c:pt idx="20">
                  <c:v>-23.347743803879311</c:v>
                </c:pt>
                <c:pt idx="21">
                  <c:v>-30.522743803879308</c:v>
                </c:pt>
                <c:pt idx="22">
                  <c:v>38.304153605015664</c:v>
                </c:pt>
                <c:pt idx="23">
                  <c:v>28.438528605015666</c:v>
                </c:pt>
                <c:pt idx="24">
                  <c:v>18.572903605015668</c:v>
                </c:pt>
                <c:pt idx="25">
                  <c:v>8.7072786050156665</c:v>
                </c:pt>
                <c:pt idx="26">
                  <c:v>-1.1583463949843278</c:v>
                </c:pt>
                <c:pt idx="27">
                  <c:v>-11.023971394984329</c:v>
                </c:pt>
                <c:pt idx="28">
                  <c:v>-20.889596394984331</c:v>
                </c:pt>
                <c:pt idx="29">
                  <c:v>-30.755221394984325</c:v>
                </c:pt>
                <c:pt idx="30">
                  <c:v>-40.620846394984319</c:v>
                </c:pt>
                <c:pt idx="31">
                  <c:v>37.490921336206888</c:v>
                </c:pt>
                <c:pt idx="32">
                  <c:v>30.315921336206891</c:v>
                </c:pt>
                <c:pt idx="33">
                  <c:v>23.14092133620689</c:v>
                </c:pt>
                <c:pt idx="34">
                  <c:v>15.96592133620689</c:v>
                </c:pt>
                <c:pt idx="35">
                  <c:v>8.7909213362068925</c:v>
                </c:pt>
                <c:pt idx="36">
                  <c:v>1.6159213362068954</c:v>
                </c:pt>
                <c:pt idx="37">
                  <c:v>-5.5590786637931089</c:v>
                </c:pt>
                <c:pt idx="38">
                  <c:v>-12.734078663793106</c:v>
                </c:pt>
                <c:pt idx="39">
                  <c:v>-19.909078663793103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6EA-4176-A230-F273F45A0B7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'CCCC-Trave'!$AN$49</c:f>
              <c:numCache>
                <c:formatCode>0.00</c:formatCode>
                <c:ptCount val="1"/>
              </c:numCache>
            </c:numRef>
          </c:xVal>
          <c:yVal>
            <c:numRef>
              <c:f>'CCCC-Trave'!$AP$49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EA-4176-A230-F273F45A0B7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'CCCC-Trave'!$AN$50</c:f>
              <c:numCache>
                <c:formatCode>0.00</c:formatCode>
                <c:ptCount val="1"/>
              </c:numCache>
            </c:numRef>
          </c:xVal>
          <c:yVal>
            <c:numRef>
              <c:f>'CCCC-Trave'!$AP$50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EA-4176-A230-F273F45A0B7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'CCCC-Trave'!$AN$58</c:f>
              <c:numCache>
                <c:formatCode>0.00</c:formatCode>
                <c:ptCount val="1"/>
              </c:numCache>
            </c:numRef>
          </c:xVal>
          <c:yVal>
            <c:numRef>
              <c:f>'CCCC-Trave'!$AP$58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EA-4176-A230-F273F45A0B7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'CCCC-Trave'!$AN$59</c:f>
              <c:numCache>
                <c:formatCode>0.00</c:formatCode>
                <c:ptCount val="1"/>
              </c:numCache>
            </c:numRef>
          </c:xVal>
          <c:yVal>
            <c:numRef>
              <c:f>'CCCC-Trave'!$AP$59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EA-4176-A230-F273F45A0B7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'CCCC-Trave'!$AN$67</c:f>
              <c:numCache>
                <c:formatCode>0.00</c:formatCode>
                <c:ptCount val="1"/>
              </c:numCache>
            </c:numRef>
          </c:xVal>
          <c:yVal>
            <c:numRef>
              <c:f>'CCCC-Trave'!$AP$67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EA-4176-A230-F273F45A0B7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'CCCC-Trave'!$AN$68</c:f>
              <c:numCache>
                <c:formatCode>0.00</c:formatCode>
                <c:ptCount val="1"/>
              </c:numCache>
            </c:numRef>
          </c:xVal>
          <c:yVal>
            <c:numRef>
              <c:f>'CCCC-Trave'!$AP$68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6EA-4176-A230-F273F45A0B7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'CCCC-Trave'!$AN$76</c:f>
            </c:numRef>
          </c:xVal>
          <c:yVal>
            <c:numRef>
              <c:f>'CCCC-Trave'!$AP$76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A6EA-4176-A230-F273F45A0B7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'CCCC-Trave'!$AN$77</c:f>
            </c:numRef>
          </c:xVal>
          <c:yVal>
            <c:numRef>
              <c:f>'CCCC-Trave'!$AP$77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A6EA-4176-A230-F273F45A0B7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'CCCC-Trave'!$AN$85</c:f>
              <c:numCache>
                <c:formatCode>0.00</c:formatCode>
                <c:ptCount val="1"/>
              </c:numCache>
            </c:numRef>
          </c:xVal>
          <c:yVal>
            <c:numRef>
              <c:f>'CCCC-Trave'!$AP$85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EA-4176-A230-F273F45A0B7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'CCCC-Trave'!$AN$86</c:f>
              <c:numCache>
                <c:formatCode>0.00</c:formatCode>
                <c:ptCount val="1"/>
              </c:numCache>
            </c:numRef>
          </c:xVal>
          <c:yVal>
            <c:numRef>
              <c:f>'CCCC-Trave'!$AP$86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6EA-4176-A230-F273F45A0B7C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16.009095297463915</c:v>
                </c:pt>
                <c:pt idx="5">
                  <c:v>10.814095297463915</c:v>
                </c:pt>
                <c:pt idx="6">
                  <c:v>5.6190952974639146</c:v>
                </c:pt>
                <c:pt idx="7">
                  <c:v>0.42409529746391428</c:v>
                </c:pt>
                <c:pt idx="8">
                  <c:v>-4.770904702536086</c:v>
                </c:pt>
                <c:pt idx="9">
                  <c:v>-9.9659047025360863</c:v>
                </c:pt>
                <c:pt idx="10">
                  <c:v>-15.160904702536087</c:v>
                </c:pt>
                <c:pt idx="11">
                  <c:v>-20.355904702536087</c:v>
                </c:pt>
                <c:pt idx="12">
                  <c:v>-25.550904702536087</c:v>
                </c:pt>
                <c:pt idx="13">
                  <c:v>27.814523512680427</c:v>
                </c:pt>
                <c:pt idx="14">
                  <c:v>20.639523512680427</c:v>
                </c:pt>
                <c:pt idx="15">
                  <c:v>13.464523512680429</c:v>
                </c:pt>
                <c:pt idx="16">
                  <c:v>6.2895235126804288</c:v>
                </c:pt>
                <c:pt idx="17">
                  <c:v>-0.88547648731956841</c:v>
                </c:pt>
                <c:pt idx="18">
                  <c:v>-8.0604764873195656</c:v>
                </c:pt>
                <c:pt idx="19">
                  <c:v>-15.23547648731957</c:v>
                </c:pt>
                <c:pt idx="20">
                  <c:v>-22.410476487319567</c:v>
                </c:pt>
                <c:pt idx="21">
                  <c:v>-29.585476487319564</c:v>
                </c:pt>
                <c:pt idx="22">
                  <c:v>27.544426259386167</c:v>
                </c:pt>
                <c:pt idx="23">
                  <c:v>20.401301259386166</c:v>
                </c:pt>
                <c:pt idx="24">
                  <c:v>13.258176259386167</c:v>
                </c:pt>
                <c:pt idx="25">
                  <c:v>6.115051259386167</c:v>
                </c:pt>
                <c:pt idx="26">
                  <c:v>-1.0280737406138343</c:v>
                </c:pt>
                <c:pt idx="27">
                  <c:v>-8.1711987406138356</c:v>
                </c:pt>
                <c:pt idx="28">
                  <c:v>-15.314323740613833</c:v>
                </c:pt>
                <c:pt idx="29">
                  <c:v>-22.457448740613838</c:v>
                </c:pt>
                <c:pt idx="30">
                  <c:v>-29.600573740613836</c:v>
                </c:pt>
                <c:pt idx="31">
                  <c:v>35.769982583199678</c:v>
                </c:pt>
                <c:pt idx="32">
                  <c:v>28.59498258319968</c:v>
                </c:pt>
                <c:pt idx="33">
                  <c:v>21.41998258319968</c:v>
                </c:pt>
                <c:pt idx="34">
                  <c:v>14.244982583199679</c:v>
                </c:pt>
                <c:pt idx="35">
                  <c:v>7.0699825831996819</c:v>
                </c:pt>
                <c:pt idx="36">
                  <c:v>-0.10501741680031529</c:v>
                </c:pt>
                <c:pt idx="37">
                  <c:v>-7.2800174168003196</c:v>
                </c:pt>
                <c:pt idx="38">
                  <c:v>-14.455017416800317</c:v>
                </c:pt>
                <c:pt idx="39">
                  <c:v>-21.630017416800314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6EA-4176-A230-F273F45A0B7C}"/>
            </c:ext>
          </c:extLst>
        </c:ser>
        <c:ser>
          <c:idx val="12"/>
          <c:order val="1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24.203402008570563</c:v>
                </c:pt>
                <c:pt idx="5">
                  <c:v>17.028402008570566</c:v>
                </c:pt>
                <c:pt idx="6">
                  <c:v>9.8534020085705656</c:v>
                </c:pt>
                <c:pt idx="7">
                  <c:v>2.6784020085705649</c:v>
                </c:pt>
                <c:pt idx="8">
                  <c:v>-4.4965979914294323</c:v>
                </c:pt>
                <c:pt idx="9">
                  <c:v>-11.671597991429429</c:v>
                </c:pt>
                <c:pt idx="10">
                  <c:v>-18.846597991429434</c:v>
                </c:pt>
                <c:pt idx="11">
                  <c:v>-26.021597991429431</c:v>
                </c:pt>
                <c:pt idx="12">
                  <c:v>-33.196597991429428</c:v>
                </c:pt>
                <c:pt idx="13">
                  <c:v>18.522989957147153</c:v>
                </c:pt>
                <c:pt idx="14">
                  <c:v>13.327989957147153</c:v>
                </c:pt>
                <c:pt idx="15">
                  <c:v>8.1329899571471529</c:v>
                </c:pt>
                <c:pt idx="16">
                  <c:v>2.9379899571471526</c:v>
                </c:pt>
                <c:pt idx="17">
                  <c:v>-2.2570100428528477</c:v>
                </c:pt>
                <c:pt idx="18">
                  <c:v>-7.452010042852848</c:v>
                </c:pt>
                <c:pt idx="19">
                  <c:v>-12.647010042852848</c:v>
                </c:pt>
                <c:pt idx="20">
                  <c:v>-17.842010042852849</c:v>
                </c:pt>
                <c:pt idx="21">
                  <c:v>-23.037010042852849</c:v>
                </c:pt>
                <c:pt idx="22">
                  <c:v>38.493536123058973</c:v>
                </c:pt>
                <c:pt idx="23">
                  <c:v>28.627911123058976</c:v>
                </c:pt>
                <c:pt idx="24">
                  <c:v>18.762286123058978</c:v>
                </c:pt>
                <c:pt idx="25">
                  <c:v>8.8966611230589763</c:v>
                </c:pt>
                <c:pt idx="26">
                  <c:v>-0.96896387694101804</c:v>
                </c:pt>
                <c:pt idx="27">
                  <c:v>-10.834588876941019</c:v>
                </c:pt>
                <c:pt idx="28">
                  <c:v>-20.700213876941021</c:v>
                </c:pt>
                <c:pt idx="29">
                  <c:v>-30.565838876941015</c:v>
                </c:pt>
                <c:pt idx="30">
                  <c:v>-40.43146387694101</c:v>
                </c:pt>
                <c:pt idx="31">
                  <c:v>28.865933365076181</c:v>
                </c:pt>
                <c:pt idx="32">
                  <c:v>23.670933365076181</c:v>
                </c:pt>
                <c:pt idx="33">
                  <c:v>18.47593336507618</c:v>
                </c:pt>
                <c:pt idx="34">
                  <c:v>13.28093336507618</c:v>
                </c:pt>
                <c:pt idx="35">
                  <c:v>8.0859333650761798</c:v>
                </c:pt>
                <c:pt idx="36">
                  <c:v>2.8909333650761795</c:v>
                </c:pt>
                <c:pt idx="37">
                  <c:v>-2.3040666349238208</c:v>
                </c:pt>
                <c:pt idx="38">
                  <c:v>-7.4990666349238211</c:v>
                </c:pt>
                <c:pt idx="39">
                  <c:v>-12.694066634923821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EA-4176-A230-F273F45A0B7C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22.878758489123896</c:v>
                </c:pt>
                <c:pt idx="5">
                  <c:v>15.703758489123897</c:v>
                </c:pt>
                <c:pt idx="6">
                  <c:v>8.5287584891238986</c:v>
                </c:pt>
                <c:pt idx="7">
                  <c:v>1.3537584891238978</c:v>
                </c:pt>
                <c:pt idx="8">
                  <c:v>-5.8212415108760993</c:v>
                </c:pt>
                <c:pt idx="9">
                  <c:v>-12.996241510876096</c:v>
                </c:pt>
                <c:pt idx="10">
                  <c:v>-20.171241510876101</c:v>
                </c:pt>
                <c:pt idx="11">
                  <c:v>-27.346241510876098</c:v>
                </c:pt>
                <c:pt idx="12">
                  <c:v>-34.521241510876095</c:v>
                </c:pt>
                <c:pt idx="13">
                  <c:v>29.106207554380507</c:v>
                </c:pt>
                <c:pt idx="14">
                  <c:v>21.931207554380507</c:v>
                </c:pt>
                <c:pt idx="15">
                  <c:v>14.756207554380509</c:v>
                </c:pt>
                <c:pt idx="16">
                  <c:v>7.5812075543805086</c:v>
                </c:pt>
                <c:pt idx="17">
                  <c:v>0.40620755438051148</c:v>
                </c:pt>
                <c:pt idx="18">
                  <c:v>-6.7687924456194857</c:v>
                </c:pt>
                <c:pt idx="19">
                  <c:v>-13.94379244561949</c:v>
                </c:pt>
                <c:pt idx="20">
                  <c:v>-21.118792445619487</c:v>
                </c:pt>
                <c:pt idx="21">
                  <c:v>-28.293792445619484</c:v>
                </c:pt>
                <c:pt idx="22">
                  <c:v>27.318091054895387</c:v>
                </c:pt>
                <c:pt idx="23">
                  <c:v>20.174966054895386</c:v>
                </c:pt>
                <c:pt idx="24">
                  <c:v>13.031841054895386</c:v>
                </c:pt>
                <c:pt idx="25">
                  <c:v>5.8887160548953865</c:v>
                </c:pt>
                <c:pt idx="26">
                  <c:v>-1.2544089451046148</c:v>
                </c:pt>
                <c:pt idx="27">
                  <c:v>-8.397533945104616</c:v>
                </c:pt>
                <c:pt idx="28">
                  <c:v>-15.540658945104614</c:v>
                </c:pt>
                <c:pt idx="29">
                  <c:v>-22.683783945104619</c:v>
                </c:pt>
                <c:pt idx="30">
                  <c:v>-29.826908945104616</c:v>
                </c:pt>
                <c:pt idx="31">
                  <c:v>35.839846256014425</c:v>
                </c:pt>
                <c:pt idx="32">
                  <c:v>28.664846256014428</c:v>
                </c:pt>
                <c:pt idx="33">
                  <c:v>21.489846256014427</c:v>
                </c:pt>
                <c:pt idx="34">
                  <c:v>14.314846256014427</c:v>
                </c:pt>
                <c:pt idx="35">
                  <c:v>7.1398462560144296</c:v>
                </c:pt>
                <c:pt idx="36">
                  <c:v>-3.5153743985567587E-2</c:v>
                </c:pt>
                <c:pt idx="37">
                  <c:v>-7.2101537439855719</c:v>
                </c:pt>
                <c:pt idx="38">
                  <c:v>-14.385153743985569</c:v>
                </c:pt>
                <c:pt idx="39">
                  <c:v>-21.560153743985566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EA-4176-A230-F273F45A0B7C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24.133538335755809</c:v>
                </c:pt>
                <c:pt idx="5">
                  <c:v>16.958538335755811</c:v>
                </c:pt>
                <c:pt idx="6">
                  <c:v>9.7835383357558108</c:v>
                </c:pt>
                <c:pt idx="7">
                  <c:v>2.6085383357558101</c:v>
                </c:pt>
                <c:pt idx="8">
                  <c:v>-4.5664616642441871</c:v>
                </c:pt>
                <c:pt idx="9">
                  <c:v>-11.741461664244184</c:v>
                </c:pt>
                <c:pt idx="10">
                  <c:v>-18.916461664244189</c:v>
                </c:pt>
                <c:pt idx="11">
                  <c:v>-26.091461664244186</c:v>
                </c:pt>
                <c:pt idx="12">
                  <c:v>-33.266461664244183</c:v>
                </c:pt>
                <c:pt idx="13">
                  <c:v>18.872308321220927</c:v>
                </c:pt>
                <c:pt idx="14">
                  <c:v>13.677308321220927</c:v>
                </c:pt>
                <c:pt idx="15">
                  <c:v>8.4823083212209269</c:v>
                </c:pt>
                <c:pt idx="16">
                  <c:v>3.2873083212209266</c:v>
                </c:pt>
                <c:pt idx="17">
                  <c:v>-1.9076916787790736</c:v>
                </c:pt>
                <c:pt idx="18">
                  <c:v>-7.1026916787790739</c:v>
                </c:pt>
                <c:pt idx="19">
                  <c:v>-12.297691678779074</c:v>
                </c:pt>
                <c:pt idx="20">
                  <c:v>-17.492691678779074</c:v>
                </c:pt>
                <c:pt idx="21">
                  <c:v>-22.687691678779075</c:v>
                </c:pt>
                <c:pt idx="22">
                  <c:v>37.625147991543336</c:v>
                </c:pt>
                <c:pt idx="23">
                  <c:v>27.759522991543339</c:v>
                </c:pt>
                <c:pt idx="24">
                  <c:v>17.893897991543341</c:v>
                </c:pt>
                <c:pt idx="25">
                  <c:v>8.0282729915433393</c:v>
                </c:pt>
                <c:pt idx="26">
                  <c:v>-1.837352008456655</c:v>
                </c:pt>
                <c:pt idx="27">
                  <c:v>-11.702977008456656</c:v>
                </c:pt>
                <c:pt idx="28">
                  <c:v>-21.568602008456658</c:v>
                </c:pt>
                <c:pt idx="29">
                  <c:v>-31.434227008456652</c:v>
                </c:pt>
                <c:pt idx="30">
                  <c:v>-41.299852008456647</c:v>
                </c:pt>
                <c:pt idx="31">
                  <c:v>37.700512354651153</c:v>
                </c:pt>
                <c:pt idx="32">
                  <c:v>30.525512354651156</c:v>
                </c:pt>
                <c:pt idx="33">
                  <c:v>23.350512354651155</c:v>
                </c:pt>
                <c:pt idx="34">
                  <c:v>16.175512354651154</c:v>
                </c:pt>
                <c:pt idx="35">
                  <c:v>9.000512354651157</c:v>
                </c:pt>
                <c:pt idx="36">
                  <c:v>1.8255123546511598</c:v>
                </c:pt>
                <c:pt idx="37">
                  <c:v>-5.3494876453488445</c:v>
                </c:pt>
                <c:pt idx="38">
                  <c:v>-12.524487645348842</c:v>
                </c:pt>
                <c:pt idx="39">
                  <c:v>-19.699487645348839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6EA-4176-A230-F273F45A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50752"/>
        <c:axId val="343551312"/>
      </c:scatterChart>
      <c:valAx>
        <c:axId val="343550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2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3551312"/>
        <c:crosses val="autoZero"/>
        <c:crossBetween val="midCat"/>
        <c:majorUnit val="1"/>
      </c:valAx>
      <c:valAx>
        <c:axId val="3435513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4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50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11"/>
          <c:w val="0.907424557108515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7F-4A00-8782-A5D4B9EE1D26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7F-4A00-8782-A5D4B9EE1D26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7F-4A00-8782-A5D4B9EE1D26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7F-4A00-8782-A5D4B9EE1D26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4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7F-4A00-8782-A5D4B9EE1D26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7F-4A00-8782-A5D4B9EE1D26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7F-4A00-8782-A5D4B9EE1D2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7F-4A00-8782-A5D4B9EE1D26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B7F-4A00-8782-A5D4B9EE1D26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B7F-4A00-8782-A5D4B9EE1D26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B7F-4A00-8782-A5D4B9EE1D26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B7F-4A00-8782-A5D4B9EE1D26}"/>
            </c:ext>
          </c:extLst>
        </c:ser>
        <c:ser>
          <c:idx val="10"/>
          <c:order val="5"/>
          <c:tx>
            <c:v>q45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B7F-4A00-8782-A5D4B9EE1D26}"/>
            </c:ext>
          </c:extLst>
        </c:ser>
        <c:ser>
          <c:idx val="11"/>
          <c:order val="6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B7F-4A00-8782-A5D4B9EE1D26}"/>
            </c:ext>
          </c:extLst>
        </c:ser>
        <c:ser>
          <c:idx val="17"/>
          <c:order val="7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29.349999999999998</c:v>
                </c:pt>
                <c:pt idx="3">
                  <c:v>29.349999999999998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B7F-4A00-8782-A5D4B9EE1D26}"/>
            </c:ext>
          </c:extLst>
        </c:ser>
        <c:ser>
          <c:idx val="18"/>
          <c:order val="8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39.739999999999995</c:v>
                </c:pt>
                <c:pt idx="3">
                  <c:v>39.739999999999995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B7F-4A00-8782-A5D4B9EE1D26}"/>
            </c:ext>
          </c:extLst>
        </c:ser>
        <c:ser>
          <c:idx val="19"/>
          <c:order val="9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43.699999999999996</c:v>
                </c:pt>
                <c:pt idx="3">
                  <c:v>43.699999999999996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B7F-4A00-8782-A5D4B9EE1D26}"/>
            </c:ext>
          </c:extLst>
        </c:ser>
        <c:ser>
          <c:idx val="20"/>
          <c:order val="10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39.739999999999995</c:v>
                </c:pt>
                <c:pt idx="3">
                  <c:v>39.739999999999995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B7F-4A00-8782-A5D4B9EE1D26}"/>
            </c:ext>
          </c:extLst>
        </c:ser>
        <c:ser>
          <c:idx val="21"/>
          <c:order val="11"/>
          <c:tx>
            <c:v>2-q45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43.699999999999996</c:v>
                </c:pt>
                <c:pt idx="3">
                  <c:v>43.699999999999996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B7F-4A00-8782-A5D4B9EE1D26}"/>
            </c:ext>
          </c:extLst>
        </c:ser>
        <c:ser>
          <c:idx val="22"/>
          <c:order val="12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29.349999999999998</c:v>
                </c:pt>
                <c:pt idx="3">
                  <c:v>29.349999999999998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B7F-4A00-8782-A5D4B9EE1D26}"/>
            </c:ext>
          </c:extLst>
        </c:ser>
        <c:ser>
          <c:idx val="23"/>
          <c:order val="13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48.699999999999996</c:v>
                </c:pt>
                <c:pt idx="3">
                  <c:v>48.699999999999996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B7F-4A00-8782-A5D4B9EE1D26}"/>
            </c:ext>
          </c:extLst>
        </c:ser>
        <c:ser>
          <c:idx val="24"/>
          <c:order val="14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63.05</c:v>
                </c:pt>
                <c:pt idx="3">
                  <c:v>63.05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B7F-4A00-8782-A5D4B9EE1D26}"/>
            </c:ext>
          </c:extLst>
        </c:ser>
        <c:ser>
          <c:idx val="25"/>
          <c:order val="15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59.089999999999996</c:v>
                </c:pt>
                <c:pt idx="3">
                  <c:v>59.089999999999996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B7F-4A00-8782-A5D4B9EE1D26}"/>
            </c:ext>
          </c:extLst>
        </c:ser>
        <c:ser>
          <c:idx val="26"/>
          <c:order val="16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63.05</c:v>
                </c:pt>
                <c:pt idx="3">
                  <c:v>63.05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B7F-4A00-8782-A5D4B9EE1D26}"/>
            </c:ext>
          </c:extLst>
        </c:ser>
        <c:ser>
          <c:idx val="27"/>
          <c:order val="17"/>
          <c:tx>
            <c:v>3-q45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59.089999999999996</c:v>
                </c:pt>
                <c:pt idx="3">
                  <c:v>59.089999999999996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B7F-4A00-8782-A5D4B9EE1D26}"/>
            </c:ext>
          </c:extLst>
        </c:ser>
        <c:ser>
          <c:idx val="28"/>
          <c:order val="18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48.699999999999996</c:v>
                </c:pt>
                <c:pt idx="3">
                  <c:v>48.699999999999996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B7F-4A00-8782-A5D4B9EE1D26}"/>
            </c:ext>
          </c:extLst>
        </c:ser>
        <c:ser>
          <c:idx val="29"/>
          <c:order val="19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68.05</c:v>
                </c:pt>
                <c:pt idx="3">
                  <c:v>68.05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B7F-4A00-8782-A5D4B9EE1D26}"/>
            </c:ext>
          </c:extLst>
        </c:ser>
        <c:ser>
          <c:idx val="30"/>
          <c:order val="20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B7F-4A00-8782-A5D4B9EE1D26}"/>
            </c:ext>
          </c:extLst>
        </c:ser>
        <c:ser>
          <c:idx val="31"/>
          <c:order val="21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B7F-4A00-8782-A5D4B9EE1D26}"/>
            </c:ext>
          </c:extLst>
        </c:ser>
        <c:ser>
          <c:idx val="32"/>
          <c:order val="22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78.44</c:v>
                </c:pt>
                <c:pt idx="3">
                  <c:v>78.44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B7F-4A00-8782-A5D4B9EE1D26}"/>
            </c:ext>
          </c:extLst>
        </c:ser>
        <c:ser>
          <c:idx val="33"/>
          <c:order val="23"/>
          <c:tx>
            <c:v>4-q45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B7F-4A00-8782-A5D4B9EE1D26}"/>
            </c:ext>
          </c:extLst>
        </c:ser>
        <c:ser>
          <c:idx val="34"/>
          <c:order val="2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68.05</c:v>
                </c:pt>
                <c:pt idx="3">
                  <c:v>68.05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B7F-4A00-8782-A5D4B9EE1D26}"/>
            </c:ext>
          </c:extLst>
        </c:ser>
        <c:ser>
          <c:idx val="35"/>
          <c:order val="2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87.399999999999991</c:v>
                </c:pt>
                <c:pt idx="3">
                  <c:v>87.399999999999991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B7F-4A00-8782-A5D4B9EE1D26}"/>
            </c:ext>
          </c:extLst>
        </c:ser>
        <c:ser>
          <c:idx val="36"/>
          <c:order val="2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B7F-4A00-8782-A5D4B9EE1D26}"/>
            </c:ext>
          </c:extLst>
        </c:ser>
        <c:ser>
          <c:idx val="37"/>
          <c:order val="27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97.789999999999992</c:v>
                </c:pt>
                <c:pt idx="3">
                  <c:v>97.789999999999992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B7F-4A00-8782-A5D4B9EE1D26}"/>
            </c:ext>
          </c:extLst>
        </c:ser>
        <c:ser>
          <c:idx val="38"/>
          <c:order val="28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B7F-4A00-8782-A5D4B9EE1D26}"/>
            </c:ext>
          </c:extLst>
        </c:ser>
        <c:ser>
          <c:idx val="39"/>
          <c:order val="29"/>
          <c:tx>
            <c:v>5-q45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B7F-4A00-8782-A5D4B9EE1D26}"/>
            </c:ext>
          </c:extLst>
        </c:ser>
        <c:ser>
          <c:idx val="40"/>
          <c:order val="30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87.399999999999991</c:v>
                </c:pt>
                <c:pt idx="3">
                  <c:v>87.399999999999991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B7F-4A00-8782-A5D4B9EE1D26}"/>
            </c:ext>
          </c:extLst>
        </c:ser>
        <c:ser>
          <c:idx val="1"/>
          <c:order val="3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B7F-4A00-8782-A5D4B9EE1D26}"/>
            </c:ext>
          </c:extLst>
        </c:ser>
        <c:ser>
          <c:idx val="2"/>
          <c:order val="3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B7F-4A00-8782-A5D4B9EE1D26}"/>
            </c:ext>
          </c:extLst>
        </c:ser>
        <c:ser>
          <c:idx val="3"/>
          <c:order val="3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trave'!$G$2:$G$5</c:f>
              <c:numCache>
                <c:formatCode>0.00</c:formatCode>
                <c:ptCount val="4"/>
                <c:pt idx="0">
                  <c:v>8</c:v>
                </c:pt>
                <c:pt idx="1">
                  <c:v>7.6</c:v>
                </c:pt>
                <c:pt idx="2">
                  <c:v>8.4</c:v>
                </c:pt>
                <c:pt idx="3">
                  <c:v>8</c:v>
                </c:pt>
              </c:numCache>
            </c:numRef>
          </c:xVal>
          <c:yVal>
            <c:numRef>
              <c:f>'CCCC-Vincoli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B7F-4A00-8782-A5D4B9EE1D26}"/>
            </c:ext>
          </c:extLst>
        </c:ser>
        <c:ser>
          <c:idx val="4"/>
          <c:order val="3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trave'!$J$2:$J$5</c:f>
              <c:numCache>
                <c:formatCode>0.00</c:formatCode>
                <c:ptCount val="4"/>
                <c:pt idx="0">
                  <c:v>13.5</c:v>
                </c:pt>
                <c:pt idx="1">
                  <c:v>13.1</c:v>
                </c:pt>
                <c:pt idx="2">
                  <c:v>13.9</c:v>
                </c:pt>
                <c:pt idx="3">
                  <c:v>13.5</c:v>
                </c:pt>
              </c:numCache>
            </c:numRef>
          </c:xVal>
          <c:yVal>
            <c:numRef>
              <c:f>'CCCC-Vincoli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B7F-4A00-8782-A5D4B9EE1D26}"/>
            </c:ext>
          </c:extLst>
        </c:ser>
        <c:ser>
          <c:idx val="5"/>
          <c:order val="3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trave'!$M$2:$M$5</c:f>
              <c:numCache>
                <c:formatCode>0.00</c:formatCode>
                <c:ptCount val="4"/>
                <c:pt idx="0">
                  <c:v>17.5</c:v>
                </c:pt>
                <c:pt idx="1">
                  <c:v>17.100000000000001</c:v>
                </c:pt>
                <c:pt idx="2">
                  <c:v>17.899999999999999</c:v>
                </c:pt>
                <c:pt idx="3">
                  <c:v>17.5</c:v>
                </c:pt>
              </c:numCache>
            </c:numRef>
          </c:xVal>
          <c:yVal>
            <c:numRef>
              <c:f>'CCCC-Vincoli trave'!$N$2:$N$5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B7F-4A00-8782-A5D4B9EE1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73712"/>
        <c:axId val="343574272"/>
      </c:scatterChart>
      <c:valAx>
        <c:axId val="34357371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6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43574272"/>
        <c:crosses val="autoZero"/>
        <c:crossBetween val="midCat"/>
        <c:majorUnit val="1"/>
      </c:valAx>
      <c:valAx>
        <c:axId val="343574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73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78590191602593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8-49F1-8878-AAE957C21D1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-23.324548760775855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D8-49F1-8878-AAE957C21D1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  <a:tailEnd type="none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-60.95270743534482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D8-49F1-8878-AAE957C21D1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-68.826897408894979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D8-49F1-8878-AAE957C21D1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-78.111767731191208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D8-49F1-8878-AAE957C21D14}"/>
            </c:ext>
          </c:extLst>
        </c:ser>
        <c:ser>
          <c:idx val="5"/>
          <c:order val="5"/>
          <c:tx>
            <c:v>R5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-19.909078663793103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6D8-49F1-8878-AAE957C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74928"/>
        <c:axId val="344475488"/>
      </c:scatterChart>
      <c:valAx>
        <c:axId val="34447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75488"/>
        <c:crosses val="autoZero"/>
        <c:crossBetween val="midCat"/>
        <c:majorUnit val="1"/>
      </c:valAx>
      <c:valAx>
        <c:axId val="344475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74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3-4AD3-8E11-FD50C02A9A1D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-16.009095297463915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63-4AD3-8E11-FD50C02A9A1D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-53.365428215216511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63-4AD3-8E11-FD50C02A9A1D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-57.129902746705731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63-4AD3-8E11-FD50C02A9A1D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-65.370556323813517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63-4AD3-8E11-FD50C02A9A1D}"/>
            </c:ext>
          </c:extLst>
        </c:ser>
        <c:ser>
          <c:idx val="5"/>
          <c:order val="5"/>
          <c:tx>
            <c:v>2-R5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-21.630017416800317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63-4AD3-8E11-FD50C02A9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1088"/>
        <c:axId val="344481648"/>
      </c:scatterChart>
      <c:valAx>
        <c:axId val="34448108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1648"/>
        <c:crosses val="autoZero"/>
        <c:crossBetween val="midCat"/>
        <c:majorUnit val="1"/>
      </c:valAx>
      <c:valAx>
        <c:axId val="344481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1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4-4C1B-B947-374B28F20C0A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-24.203402008570563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04-4C1B-B947-374B28F20C0A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-51.719587948576581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04-4C1B-B947-374B28F20C0A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-61.530546165911822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04-4C1B-B947-374B28F20C0A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-69.297397242017183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504-4C1B-B947-374B28F20C0A}"/>
            </c:ext>
          </c:extLst>
        </c:ser>
        <c:ser>
          <c:idx val="5"/>
          <c:order val="5"/>
          <c:tx>
            <c:v>3-R5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-12.69406663492382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04-4C1B-B947-374B28F20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7248"/>
        <c:axId val="344487808"/>
      </c:scatterChart>
      <c:valAx>
        <c:axId val="3444872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7808"/>
        <c:crosses val="autoZero"/>
        <c:crossBetween val="midCat"/>
        <c:majorUnit val="1"/>
      </c:valAx>
      <c:valAx>
        <c:axId val="344487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7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1-444D-8775-BE27195BBEDC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-22.878758489123896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C1-444D-8775-BE27195BBEDC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-63.627449065256599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C1-444D-8775-BE27195BBEDC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-55.611883500514871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C1-444D-8775-BE27195BBEDC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-65.666755201119045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C1-444D-8775-BE27195BBEDC}"/>
            </c:ext>
          </c:extLst>
        </c:ser>
        <c:ser>
          <c:idx val="5"/>
          <c:order val="5"/>
          <c:tx>
            <c:v>4-R5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-21.560153743985563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BC1-444D-8775-BE27195BB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3408"/>
        <c:axId val="344493968"/>
      </c:scatterChart>
      <c:valAx>
        <c:axId val="34449340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93968"/>
        <c:crosses val="autoZero"/>
        <c:crossBetween val="midCat"/>
        <c:majorUnit val="1"/>
      </c:valAx>
      <c:valAx>
        <c:axId val="344493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3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4-4DAB-9C46-BBA4AEDE577C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-24.133538335755809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64-4DAB-9C46-BBA4AEDE577C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-52.13876998546511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64-4DAB-9C46-BBA4AEDE577C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-60.312839670322411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64-4DAB-9C46-BBA4AEDE577C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-79.000364363107792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64-4DAB-9C46-BBA4AEDE577C}"/>
            </c:ext>
          </c:extLst>
        </c:ser>
        <c:ser>
          <c:idx val="5"/>
          <c:order val="5"/>
          <c:tx>
            <c:v>5-R5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-19.699487645348835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64-4DAB-9C46-BBA4AEDE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9568"/>
        <c:axId val="344500128"/>
      </c:scatterChart>
      <c:valAx>
        <c:axId val="34449956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500128"/>
        <c:crosses val="autoZero"/>
        <c:crossBetween val="midCat"/>
        <c:majorUnit val="1"/>
      </c:valAx>
      <c:valAx>
        <c:axId val="344500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9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56E-2"/>
          <c:y val="9.9061975819114148E-2"/>
          <c:w val="0.948479879503907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9.8685243803879281</c:v>
                </c:pt>
                <c:pt idx="6">
                  <c:v>16.149548760775858</c:v>
                </c:pt>
                <c:pt idx="7">
                  <c:v>18.843073141163785</c:v>
                </c:pt>
                <c:pt idx="8">
                  <c:v>17.949097521551714</c:v>
                </c:pt>
                <c:pt idx="9">
                  <c:v>13.467621901939644</c:v>
                </c:pt>
                <c:pt idx="10">
                  <c:v>5.3986462823275758</c:v>
                </c:pt>
                <c:pt idx="11">
                  <c:v>-6.2578293372844911</c:v>
                </c:pt>
                <c:pt idx="12">
                  <c:v>-21.501804956896564</c:v>
                </c:pt>
                <c:pt idx="13">
                  <c:v>-21.501804956896549</c:v>
                </c:pt>
                <c:pt idx="14">
                  <c:v>-9.8569268588362071</c:v>
                </c:pt>
                <c:pt idx="15">
                  <c:v>-1.7995487607758633</c:v>
                </c:pt>
                <c:pt idx="16">
                  <c:v>2.6703293372844783</c:v>
                </c:pt>
                <c:pt idx="17">
                  <c:v>3.5527074353448214</c:v>
                </c:pt>
                <c:pt idx="18">
                  <c:v>0.84758553340518006</c:v>
                </c:pt>
                <c:pt idx="19">
                  <c:v>-5.4450363685344882</c:v>
                </c:pt>
                <c:pt idx="20">
                  <c:v>-15.325158270474148</c:v>
                </c:pt>
                <c:pt idx="21">
                  <c:v>-28.792780172413813</c:v>
                </c:pt>
                <c:pt idx="22">
                  <c:v>-28.792780172413796</c:v>
                </c:pt>
                <c:pt idx="23">
                  <c:v>-5.8499831627155281</c:v>
                </c:pt>
                <c:pt idx="24">
                  <c:v>10.310196659482742</c:v>
                </c:pt>
                <c:pt idx="25">
                  <c:v>19.687759294181021</c:v>
                </c:pt>
                <c:pt idx="26">
                  <c:v>22.282704741379291</c:v>
                </c:pt>
                <c:pt idx="27">
                  <c:v>18.095033001077553</c:v>
                </c:pt>
                <c:pt idx="28">
                  <c:v>7.1247440732758491</c:v>
                </c:pt>
                <c:pt idx="29">
                  <c:v>-10.628162042025906</c:v>
                </c:pt>
                <c:pt idx="30">
                  <c:v>-35.163685344827599</c:v>
                </c:pt>
                <c:pt idx="31">
                  <c:v>-35.163685344827577</c:v>
                </c:pt>
                <c:pt idx="32">
                  <c:v>-18.211974676724136</c:v>
                </c:pt>
                <c:pt idx="33">
                  <c:v>-4.8477640086206861</c:v>
                </c:pt>
                <c:pt idx="34">
                  <c:v>4.9289466594827545</c:v>
                </c:pt>
                <c:pt idx="35">
                  <c:v>11.118157327586204</c:v>
                </c:pt>
                <c:pt idx="36">
                  <c:v>13.719867995689654</c:v>
                </c:pt>
                <c:pt idx="37">
                  <c:v>12.734078663793099</c:v>
                </c:pt>
                <c:pt idx="38">
                  <c:v>8.1607893318965523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C9-4260-AA6E-126D03D4B375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C9-4260-AA6E-126D03D4B375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-21.501804956896564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C9-4260-AA6E-126D03D4B375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-28.792780172413813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C9-4260-AA6E-126D03D4B375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-35.163685344827599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C9-4260-AA6E-126D03D4B375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6C9-4260-AA6E-126D03D4B37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C9-4260-AA6E-126D03D4B375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'CCCC-car.1'!$AK$40:$AK$41</c:f>
              <c:numCache>
                <c:formatCode>0.00</c:formatCode>
                <c:ptCount val="2"/>
                <c:pt idx="0">
                  <c:v>1.6254040948275859</c:v>
                </c:pt>
                <c:pt idx="1">
                  <c:v>1.6254040948275859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18.955908532885388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6C9-4260-AA6E-126D03D4B375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'CCCC-car.1'!$AK$42:$AK$43</c:f>
              <c:numCache>
                <c:formatCode>0.00</c:formatCode>
                <c:ptCount val="2"/>
                <c:pt idx="0">
                  <c:v>5.8729795258620685</c:v>
                </c:pt>
                <c:pt idx="1">
                  <c:v>5.8729795258620685</c:v>
                </c:pt>
              </c:numCache>
            </c:numRef>
          </c:xVal>
          <c:yVal>
            <c:numRef>
              <c:f>'CCCC-car.1'!$AL$42:$AL$43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3.6684703264451706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6C9-4260-AA6E-126D03D4B375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'CCCC-car.1'!$AK$44:$AK$45</c:f>
              <c:numCache>
                <c:formatCode>0.00</c:formatCode>
                <c:ptCount val="2"/>
                <c:pt idx="0">
                  <c:v>10.669278996865204</c:v>
                </c:pt>
                <c:pt idx="1">
                  <c:v>10.669278996865204</c:v>
                </c:pt>
              </c:numCache>
            </c:numRef>
          </c:xVal>
          <c:yVal>
            <c:numRef>
              <c:f>'CCCC-car.1'!$AL$44:$AL$45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22.329456182869627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6C9-4260-AA6E-126D03D4B375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'CCCC-car.1'!$AK$46:$AK$47</c:f>
              <c:numCache>
                <c:formatCode>0.00</c:formatCode>
                <c:ptCount val="2"/>
                <c:pt idx="0">
                  <c:v>16.11260775862069</c:v>
                </c:pt>
                <c:pt idx="1">
                  <c:v>16.11260775862069</c:v>
                </c:pt>
              </c:numCache>
            </c:numRef>
          </c:xVal>
          <c:yVal>
            <c:numRef>
              <c:f>'CCCC-car.1'!$AL$46:$AL$47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13.810850635578433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6C9-4260-AA6E-126D03D4B3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08528"/>
        <c:axId val="344509088"/>
      </c:scatterChart>
      <c:valAx>
        <c:axId val="3445085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4509088"/>
        <c:crosses val="autoZero"/>
        <c:crossBetween val="midCat"/>
        <c:majorUnit val="1"/>
      </c:valAx>
      <c:valAx>
        <c:axId val="3445090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08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8"/>
          <c:w val="0.94796977526453763"/>
          <c:h val="0.777385786368049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FB-4C41-88FA-026232ADA29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FB-4C41-88FA-026232ADA29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FB-4C41-88FA-026232ADA29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FB-4C41-88FA-026232ADA29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FB-4C41-88FA-026232ADA29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FB-4C41-88FA-026232ADA29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FB-4C41-88FA-026232ADA29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FB-4C41-88FA-026232ADA29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FB-4C41-88FA-026232ADA29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DFB-4C41-88FA-026232ADA2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23.324548760775855</c:v>
                </c:pt>
                <c:pt idx="5">
                  <c:v>16.149548760775858</c:v>
                </c:pt>
                <c:pt idx="6">
                  <c:v>8.9745487607758569</c:v>
                </c:pt>
                <c:pt idx="7">
                  <c:v>1.7995487607758562</c:v>
                </c:pt>
                <c:pt idx="8">
                  <c:v>-5.3754512392241409</c:v>
                </c:pt>
                <c:pt idx="9">
                  <c:v>-12.550451239224138</c:v>
                </c:pt>
                <c:pt idx="10">
                  <c:v>-19.725451239224142</c:v>
                </c:pt>
                <c:pt idx="11">
                  <c:v>-26.900451239224139</c:v>
                </c:pt>
                <c:pt idx="12">
                  <c:v>-34.075451239224137</c:v>
                </c:pt>
                <c:pt idx="13">
                  <c:v>26.877256196120683</c:v>
                </c:pt>
                <c:pt idx="14">
                  <c:v>19.702256196120686</c:v>
                </c:pt>
                <c:pt idx="15">
                  <c:v>12.527256196120685</c:v>
                </c:pt>
                <c:pt idx="16">
                  <c:v>5.3522561961206847</c:v>
                </c:pt>
                <c:pt idx="17">
                  <c:v>-1.8227438038793125</c:v>
                </c:pt>
                <c:pt idx="18">
                  <c:v>-8.9977438038793096</c:v>
                </c:pt>
                <c:pt idx="19">
                  <c:v>-16.172743803879314</c:v>
                </c:pt>
                <c:pt idx="20">
                  <c:v>-23.347743803879311</c:v>
                </c:pt>
                <c:pt idx="21">
                  <c:v>-30.522743803879308</c:v>
                </c:pt>
                <c:pt idx="22">
                  <c:v>38.304153605015664</c:v>
                </c:pt>
                <c:pt idx="23">
                  <c:v>28.438528605015666</c:v>
                </c:pt>
                <c:pt idx="24">
                  <c:v>18.572903605015668</c:v>
                </c:pt>
                <c:pt idx="25">
                  <c:v>8.7072786050156665</c:v>
                </c:pt>
                <c:pt idx="26">
                  <c:v>-1.1583463949843278</c:v>
                </c:pt>
                <c:pt idx="27">
                  <c:v>-11.023971394984329</c:v>
                </c:pt>
                <c:pt idx="28">
                  <c:v>-20.889596394984331</c:v>
                </c:pt>
                <c:pt idx="29">
                  <c:v>-30.755221394984325</c:v>
                </c:pt>
                <c:pt idx="30">
                  <c:v>-40.620846394984319</c:v>
                </c:pt>
                <c:pt idx="31">
                  <c:v>37.490921336206888</c:v>
                </c:pt>
                <c:pt idx="32">
                  <c:v>30.315921336206891</c:v>
                </c:pt>
                <c:pt idx="33">
                  <c:v>23.14092133620689</c:v>
                </c:pt>
                <c:pt idx="34">
                  <c:v>15.96592133620689</c:v>
                </c:pt>
                <c:pt idx="35">
                  <c:v>8.7909213362068925</c:v>
                </c:pt>
                <c:pt idx="36">
                  <c:v>1.6159213362068954</c:v>
                </c:pt>
                <c:pt idx="37">
                  <c:v>-5.5590786637931089</c:v>
                </c:pt>
                <c:pt idx="38">
                  <c:v>-12.734078663793106</c:v>
                </c:pt>
                <c:pt idx="39">
                  <c:v>-19.909078663793103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FB-4C41-88FA-026232ADA293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FB-4C41-88FA-026232ADA293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'CCCC-car.1'!$AF$51</c:f>
              <c:numCache>
                <c:formatCode>0.00</c:formatCode>
                <c:ptCount val="1"/>
                <c:pt idx="0">
                  <c:v>23.324548760775855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FB-4C41-88FA-026232ADA293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'CCCC-car.1'!$AD$59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'CCCC-car.1'!$AF$59</c:f>
              <c:numCache>
                <c:formatCode>0.00</c:formatCode>
                <c:ptCount val="1"/>
                <c:pt idx="0">
                  <c:v>-34.075451239224137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FB-4C41-88FA-026232ADA293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'CCCC-car.1'!$AD$60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'CCCC-car.1'!$AF$60</c:f>
              <c:numCache>
                <c:formatCode>0.00</c:formatCode>
                <c:ptCount val="1"/>
                <c:pt idx="0">
                  <c:v>26.877256196120683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FB-4C41-88FA-026232ADA293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'CCCC-car.1'!$AD$68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'CCCC-car.1'!$AF$68</c:f>
              <c:numCache>
                <c:formatCode>0.00</c:formatCode>
                <c:ptCount val="1"/>
                <c:pt idx="0">
                  <c:v>-30.522743803879308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FB-4C41-88FA-026232ADA293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'CCCC-car.1'!$AD$69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'CCCC-car.1'!$AF$69</c:f>
              <c:numCache>
                <c:formatCode>0.00</c:formatCode>
                <c:ptCount val="1"/>
                <c:pt idx="0">
                  <c:v>38.304153605015664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FB-4C41-88FA-026232ADA293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'CCCC-car.1'!$AD$77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'CCCC-car.1'!$AF$77</c:f>
              <c:numCache>
                <c:formatCode>0.00</c:formatCode>
                <c:ptCount val="1"/>
                <c:pt idx="0">
                  <c:v>-40.620846394984319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FB-4C41-88FA-026232ADA293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'CCCC-car.1'!$AD$78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'CCCC-car.1'!$AF$78</c:f>
              <c:numCache>
                <c:formatCode>0.00</c:formatCode>
                <c:ptCount val="1"/>
                <c:pt idx="0">
                  <c:v>37.490921336206888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FB-4C41-88FA-026232ADA293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'CCCC-car.1'!$AD$86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'CCCC-car.1'!$AF$86</c:f>
              <c:numCache>
                <c:formatCode>0.00</c:formatCode>
                <c:ptCount val="1"/>
                <c:pt idx="0">
                  <c:v>-19.909078663793103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FB-4C41-88FA-026232ADA293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'CCCC-car.1'!$AD$87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'CCCC-car.1'!$AF$87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FB-4C41-88FA-026232ADA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17488"/>
        <c:axId val="344518048"/>
      </c:scatterChart>
      <c:valAx>
        <c:axId val="3445174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4518048"/>
        <c:crosses val="autoZero"/>
        <c:crossBetween val="midCat"/>
        <c:majorUnit val="1"/>
      </c:valAx>
      <c:valAx>
        <c:axId val="3445180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5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17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A-4278-823F-312470B56A9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-23.324548760775855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A-4278-823F-312470B56A9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-60.95270743534482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9A-4278-823F-312470B56A9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-68.826897408894979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9A-4278-823F-312470B56A9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-78.111767731191208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09A-4278-823F-312470B56A9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-19.909078663793103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09A-4278-823F-312470B56A9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09A-4278-823F-312470B56A9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09A-4278-823F-312470B56A9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09A-4278-823F-312470B56A9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09A-4278-823F-312470B56A9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24.349999999999998</c:v>
                </c:pt>
                <c:pt idx="3">
                  <c:v>24.349999999999998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09A-4278-823F-312470B56A9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09A-4278-823F-312470B56A9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'CCCC-car.1'!$W$37</c:f>
              <c:numCache>
                <c:formatCode>0.00</c:formatCode>
                <c:ptCount val="1"/>
                <c:pt idx="0">
                  <c:v>-23.324548760775855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09A-4278-823F-312470B56A9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'CCCC-car.1'!$Y$37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'CCCC-car.1'!$Z$37</c:f>
              <c:numCache>
                <c:formatCode>0.00</c:formatCode>
                <c:ptCount val="1"/>
                <c:pt idx="0">
                  <c:v>-60.95270743534482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09A-4278-823F-312470B56A9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'CCCC-car.1'!$AB$37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'CCCC-car.1'!$AC$37</c:f>
              <c:numCache>
                <c:formatCode>0.00</c:formatCode>
                <c:ptCount val="1"/>
                <c:pt idx="0">
                  <c:v>-68.826897408894979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09A-4278-823F-312470B56A9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'CCCC-car.1'!$V$41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'CCCC-car.1'!$W$41</c:f>
              <c:numCache>
                <c:formatCode>0.00</c:formatCode>
                <c:ptCount val="1"/>
                <c:pt idx="0">
                  <c:v>-78.111767731191208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09A-4278-823F-312470B56A9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'CCCC-car.1'!$Y$41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'CCCC-car.1'!$Z$41</c:f>
              <c:numCache>
                <c:formatCode>0.00</c:formatCode>
                <c:ptCount val="1"/>
                <c:pt idx="0">
                  <c:v>-19.909078663793103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09A-4278-823F-312470B56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29808"/>
        <c:axId val="344530368"/>
      </c:scatterChart>
      <c:valAx>
        <c:axId val="3445298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89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4530368"/>
        <c:crosses val="autoZero"/>
        <c:crossBetween val="midCat"/>
        <c:majorUnit val="1"/>
      </c:valAx>
      <c:valAx>
        <c:axId val="344530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29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73E-2"/>
          <c:y val="9.9061975819114148E-2"/>
          <c:w val="0.948479879503907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6.7057976487319575</c:v>
                </c:pt>
                <c:pt idx="6">
                  <c:v>10.814095297463915</c:v>
                </c:pt>
                <c:pt idx="7">
                  <c:v>12.324892946195872</c:v>
                </c:pt>
                <c:pt idx="8">
                  <c:v>11.238190594927829</c:v>
                </c:pt>
                <c:pt idx="9">
                  <c:v>7.5539882436597878</c:v>
                </c:pt>
                <c:pt idx="10">
                  <c:v>1.2722858923917428</c:v>
                </c:pt>
                <c:pt idx="11">
                  <c:v>-7.6069164588762987</c:v>
                </c:pt>
                <c:pt idx="12">
                  <c:v>-19.083618810144344</c:v>
                </c:pt>
                <c:pt idx="13">
                  <c:v>-19.083618810144344</c:v>
                </c:pt>
                <c:pt idx="14">
                  <c:v>-6.9701070538041296</c:v>
                </c:pt>
                <c:pt idx="15">
                  <c:v>1.5559047025360861</c:v>
                </c:pt>
                <c:pt idx="16">
                  <c:v>6.4944164588763016</c:v>
                </c:pt>
                <c:pt idx="17">
                  <c:v>7.8454282152165149</c:v>
                </c:pt>
                <c:pt idx="18">
                  <c:v>5.6089399715567296</c:v>
                </c:pt>
                <c:pt idx="19">
                  <c:v>-0.21504827210304711</c:v>
                </c:pt>
                <c:pt idx="20">
                  <c:v>-9.6265365157628366</c:v>
                </c:pt>
                <c:pt idx="21">
                  <c:v>-22.625524759422618</c:v>
                </c:pt>
                <c:pt idx="22">
                  <c:v>-22.625524759422614</c:v>
                </c:pt>
                <c:pt idx="23">
                  <c:v>-6.1441809248446262</c:v>
                </c:pt>
                <c:pt idx="24">
                  <c:v>5.4262644722333633</c:v>
                </c:pt>
                <c:pt idx="25">
                  <c:v>12.085811431811351</c:v>
                </c:pt>
                <c:pt idx="26">
                  <c:v>13.834459953889336</c:v>
                </c:pt>
                <c:pt idx="27">
                  <c:v>10.672210038467327</c:v>
                </c:pt>
                <c:pt idx="28">
                  <c:v>2.5990616855453084</c:v>
                </c:pt>
                <c:pt idx="29">
                  <c:v>-10.384985104876705</c:v>
                </c:pt>
                <c:pt idx="30">
                  <c:v>-28.279930332798699</c:v>
                </c:pt>
                <c:pt idx="31">
                  <c:v>-28.279930332798713</c:v>
                </c:pt>
                <c:pt idx="32">
                  <c:v>-12.188689041198874</c:v>
                </c:pt>
                <c:pt idx="33">
                  <c:v>0.31505225040096718</c:v>
                </c:pt>
                <c:pt idx="34">
                  <c:v>9.231293542000806</c:v>
                </c:pt>
                <c:pt idx="35">
                  <c:v>14.560034833600646</c:v>
                </c:pt>
                <c:pt idx="36">
                  <c:v>16.301276125200502</c:v>
                </c:pt>
                <c:pt idx="37">
                  <c:v>14.455017416800331</c:v>
                </c:pt>
                <c:pt idx="38">
                  <c:v>9.0212587084001683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8-4431-B213-176EE7F3BA9C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68-4431-B213-176EE7F3BA9C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-19.083618810144344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68-4431-B213-176EE7F3BA9C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-22.625524759422618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68-4431-B213-176EE7F3BA9C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-28.279930332798699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68-4431-B213-176EE7F3BA9C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068-4431-B213-176EE7F3BA9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'CCCC-car.2'!$AL$25:$AL$26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68-4431-B213-176EE7F3BA9C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'CCCC-car.2'!$AK$40:$AK$41</c:f>
              <c:numCache>
                <c:formatCode>0.00</c:formatCode>
                <c:ptCount val="2"/>
                <c:pt idx="0">
                  <c:v>1.5408176417193373</c:v>
                </c:pt>
                <c:pt idx="1">
                  <c:v>1.5408176417193373</c:v>
                </c:pt>
              </c:numCache>
            </c:numRef>
          </c:xVal>
          <c:yVal>
            <c:numRef>
              <c:f>'CCCC-car.2'!$AL$40:$AL$41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12.333548231149239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68-4431-B213-176EE7F3BA9C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'CCCC-car.2'!$AK$42:$AK$43</c:f>
              <c:numCache>
                <c:formatCode>0.00</c:formatCode>
                <c:ptCount val="2"/>
                <c:pt idx="0">
                  <c:v>5.9382943214411448</c:v>
                </c:pt>
                <c:pt idx="1">
                  <c:v>5.9382943214411448</c:v>
                </c:pt>
              </c:numCache>
            </c:numRef>
          </c:xVal>
          <c:yVal>
            <c:numRef>
              <c:f>'CCCC-car.2'!$AL$42:$AL$43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7.8727476789654958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68-4431-B213-176EE7F3BA9C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'CCCC-car.2'!$AK$44:$AK$45</c:f>
              <c:numCache>
                <c:formatCode>0.00</c:formatCode>
                <c:ptCount val="2"/>
                <c:pt idx="0">
                  <c:v>10.651051613030429</c:v>
                </c:pt>
                <c:pt idx="1">
                  <c:v>10.651051613030429</c:v>
                </c:pt>
              </c:numCache>
            </c:numRef>
          </c:xVal>
          <c:yVal>
            <c:numRef>
              <c:f>'CCCC-car.2'!$AL$44:$AL$45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13.885323073049094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068-4431-B213-176EE7F3BA9C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'CCCC-car.2'!$AK$46:$AK$47</c:f>
              <c:numCache>
                <c:formatCode>0.00</c:formatCode>
                <c:ptCount val="2"/>
                <c:pt idx="0">
                  <c:v>15.99268171311496</c:v>
                </c:pt>
                <c:pt idx="1">
                  <c:v>15.99268171311496</c:v>
                </c:pt>
              </c:numCache>
            </c:numRef>
          </c:xVal>
          <c:yVal>
            <c:numRef>
              <c:f>'CCCC-car.2'!$AL$46:$AL$47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16.301660398992539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068-4431-B213-176EE7F3BA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38208"/>
        <c:axId val="346250208"/>
      </c:scatterChart>
      <c:valAx>
        <c:axId val="3445382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50208"/>
        <c:crosses val="autoZero"/>
        <c:crossBetween val="midCat"/>
        <c:majorUnit val="1"/>
      </c:valAx>
      <c:valAx>
        <c:axId val="3462502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38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3"/>
          <c:w val="0.94796977526453763"/>
          <c:h val="0.777385786368049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A8-4971-ADD0-887869376DF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A8-4971-ADD0-887869376DF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A8-4971-ADD0-887869376DF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A8-4971-ADD0-887869376DF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A8-4971-ADD0-887869376DF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A8-4971-ADD0-887869376DF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A8-4971-ADD0-887869376DF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A8-4971-ADD0-887869376DF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A8-4971-ADD0-887869376DF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A8-4971-ADD0-887869376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16.009095297463915</c:v>
                </c:pt>
                <c:pt idx="5">
                  <c:v>10.814095297463915</c:v>
                </c:pt>
                <c:pt idx="6">
                  <c:v>5.6190952974639146</c:v>
                </c:pt>
                <c:pt idx="7">
                  <c:v>0.42409529746391428</c:v>
                </c:pt>
                <c:pt idx="8">
                  <c:v>-4.770904702536086</c:v>
                </c:pt>
                <c:pt idx="9">
                  <c:v>-9.9659047025360863</c:v>
                </c:pt>
                <c:pt idx="10">
                  <c:v>-15.160904702536087</c:v>
                </c:pt>
                <c:pt idx="11">
                  <c:v>-20.355904702536087</c:v>
                </c:pt>
                <c:pt idx="12">
                  <c:v>-25.550904702536087</c:v>
                </c:pt>
                <c:pt idx="13">
                  <c:v>27.814523512680427</c:v>
                </c:pt>
                <c:pt idx="14">
                  <c:v>20.639523512680427</c:v>
                </c:pt>
                <c:pt idx="15">
                  <c:v>13.464523512680429</c:v>
                </c:pt>
                <c:pt idx="16">
                  <c:v>6.2895235126804288</c:v>
                </c:pt>
                <c:pt idx="17">
                  <c:v>-0.88547648731956841</c:v>
                </c:pt>
                <c:pt idx="18">
                  <c:v>-8.0604764873195656</c:v>
                </c:pt>
                <c:pt idx="19">
                  <c:v>-15.23547648731957</c:v>
                </c:pt>
                <c:pt idx="20">
                  <c:v>-22.410476487319567</c:v>
                </c:pt>
                <c:pt idx="21">
                  <c:v>-29.585476487319564</c:v>
                </c:pt>
                <c:pt idx="22">
                  <c:v>27.544426259386167</c:v>
                </c:pt>
                <c:pt idx="23">
                  <c:v>20.401301259386166</c:v>
                </c:pt>
                <c:pt idx="24">
                  <c:v>13.258176259386167</c:v>
                </c:pt>
                <c:pt idx="25">
                  <c:v>6.115051259386167</c:v>
                </c:pt>
                <c:pt idx="26">
                  <c:v>-1.0280737406138343</c:v>
                </c:pt>
                <c:pt idx="27">
                  <c:v>-8.1711987406138356</c:v>
                </c:pt>
                <c:pt idx="28">
                  <c:v>-15.314323740613833</c:v>
                </c:pt>
                <c:pt idx="29">
                  <c:v>-22.457448740613838</c:v>
                </c:pt>
                <c:pt idx="30">
                  <c:v>-29.600573740613836</c:v>
                </c:pt>
                <c:pt idx="31">
                  <c:v>35.769982583199678</c:v>
                </c:pt>
                <c:pt idx="32">
                  <c:v>28.59498258319968</c:v>
                </c:pt>
                <c:pt idx="33">
                  <c:v>21.41998258319968</c:v>
                </c:pt>
                <c:pt idx="34">
                  <c:v>14.244982583199679</c:v>
                </c:pt>
                <c:pt idx="35">
                  <c:v>7.0699825831996819</c:v>
                </c:pt>
                <c:pt idx="36">
                  <c:v>-0.10501741680031529</c:v>
                </c:pt>
                <c:pt idx="37">
                  <c:v>-7.2800174168003196</c:v>
                </c:pt>
                <c:pt idx="38">
                  <c:v>-14.455017416800317</c:v>
                </c:pt>
                <c:pt idx="39">
                  <c:v>-21.630017416800314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A8-4971-ADD0-887869376DF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A8-4971-ADD0-887869376DF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'CCCC-car.2'!$AF$51</c:f>
              <c:numCache>
                <c:formatCode>0.00</c:formatCode>
                <c:ptCount val="1"/>
                <c:pt idx="0">
                  <c:v>16.009095297463915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A8-4971-ADD0-887869376DF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'CCCC-car.2'!$AD$59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'CCCC-car.2'!$AF$59</c:f>
              <c:numCache>
                <c:formatCode>0.00</c:formatCode>
                <c:ptCount val="1"/>
                <c:pt idx="0">
                  <c:v>-25.550904702536087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A8-4971-ADD0-887869376DF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'CCCC-car.2'!$AD$60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'CCCC-car.2'!$AF$60</c:f>
              <c:numCache>
                <c:formatCode>0.00</c:formatCode>
                <c:ptCount val="1"/>
                <c:pt idx="0">
                  <c:v>27.814523512680427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A8-4971-ADD0-887869376DF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'CCCC-car.2'!$AD$68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'CCCC-car.2'!$AF$68</c:f>
              <c:numCache>
                <c:formatCode>0.00</c:formatCode>
                <c:ptCount val="1"/>
                <c:pt idx="0">
                  <c:v>-29.585476487319564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A8-4971-ADD0-887869376DF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'CCCC-car.2'!$AD$69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'CCCC-car.2'!$AF$69</c:f>
              <c:numCache>
                <c:formatCode>0.00</c:formatCode>
                <c:ptCount val="1"/>
                <c:pt idx="0">
                  <c:v>27.544426259386167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A8-4971-ADD0-887869376DF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'CCCC-car.2'!$AD$77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'CCCC-car.2'!$AF$77</c:f>
              <c:numCache>
                <c:formatCode>0.00</c:formatCode>
                <c:ptCount val="1"/>
                <c:pt idx="0">
                  <c:v>-29.600573740613836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A8-4971-ADD0-887869376DF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'CCCC-car.2'!$AD$78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'CCCC-car.2'!$AF$78</c:f>
              <c:numCache>
                <c:formatCode>0.00</c:formatCode>
                <c:ptCount val="1"/>
                <c:pt idx="0">
                  <c:v>35.769982583199678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A8-4971-ADD0-887869376DF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'CCCC-car.2'!$AD$86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'CCCC-car.2'!$AF$86</c:f>
              <c:numCache>
                <c:formatCode>0.00</c:formatCode>
                <c:ptCount val="1"/>
                <c:pt idx="0">
                  <c:v>-21.630017416800314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A8-4971-ADD0-887869376DF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'CCCC-car.2'!$AD$87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'CCCC-car.2'!$AF$87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A8-4971-ADD0-88786937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58608"/>
        <c:axId val="346259168"/>
      </c:scatterChart>
      <c:valAx>
        <c:axId val="3462586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59168"/>
        <c:crosses val="autoZero"/>
        <c:crossBetween val="midCat"/>
        <c:majorUnit val="1"/>
      </c:valAx>
      <c:valAx>
        <c:axId val="3462591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5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D-45DD-AB28-79CE206B679F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-16.009095297463915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4D-45DD-AB28-79CE206B679F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-53.365428215216511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4D-45DD-AB28-79CE206B679F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-57.129902746705731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4D-45DD-AB28-79CE206B679F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-65.370556323813517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4D-45DD-AB28-79CE206B679F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-21.630017416800317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4D-45DD-AB28-79CE206B679F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29.349999999999998</c:v>
                </c:pt>
                <c:pt idx="3">
                  <c:v>29.349999999999998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4D-45DD-AB28-79CE206B679F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39.739999999999995</c:v>
                </c:pt>
                <c:pt idx="3">
                  <c:v>39.739999999999995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4D-45DD-AB28-79CE206B679F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43.699999999999996</c:v>
                </c:pt>
                <c:pt idx="3">
                  <c:v>43.699999999999996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4D-45DD-AB28-79CE206B679F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39.739999999999995</c:v>
                </c:pt>
                <c:pt idx="3">
                  <c:v>39.739999999999995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4D-45DD-AB28-79CE206B679F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43.699999999999996</c:v>
                </c:pt>
                <c:pt idx="3">
                  <c:v>43.699999999999996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4D-45DD-AB28-79CE206B679F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29.349999999999998</c:v>
                </c:pt>
                <c:pt idx="1">
                  <c:v>29.349999999999998</c:v>
                </c:pt>
                <c:pt idx="2">
                  <c:v>29.349999999999998</c:v>
                </c:pt>
                <c:pt idx="3">
                  <c:v>29.349999999999998</c:v>
                </c:pt>
                <c:pt idx="4">
                  <c:v>29.349999999999998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4D-45DD-AB28-79CE206B679F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'CCCC-car.2'!$W$37</c:f>
              <c:numCache>
                <c:formatCode>0.00</c:formatCode>
                <c:ptCount val="1"/>
                <c:pt idx="0">
                  <c:v>-16.009095297463915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4D-45DD-AB28-79CE206B679F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'CCCC-car.2'!$Y$37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'CCCC-car.2'!$Z$37</c:f>
              <c:numCache>
                <c:formatCode>0.00</c:formatCode>
                <c:ptCount val="1"/>
                <c:pt idx="0">
                  <c:v>-53.365428215216511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4D-45DD-AB28-79CE206B679F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'CCCC-car.2'!$AB$37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'CCCC-car.2'!$AC$37</c:f>
              <c:numCache>
                <c:formatCode>0.00</c:formatCode>
                <c:ptCount val="1"/>
                <c:pt idx="0">
                  <c:v>-57.129902746705731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4D-45DD-AB28-79CE206B679F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'CCCC-car.2'!$V$41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'CCCC-car.2'!$W$41</c:f>
              <c:numCache>
                <c:formatCode>0.00</c:formatCode>
                <c:ptCount val="1"/>
                <c:pt idx="0">
                  <c:v>-65.370556323813517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4D-45DD-AB28-79CE206B679F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'CCCC-car.2'!$Y$41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'CCCC-car.2'!$Z$41</c:f>
              <c:numCache>
                <c:formatCode>0.00</c:formatCode>
                <c:ptCount val="1"/>
                <c:pt idx="0">
                  <c:v>-21.630017416800317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4D-45DD-AB28-79CE206B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70928"/>
        <c:axId val="346271488"/>
      </c:scatterChart>
      <c:valAx>
        <c:axId val="346270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271488"/>
        <c:crosses val="autoZero"/>
        <c:crossBetween val="midCat"/>
        <c:majorUnit val="1"/>
      </c:valAx>
      <c:valAx>
        <c:axId val="34627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0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94E-2"/>
          <c:y val="9.9061975819114148E-2"/>
          <c:w val="0.94847987950390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10.307951004285282</c:v>
                </c:pt>
                <c:pt idx="6">
                  <c:v>17.028402008570566</c:v>
                </c:pt>
                <c:pt idx="7">
                  <c:v>20.161353012855848</c:v>
                </c:pt>
                <c:pt idx="8">
                  <c:v>19.706804017141131</c:v>
                </c:pt>
                <c:pt idx="9">
                  <c:v>15.664755021426416</c:v>
                </c:pt>
                <c:pt idx="10">
                  <c:v>8.0352060257117017</c:v>
                </c:pt>
                <c:pt idx="11">
                  <c:v>-3.1818429700030038</c:v>
                </c:pt>
                <c:pt idx="12">
                  <c:v>-17.986391965717729</c:v>
                </c:pt>
                <c:pt idx="13">
                  <c:v>-17.986391965717722</c:v>
                </c:pt>
                <c:pt idx="14">
                  <c:v>-10.023646987144144</c:v>
                </c:pt>
                <c:pt idx="15">
                  <c:v>-4.6584020085705689</c:v>
                </c:pt>
                <c:pt idx="16">
                  <c:v>-1.8906570299969907</c:v>
                </c:pt>
                <c:pt idx="17">
                  <c:v>-1.7204120514234162</c:v>
                </c:pt>
                <c:pt idx="18">
                  <c:v>-4.1476670728498348</c:v>
                </c:pt>
                <c:pt idx="19">
                  <c:v>-9.1724220942762642</c:v>
                </c:pt>
                <c:pt idx="20">
                  <c:v>-16.794677115702683</c:v>
                </c:pt>
                <c:pt idx="21">
                  <c:v>-27.01443213712912</c:v>
                </c:pt>
                <c:pt idx="22">
                  <c:v>-27.014432137129116</c:v>
                </c:pt>
                <c:pt idx="23">
                  <c:v>-3.9414346462760719</c:v>
                </c:pt>
                <c:pt idx="24">
                  <c:v>12.348945657076975</c:v>
                </c:pt>
                <c:pt idx="25">
                  <c:v>21.85670877293002</c:v>
                </c:pt>
                <c:pt idx="26">
                  <c:v>24.581854701283078</c:v>
                </c:pt>
                <c:pt idx="27">
                  <c:v>20.524383442136113</c:v>
                </c:pt>
                <c:pt idx="28">
                  <c:v>9.6842949954891537</c:v>
                </c:pt>
                <c:pt idx="29">
                  <c:v>-7.9384106386577855</c:v>
                </c:pt>
                <c:pt idx="30">
                  <c:v>-32.343733460304719</c:v>
                </c:pt>
                <c:pt idx="31">
                  <c:v>-32.343733460304726</c:v>
                </c:pt>
                <c:pt idx="32">
                  <c:v>-19.209516777766634</c:v>
                </c:pt>
                <c:pt idx="33">
                  <c:v>-8.6728000952285456</c:v>
                </c:pt>
                <c:pt idx="34">
                  <c:v>-0.73358341269045724</c:v>
                </c:pt>
                <c:pt idx="35">
                  <c:v>4.6081332698476345</c:v>
                </c:pt>
                <c:pt idx="36">
                  <c:v>7.3523499523857367</c:v>
                </c:pt>
                <c:pt idx="37">
                  <c:v>7.4990666349238069</c:v>
                </c:pt>
                <c:pt idx="38">
                  <c:v>5.0482833174618946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80-4C52-B308-3C58F6625D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80-4C52-B308-3C58F6625D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-17.986391965717729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80-4C52-B308-3C58F6625D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-27.01443213712912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80-4C52-B308-3C58F6625D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-32.343733460304719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80-4C52-B308-3C58F6625D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780-4C52-B308-3C58F6625D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'CCCC-car.3'!$AL$25:$AL$26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80-4C52-B308-3C58F6625D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'CCCC-car.3'!$AK$40:$AK$41</c:f>
              <c:numCache>
                <c:formatCode>0.00</c:formatCode>
                <c:ptCount val="2"/>
                <c:pt idx="0">
                  <c:v>1.6866482235937676</c:v>
                </c:pt>
                <c:pt idx="1">
                  <c:v>1.6866482235937676</c:v>
                </c:pt>
              </c:numCache>
            </c:numRef>
          </c:xVal>
          <c:yVal>
            <c:numRef>
              <c:f>'CCCC-car.3'!$AL$40:$AL$41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20.411312501340685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80-4C52-B308-3C58F6625D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'CCCC-car.3'!$AK$42:$AK$43</c:f>
              <c:numCache>
                <c:formatCode>0.00</c:formatCode>
                <c:ptCount val="2"/>
                <c:pt idx="0">
                  <c:v>5.782770929465558</c:v>
                </c:pt>
                <c:pt idx="1">
                  <c:v>5.782770929465558</c:v>
                </c:pt>
              </c:numCache>
            </c:numRef>
          </c:xVal>
          <c:yVal>
            <c:numRef>
              <c:f>'CCCC-car.3'!$AL$42:$AL$43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-1.4752679545255099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780-4C52-B308-3C58F6625D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'CCCC-car.3'!$AK$44:$AK$45</c:f>
              <c:numCache>
                <c:formatCode>0.00</c:formatCode>
                <c:ptCount val="2"/>
                <c:pt idx="0">
                  <c:v>10.682476384882159</c:v>
                </c:pt>
                <c:pt idx="1">
                  <c:v>10.682476384882159</c:v>
                </c:pt>
              </c:numCache>
            </c:numRef>
          </c:xVal>
          <c:yVal>
            <c:numRef>
              <c:f>'CCCC-car.3'!$AL$44:$AL$45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24.614568673227886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80-4C52-B308-3C58F6625D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'CCCC-car.3'!$AK$46:$AK$47</c:f>
              <c:numCache>
                <c:formatCode>0.00</c:formatCode>
                <c:ptCount val="2"/>
                <c:pt idx="0">
                  <c:v>16.278241902317244</c:v>
                </c:pt>
                <c:pt idx="1">
                  <c:v>16.278241902317244</c:v>
                </c:pt>
              </c:numCache>
            </c:numRef>
          </c:xVal>
          <c:yVal>
            <c:numRef>
              <c:f>'CCCC-car.3'!$AL$46:$AL$47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7.7545393518713368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780-4C52-B308-3C58F6625D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279328"/>
        <c:axId val="346279888"/>
      </c:scatterChart>
      <c:valAx>
        <c:axId val="3462793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79888"/>
        <c:crosses val="autoZero"/>
        <c:crossBetween val="midCat"/>
        <c:majorUnit val="1"/>
      </c:valAx>
      <c:valAx>
        <c:axId val="3462798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9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9"/>
          <c:w val="0.94796977526453763"/>
          <c:h val="0.7773857863680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55-471F-84FA-F57631800D7F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55-471F-84FA-F57631800D7F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55-471F-84FA-F57631800D7F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55-471F-84FA-F57631800D7F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55-471F-84FA-F57631800D7F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55-471F-84FA-F57631800D7F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55-471F-84FA-F57631800D7F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55-471F-84FA-F57631800D7F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55-471F-84FA-F57631800D7F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55-471F-84FA-F57631800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24.203402008570563</c:v>
                </c:pt>
                <c:pt idx="5">
                  <c:v>17.028402008570566</c:v>
                </c:pt>
                <c:pt idx="6">
                  <c:v>9.8534020085705656</c:v>
                </c:pt>
                <c:pt idx="7">
                  <c:v>2.6784020085705649</c:v>
                </c:pt>
                <c:pt idx="8">
                  <c:v>-4.4965979914294323</c:v>
                </c:pt>
                <c:pt idx="9">
                  <c:v>-11.671597991429429</c:v>
                </c:pt>
                <c:pt idx="10">
                  <c:v>-18.846597991429434</c:v>
                </c:pt>
                <c:pt idx="11">
                  <c:v>-26.021597991429431</c:v>
                </c:pt>
                <c:pt idx="12">
                  <c:v>-33.196597991429428</c:v>
                </c:pt>
                <c:pt idx="13">
                  <c:v>18.522989957147153</c:v>
                </c:pt>
                <c:pt idx="14">
                  <c:v>13.327989957147153</c:v>
                </c:pt>
                <c:pt idx="15">
                  <c:v>8.1329899571471529</c:v>
                </c:pt>
                <c:pt idx="16">
                  <c:v>2.9379899571471526</c:v>
                </c:pt>
                <c:pt idx="17">
                  <c:v>-2.2570100428528477</c:v>
                </c:pt>
                <c:pt idx="18">
                  <c:v>-7.452010042852848</c:v>
                </c:pt>
                <c:pt idx="19">
                  <c:v>-12.647010042852848</c:v>
                </c:pt>
                <c:pt idx="20">
                  <c:v>-17.842010042852849</c:v>
                </c:pt>
                <c:pt idx="21">
                  <c:v>-23.037010042852849</c:v>
                </c:pt>
                <c:pt idx="22">
                  <c:v>38.493536123058973</c:v>
                </c:pt>
                <c:pt idx="23">
                  <c:v>28.627911123058976</c:v>
                </c:pt>
                <c:pt idx="24">
                  <c:v>18.762286123058978</c:v>
                </c:pt>
                <c:pt idx="25">
                  <c:v>8.8966611230589763</c:v>
                </c:pt>
                <c:pt idx="26">
                  <c:v>-0.96896387694101804</c:v>
                </c:pt>
                <c:pt idx="27">
                  <c:v>-10.834588876941019</c:v>
                </c:pt>
                <c:pt idx="28">
                  <c:v>-20.700213876941021</c:v>
                </c:pt>
                <c:pt idx="29">
                  <c:v>-30.565838876941015</c:v>
                </c:pt>
                <c:pt idx="30">
                  <c:v>-40.43146387694101</c:v>
                </c:pt>
                <c:pt idx="31">
                  <c:v>28.865933365076181</c:v>
                </c:pt>
                <c:pt idx="32">
                  <c:v>23.670933365076181</c:v>
                </c:pt>
                <c:pt idx="33">
                  <c:v>18.47593336507618</c:v>
                </c:pt>
                <c:pt idx="34">
                  <c:v>13.28093336507618</c:v>
                </c:pt>
                <c:pt idx="35">
                  <c:v>8.0859333650761798</c:v>
                </c:pt>
                <c:pt idx="36">
                  <c:v>2.8909333650761795</c:v>
                </c:pt>
                <c:pt idx="37">
                  <c:v>-2.3040666349238208</c:v>
                </c:pt>
                <c:pt idx="38">
                  <c:v>-7.4990666349238211</c:v>
                </c:pt>
                <c:pt idx="39">
                  <c:v>-12.694066634923821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55-471F-84FA-F57631800D7F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F55-471F-84FA-F57631800D7F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'CCCC-car.3'!$AF$51</c:f>
              <c:numCache>
                <c:formatCode>0.00</c:formatCode>
                <c:ptCount val="1"/>
                <c:pt idx="0">
                  <c:v>24.203402008570563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F55-471F-84FA-F57631800D7F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'CCCC-car.3'!$AD$59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'CCCC-car.3'!$AF$59</c:f>
              <c:numCache>
                <c:formatCode>0.00</c:formatCode>
                <c:ptCount val="1"/>
                <c:pt idx="0">
                  <c:v>-33.196597991429428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F55-471F-84FA-F57631800D7F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'CCCC-car.3'!$AD$60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'CCCC-car.3'!$AF$60</c:f>
              <c:numCache>
                <c:formatCode>0.00</c:formatCode>
                <c:ptCount val="1"/>
                <c:pt idx="0">
                  <c:v>18.522989957147153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F55-471F-84FA-F57631800D7F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'CCCC-car.3'!$AD$68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'CCCC-car.3'!$AF$68</c:f>
              <c:numCache>
                <c:formatCode>0.00</c:formatCode>
                <c:ptCount val="1"/>
                <c:pt idx="0">
                  <c:v>-23.037010042852849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F55-471F-84FA-F57631800D7F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'CCCC-car.3'!$AD$69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'CCCC-car.3'!$AF$69</c:f>
              <c:numCache>
                <c:formatCode>0.00</c:formatCode>
                <c:ptCount val="1"/>
                <c:pt idx="0">
                  <c:v>38.493536123058973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F55-471F-84FA-F57631800D7F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'CCCC-car.3'!$AD$77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'CCCC-car.3'!$AF$77</c:f>
              <c:numCache>
                <c:formatCode>0.00</c:formatCode>
                <c:ptCount val="1"/>
                <c:pt idx="0">
                  <c:v>-40.43146387694101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F55-471F-84FA-F57631800D7F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'CCCC-car.3'!$AD$78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'CCCC-car.3'!$AF$78</c:f>
              <c:numCache>
                <c:formatCode>0.00</c:formatCode>
                <c:ptCount val="1"/>
                <c:pt idx="0">
                  <c:v>28.865933365076181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F55-471F-84FA-F57631800D7F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'CCCC-car.3'!$AD$86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'CCCC-car.3'!$AF$86</c:f>
              <c:numCache>
                <c:formatCode>0.00</c:formatCode>
                <c:ptCount val="1"/>
                <c:pt idx="0">
                  <c:v>-12.694066634923821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F55-471F-84FA-F57631800D7F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'CCCC-car.3'!$AD$87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'CCCC-car.3'!$AF$87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F55-471F-84FA-F5763180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88288"/>
        <c:axId val="346288848"/>
      </c:scatterChart>
      <c:valAx>
        <c:axId val="3462882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88848"/>
        <c:crosses val="autoZero"/>
        <c:crossBetween val="midCat"/>
        <c:majorUnit val="1"/>
      </c:valAx>
      <c:valAx>
        <c:axId val="3462888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88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E-4268-A092-84BB58B4756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-24.203402008570563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4E-4268-A092-84BB58B4756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-51.719587948576581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4E-4268-A092-84BB58B4756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-61.530546165911822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4E-4268-A092-84BB58B4756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-69.297397242017183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4E-4268-A092-84BB58B4756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-12.69406663492382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4E-4268-A092-84BB58B4756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48.699999999999996</c:v>
                </c:pt>
                <c:pt idx="3">
                  <c:v>48.699999999999996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4E-4268-A092-84BB58B4756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63.05</c:v>
                </c:pt>
                <c:pt idx="3">
                  <c:v>63.05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4E-4268-A092-84BB58B4756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59.089999999999996</c:v>
                </c:pt>
                <c:pt idx="3">
                  <c:v>59.089999999999996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4E-4268-A092-84BB58B4756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63.05</c:v>
                </c:pt>
                <c:pt idx="3">
                  <c:v>63.05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4E-4268-A092-84BB58B4756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59.089999999999996</c:v>
                </c:pt>
                <c:pt idx="3">
                  <c:v>59.089999999999996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4E-4268-A092-84BB58B4756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48.699999999999996</c:v>
                </c:pt>
                <c:pt idx="1">
                  <c:v>48.699999999999996</c:v>
                </c:pt>
                <c:pt idx="2">
                  <c:v>48.699999999999996</c:v>
                </c:pt>
                <c:pt idx="3">
                  <c:v>48.699999999999996</c:v>
                </c:pt>
                <c:pt idx="4">
                  <c:v>48.699999999999996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4E-4268-A092-84BB58B4756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'CCCC-car.3'!$W$37</c:f>
              <c:numCache>
                <c:formatCode>0.00</c:formatCode>
                <c:ptCount val="1"/>
                <c:pt idx="0">
                  <c:v>-24.203402008570563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4E-4268-A092-84BB58B4756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'CCCC-car.3'!$Y$37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'CCCC-car.3'!$Z$37</c:f>
              <c:numCache>
                <c:formatCode>0.00</c:formatCode>
                <c:ptCount val="1"/>
                <c:pt idx="0">
                  <c:v>-51.719587948576581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4E-4268-A092-84BB58B4756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'CCCC-car.3'!$AB$37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'CCCC-car.3'!$AC$37</c:f>
              <c:numCache>
                <c:formatCode>0.00</c:formatCode>
                <c:ptCount val="1"/>
                <c:pt idx="0">
                  <c:v>-61.530546165911822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4E-4268-A092-84BB58B4756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'CCCC-car.3'!$V$41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'CCCC-car.3'!$W$41</c:f>
              <c:numCache>
                <c:formatCode>0.00</c:formatCode>
                <c:ptCount val="1"/>
                <c:pt idx="0">
                  <c:v>-69.297397242017183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4E-4268-A092-84BB58B4756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'CCCC-car.3'!$Y$41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'CCCC-car.3'!$Z$41</c:f>
              <c:numCache>
                <c:formatCode>0.00</c:formatCode>
                <c:ptCount val="1"/>
                <c:pt idx="0">
                  <c:v>-12.69406663492382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4E-4268-A092-84BB58B4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00608"/>
        <c:axId val="346301168"/>
      </c:scatterChart>
      <c:valAx>
        <c:axId val="3463006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301168"/>
        <c:crosses val="autoZero"/>
        <c:crossBetween val="midCat"/>
        <c:majorUnit val="1"/>
      </c:valAx>
      <c:valAx>
        <c:axId val="34630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0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11E-2"/>
          <c:y val="9.9061975819114148E-2"/>
          <c:w val="0.94847987950390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9.6456292445619489</c:v>
                </c:pt>
                <c:pt idx="6">
                  <c:v>15.703758489123897</c:v>
                </c:pt>
                <c:pt idx="7">
                  <c:v>18.174387733685847</c:v>
                </c:pt>
                <c:pt idx="8">
                  <c:v>17.057516978247797</c:v>
                </c:pt>
                <c:pt idx="9">
                  <c:v>12.353146222809748</c:v>
                </c:pt>
                <c:pt idx="10">
                  <c:v>4.0612754673717006</c:v>
                </c:pt>
                <c:pt idx="11">
                  <c:v>-7.8180952880663455</c:v>
                </c:pt>
                <c:pt idx="12">
                  <c:v>-23.284966043504397</c:v>
                </c:pt>
                <c:pt idx="13">
                  <c:v>-23.284966043504404</c:v>
                </c:pt>
                <c:pt idx="14">
                  <c:v>-10.52561226631415</c:v>
                </c:pt>
                <c:pt idx="15">
                  <c:v>-1.3537584891238943</c:v>
                </c:pt>
                <c:pt idx="16">
                  <c:v>4.2305952880663611</c:v>
                </c:pt>
                <c:pt idx="17">
                  <c:v>6.2274490652566143</c:v>
                </c:pt>
                <c:pt idx="18">
                  <c:v>4.636802842446869</c:v>
                </c:pt>
                <c:pt idx="19">
                  <c:v>-0.54134338036286067</c:v>
                </c:pt>
                <c:pt idx="20">
                  <c:v>-9.3069896031726103</c:v>
                </c:pt>
                <c:pt idx="21">
                  <c:v>-21.660135825982351</c:v>
                </c:pt>
                <c:pt idx="22">
                  <c:v>-21.660135825982362</c:v>
                </c:pt>
                <c:pt idx="23">
                  <c:v>-5.3343974444917848</c:v>
                </c:pt>
                <c:pt idx="24">
                  <c:v>6.080442499498794</c:v>
                </c:pt>
                <c:pt idx="25">
                  <c:v>12.584384005989371</c:v>
                </c:pt>
                <c:pt idx="26">
                  <c:v>14.177427074979946</c:v>
                </c:pt>
                <c:pt idx="27">
                  <c:v>10.859571706470533</c:v>
                </c:pt>
                <c:pt idx="28">
                  <c:v>2.6308179004610963</c:v>
                </c:pt>
                <c:pt idx="29">
                  <c:v>-10.508834343048306</c:v>
                </c:pt>
                <c:pt idx="30">
                  <c:v>-28.559385024057747</c:v>
                </c:pt>
                <c:pt idx="31">
                  <c:v>-28.559385024057736</c:v>
                </c:pt>
                <c:pt idx="32">
                  <c:v>-12.433211896050523</c:v>
                </c:pt>
                <c:pt idx="33">
                  <c:v>0.10546123195668855</c:v>
                </c:pt>
                <c:pt idx="34">
                  <c:v>9.0566343599639083</c:v>
                </c:pt>
                <c:pt idx="35">
                  <c:v>14.420307487971115</c:v>
                </c:pt>
                <c:pt idx="36">
                  <c:v>16.196480615978331</c:v>
                </c:pt>
                <c:pt idx="37">
                  <c:v>14.385153743985555</c:v>
                </c:pt>
                <c:pt idx="38">
                  <c:v>8.9863268719927731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78-4B69-9FEB-66AA8E90E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78-4B69-9FEB-66AA8E90E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-23.284966043504397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78-4B69-9FEB-66AA8E90E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-21.660135825982351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78-4B69-9FEB-66AA8E90E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-28.559385024057747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178-4B69-9FEB-66AA8E90E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178-4B69-9FEB-66AA8E90E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'CCCC-car.4'!$AL$25:$AL$26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178-4B69-9FEB-66AA8E90E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'CCCC-car.4'!$AK$40:$AK$41</c:f>
              <c:numCache>
                <c:formatCode>0.00</c:formatCode>
                <c:ptCount val="2"/>
                <c:pt idx="0">
                  <c:v>1.594338570670655</c:v>
                </c:pt>
                <c:pt idx="1">
                  <c:v>1.594338570670655</c:v>
                </c:pt>
              </c:numCache>
            </c:numRef>
          </c:xVal>
          <c:yVal>
            <c:numRef>
              <c:f>'CCCC-car.4'!$AL$40:$AL$41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18.238243554134453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178-4B69-9FEB-66AA8E90E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'CCCC-car.4'!$AK$42:$AK$43</c:f>
              <c:numCache>
                <c:formatCode>0.00</c:formatCode>
                <c:ptCount val="2"/>
                <c:pt idx="0">
                  <c:v>6.0283071466467257</c:v>
                </c:pt>
                <c:pt idx="1">
                  <c:v>6.0283071466467257</c:v>
                </c:pt>
              </c:numCache>
            </c:numRef>
          </c:xVal>
          <c:yVal>
            <c:numRef>
              <c:f>'CCCC-car.4'!$AL$42:$AL$43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6.2331983536620506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178-4B69-9FEB-66AA8E90E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'CCCC-car.4'!$AK$44:$AK$45</c:f>
              <c:numCache>
                <c:formatCode>0.00</c:formatCode>
                <c:ptCount val="2"/>
                <c:pt idx="0">
                  <c:v>10.629267666496187</c:v>
                </c:pt>
                <c:pt idx="1">
                  <c:v>10.629267666496187</c:v>
                </c:pt>
              </c:numCache>
            </c:numRef>
          </c:xVal>
          <c:yVal>
            <c:numRef>
              <c:f>'CCCC-car.4'!$AL$44:$AL$45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14.253150934535228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178-4B69-9FEB-66AA8E90E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'CCCC-car.4'!$AK$46:$AK$47</c:f>
              <c:numCache>
                <c:formatCode>0.00</c:formatCode>
                <c:ptCount val="2"/>
                <c:pt idx="0">
                  <c:v>15.997550261743166</c:v>
                </c:pt>
                <c:pt idx="1">
                  <c:v>15.997550261743166</c:v>
                </c:pt>
              </c:numCache>
            </c:numRef>
          </c:xVal>
          <c:yVal>
            <c:numRef>
              <c:f>'CCCC-car.4'!$AL$46:$AL$47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16.196523674714086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178-4B69-9FEB-66AA8E90E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309008"/>
        <c:axId val="346309568"/>
      </c:scatterChart>
      <c:valAx>
        <c:axId val="3463090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309568"/>
        <c:crosses val="autoZero"/>
        <c:crossBetween val="midCat"/>
        <c:majorUnit val="1"/>
      </c:valAx>
      <c:valAx>
        <c:axId val="34630956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9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67"/>
          <c:w val="0.94796977526453763"/>
          <c:h val="0.777385786368050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44-4ABE-AAA9-C8BF20033C4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44-4ABE-AAA9-C8BF20033C4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44-4ABE-AAA9-C8BF20033C4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44-4ABE-AAA9-C8BF20033C4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44-4ABE-AAA9-C8BF20033C4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44-4ABE-AAA9-C8BF20033C4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44-4ABE-AAA9-C8BF20033C4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44-4ABE-AAA9-C8BF20033C4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44-4ABE-AAA9-C8BF20033C4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744-4ABE-AAA9-C8BF20033C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22.878758489123896</c:v>
                </c:pt>
                <c:pt idx="5">
                  <c:v>15.703758489123897</c:v>
                </c:pt>
                <c:pt idx="6">
                  <c:v>8.5287584891238986</c:v>
                </c:pt>
                <c:pt idx="7">
                  <c:v>1.3537584891238978</c:v>
                </c:pt>
                <c:pt idx="8">
                  <c:v>-5.8212415108760993</c:v>
                </c:pt>
                <c:pt idx="9">
                  <c:v>-12.996241510876096</c:v>
                </c:pt>
                <c:pt idx="10">
                  <c:v>-20.171241510876101</c:v>
                </c:pt>
                <c:pt idx="11">
                  <c:v>-27.346241510876098</c:v>
                </c:pt>
                <c:pt idx="12">
                  <c:v>-34.521241510876095</c:v>
                </c:pt>
                <c:pt idx="13">
                  <c:v>29.106207554380507</c:v>
                </c:pt>
                <c:pt idx="14">
                  <c:v>21.931207554380507</c:v>
                </c:pt>
                <c:pt idx="15">
                  <c:v>14.756207554380509</c:v>
                </c:pt>
                <c:pt idx="16">
                  <c:v>7.5812075543805086</c:v>
                </c:pt>
                <c:pt idx="17">
                  <c:v>0.40620755438051148</c:v>
                </c:pt>
                <c:pt idx="18">
                  <c:v>-6.7687924456194857</c:v>
                </c:pt>
                <c:pt idx="19">
                  <c:v>-13.94379244561949</c:v>
                </c:pt>
                <c:pt idx="20">
                  <c:v>-21.118792445619487</c:v>
                </c:pt>
                <c:pt idx="21">
                  <c:v>-28.293792445619484</c:v>
                </c:pt>
                <c:pt idx="22">
                  <c:v>27.318091054895387</c:v>
                </c:pt>
                <c:pt idx="23">
                  <c:v>20.174966054895386</c:v>
                </c:pt>
                <c:pt idx="24">
                  <c:v>13.031841054895386</c:v>
                </c:pt>
                <c:pt idx="25">
                  <c:v>5.8887160548953865</c:v>
                </c:pt>
                <c:pt idx="26">
                  <c:v>-1.2544089451046148</c:v>
                </c:pt>
                <c:pt idx="27">
                  <c:v>-8.397533945104616</c:v>
                </c:pt>
                <c:pt idx="28">
                  <c:v>-15.540658945104614</c:v>
                </c:pt>
                <c:pt idx="29">
                  <c:v>-22.683783945104619</c:v>
                </c:pt>
                <c:pt idx="30">
                  <c:v>-29.826908945104616</c:v>
                </c:pt>
                <c:pt idx="31">
                  <c:v>35.839846256014425</c:v>
                </c:pt>
                <c:pt idx="32">
                  <c:v>28.664846256014428</c:v>
                </c:pt>
                <c:pt idx="33">
                  <c:v>21.489846256014427</c:v>
                </c:pt>
                <c:pt idx="34">
                  <c:v>14.314846256014427</c:v>
                </c:pt>
                <c:pt idx="35">
                  <c:v>7.1398462560144296</c:v>
                </c:pt>
                <c:pt idx="36">
                  <c:v>-3.5153743985567587E-2</c:v>
                </c:pt>
                <c:pt idx="37">
                  <c:v>-7.2101537439855719</c:v>
                </c:pt>
                <c:pt idx="38">
                  <c:v>-14.385153743985569</c:v>
                </c:pt>
                <c:pt idx="39">
                  <c:v>-21.560153743985566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44-4ABE-AAA9-C8BF20033C4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44-4ABE-AAA9-C8BF20033C4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'CCCC-car.4'!$AF$51</c:f>
              <c:numCache>
                <c:formatCode>0.00</c:formatCode>
                <c:ptCount val="1"/>
                <c:pt idx="0">
                  <c:v>22.878758489123896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744-4ABE-AAA9-C8BF20033C4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'CCCC-car.4'!$AD$59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'CCCC-car.4'!$AF$59</c:f>
              <c:numCache>
                <c:formatCode>0.00</c:formatCode>
                <c:ptCount val="1"/>
                <c:pt idx="0">
                  <c:v>-34.521241510876095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744-4ABE-AAA9-C8BF20033C4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'CCCC-car.4'!$AD$60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'CCCC-car.4'!$AF$60</c:f>
              <c:numCache>
                <c:formatCode>0.00</c:formatCode>
                <c:ptCount val="1"/>
                <c:pt idx="0">
                  <c:v>29.106207554380507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744-4ABE-AAA9-C8BF20033C4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'CCCC-car.4'!$AD$68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'CCCC-car.4'!$AF$68</c:f>
              <c:numCache>
                <c:formatCode>0.00</c:formatCode>
                <c:ptCount val="1"/>
                <c:pt idx="0">
                  <c:v>-28.293792445619484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744-4ABE-AAA9-C8BF20033C4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'CCCC-car.4'!$AD$69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'CCCC-car.4'!$AF$69</c:f>
              <c:numCache>
                <c:formatCode>0.00</c:formatCode>
                <c:ptCount val="1"/>
                <c:pt idx="0">
                  <c:v>27.318091054895387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744-4ABE-AAA9-C8BF20033C4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'CCCC-car.4'!$AD$77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'CCCC-car.4'!$AF$77</c:f>
              <c:numCache>
                <c:formatCode>0.00</c:formatCode>
                <c:ptCount val="1"/>
                <c:pt idx="0">
                  <c:v>-29.826908945104616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744-4ABE-AAA9-C8BF20033C4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'CCCC-car.4'!$AD$78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'CCCC-car.4'!$AF$78</c:f>
              <c:numCache>
                <c:formatCode>0.00</c:formatCode>
                <c:ptCount val="1"/>
                <c:pt idx="0">
                  <c:v>35.839846256014425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744-4ABE-AAA9-C8BF20033C4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'CCCC-car.4'!$AD$86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'CCCC-car.4'!$AF$86</c:f>
              <c:numCache>
                <c:formatCode>0.00</c:formatCode>
                <c:ptCount val="1"/>
                <c:pt idx="0">
                  <c:v>-21.560153743985566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744-4ABE-AAA9-C8BF20033C4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'CCCC-car.4'!$AD$87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'CCCC-car.4'!$AF$87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744-4ABE-AAA9-C8BF20033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61328"/>
        <c:axId val="348061888"/>
      </c:scatterChart>
      <c:valAx>
        <c:axId val="34806132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61888"/>
        <c:crosses val="autoZero"/>
        <c:crossBetween val="midCat"/>
        <c:majorUnit val="1"/>
      </c:valAx>
      <c:valAx>
        <c:axId val="34806188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61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2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2-4414-8B5E-5333AFF6570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-22.878758489123896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2-4414-8B5E-5333AFF6570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-63.627449065256599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C2-4414-8B5E-5333AFF6570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-55.611883500514871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C2-4414-8B5E-5333AFF6570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-65.666755201119045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C2-4414-8B5E-5333AFF6570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-21.560153743985563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FC2-4414-8B5E-5333AFF6570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68.05</c:v>
                </c:pt>
                <c:pt idx="3">
                  <c:v>68.05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FC2-4414-8B5E-5333AFF6570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FC2-4414-8B5E-5333AFF6570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FC2-4414-8B5E-5333AFF6570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78.44</c:v>
                </c:pt>
                <c:pt idx="3">
                  <c:v>78.44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FC2-4414-8B5E-5333AFF6570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82.399999999999991</c:v>
                </c:pt>
                <c:pt idx="3">
                  <c:v>82.399999999999991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FC2-4414-8B5E-5333AFF6570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68.05</c:v>
                </c:pt>
                <c:pt idx="1">
                  <c:v>68.05</c:v>
                </c:pt>
                <c:pt idx="2">
                  <c:v>68.05</c:v>
                </c:pt>
                <c:pt idx="3">
                  <c:v>68.05</c:v>
                </c:pt>
                <c:pt idx="4">
                  <c:v>68.05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FC2-4414-8B5E-5333AFF6570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'CCCC-car.4'!$W$37</c:f>
              <c:numCache>
                <c:formatCode>0.00</c:formatCode>
                <c:ptCount val="1"/>
                <c:pt idx="0">
                  <c:v>-22.878758489123896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FC2-4414-8B5E-5333AFF6570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'CCCC-car.4'!$Y$37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'CCCC-car.4'!$Z$37</c:f>
              <c:numCache>
                <c:formatCode>0.00</c:formatCode>
                <c:ptCount val="1"/>
                <c:pt idx="0">
                  <c:v>-63.627449065256599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FC2-4414-8B5E-5333AFF6570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'CCCC-car.4'!$AB$37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'CCCC-car.4'!$AC$37</c:f>
              <c:numCache>
                <c:formatCode>0.00</c:formatCode>
                <c:ptCount val="1"/>
                <c:pt idx="0">
                  <c:v>-55.611883500514871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FC2-4414-8B5E-5333AFF6570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'CCCC-car.4'!$V$41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'CCCC-car.4'!$W$41</c:f>
              <c:numCache>
                <c:formatCode>0.00</c:formatCode>
                <c:ptCount val="1"/>
                <c:pt idx="0">
                  <c:v>-65.666755201119045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FC2-4414-8B5E-5333AFF6570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'CCCC-car.4'!$Y$41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'CCCC-car.4'!$Z$41</c:f>
              <c:numCache>
                <c:formatCode>0.00</c:formatCode>
                <c:ptCount val="1"/>
                <c:pt idx="0">
                  <c:v>-21.560153743985563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FC2-4414-8B5E-5333AFF6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73648"/>
        <c:axId val="348074208"/>
      </c:scatterChart>
      <c:valAx>
        <c:axId val="34807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074208"/>
        <c:crosses val="autoZero"/>
        <c:crossBetween val="midCat"/>
        <c:majorUnit val="1"/>
      </c:valAx>
      <c:valAx>
        <c:axId val="34807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7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29E-2"/>
          <c:y val="9.9061975819114148E-2"/>
          <c:w val="0.948479879503908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10.273019167877905</c:v>
                </c:pt>
                <c:pt idx="6">
                  <c:v>16.958538335755811</c:v>
                </c:pt>
                <c:pt idx="7">
                  <c:v>20.056557503633712</c:v>
                </c:pt>
                <c:pt idx="8">
                  <c:v>19.567076671511622</c:v>
                </c:pt>
                <c:pt idx="9">
                  <c:v>15.490095839389532</c:v>
                </c:pt>
                <c:pt idx="10">
                  <c:v>7.8256150072674302</c:v>
                </c:pt>
                <c:pt idx="11">
                  <c:v>-3.4263658248546562</c:v>
                </c:pt>
                <c:pt idx="12">
                  <c:v>-18.265846656976748</c:v>
                </c:pt>
                <c:pt idx="13">
                  <c:v>-18.265846656976741</c:v>
                </c:pt>
                <c:pt idx="14">
                  <c:v>-10.128442496366276</c:v>
                </c:pt>
                <c:pt idx="15">
                  <c:v>-4.588538335755814</c:v>
                </c:pt>
                <c:pt idx="16">
                  <c:v>-1.6461341751453489</c:v>
                </c:pt>
                <c:pt idx="17">
                  <c:v>-1.3012300145348874</c:v>
                </c:pt>
                <c:pt idx="18">
                  <c:v>-3.5538258539244225</c:v>
                </c:pt>
                <c:pt idx="19">
                  <c:v>-8.4039216933139613</c:v>
                </c:pt>
                <c:pt idx="20">
                  <c:v>-15.851517532703497</c:v>
                </c:pt>
                <c:pt idx="21">
                  <c:v>-25.896613372093043</c:v>
                </c:pt>
                <c:pt idx="22">
                  <c:v>-25.896613372093032</c:v>
                </c:pt>
                <c:pt idx="23">
                  <c:v>-3.4206327216569896</c:v>
                </c:pt>
                <c:pt idx="24">
                  <c:v>12.272730741279055</c:v>
                </c:pt>
                <c:pt idx="25">
                  <c:v>21.183477016715102</c:v>
                </c:pt>
                <c:pt idx="26">
                  <c:v>23.311606104651148</c:v>
                </c:pt>
                <c:pt idx="27">
                  <c:v>18.657118005087199</c:v>
                </c:pt>
                <c:pt idx="28">
                  <c:v>7.2200127180232414</c:v>
                </c:pt>
                <c:pt idx="29">
                  <c:v>-10.999709756540739</c:v>
                </c:pt>
                <c:pt idx="30">
                  <c:v>-36.002049418604656</c:v>
                </c:pt>
                <c:pt idx="31">
                  <c:v>-36.002049418604642</c:v>
                </c:pt>
                <c:pt idx="32">
                  <c:v>-18.945543241279069</c:v>
                </c:pt>
                <c:pt idx="33">
                  <c:v>-5.4765370639534865</c:v>
                </c:pt>
                <c:pt idx="34">
                  <c:v>4.4049691133720899</c:v>
                </c:pt>
                <c:pt idx="35">
                  <c:v>10.698975290697661</c:v>
                </c:pt>
                <c:pt idx="36">
                  <c:v>13.405481468023254</c:v>
                </c:pt>
                <c:pt idx="37">
                  <c:v>12.524487645348827</c:v>
                </c:pt>
                <c:pt idx="38">
                  <c:v>8.0559938226744094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9D-4CDE-84B7-86819C5F4900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9D-4CDE-84B7-86819C5F4900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-18.265846656976748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9D-4CDE-84B7-86819C5F4900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'CCCC-car.5'!$AK$21:$AK$22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-25.896613372093043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9D-4CDE-84B7-86819C5F4900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-36.002049418604656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9D-4CDE-84B7-86819C5F4900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C9D-4CDE-84B7-86819C5F490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'CCCC-car.5'!$AK$25:$AK$26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'CCCC-car.5'!$AL$25:$AL$26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9D-4CDE-84B7-86819C5F4900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'CCCC-car.5'!$AK$40:$AK$41</c:f>
              <c:numCache>
                <c:formatCode>0.00</c:formatCode>
                <c:ptCount val="2"/>
                <c:pt idx="0">
                  <c:v>1.6817796749655618</c:v>
                </c:pt>
                <c:pt idx="1">
                  <c:v>1.6817796749655618</c:v>
                </c:pt>
              </c:numCache>
            </c:numRef>
          </c:xVal>
          <c:yVal>
            <c:numRef>
              <c:f>'CCCC-car.5'!$AL$40:$AL$41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20.293647129038163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9D-4CDE-84B7-86819C5F4900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'CCCC-car.5'!$AK$42:$AK$43</c:f>
              <c:numCache>
                <c:formatCode>0.00</c:formatCode>
                <c:ptCount val="2"/>
                <c:pt idx="0">
                  <c:v>5.8163915612339681</c:v>
                </c:pt>
                <c:pt idx="1">
                  <c:v>5.8163915612339681</c:v>
                </c:pt>
              </c:numCache>
            </c:numRef>
          </c:xVal>
          <c:yVal>
            <c:numRef>
              <c:f>'CCCC-car.5'!$AL$42:$AL$43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-1.1260958691411069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9D-4CDE-84B7-86819C5F4900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'CCCC-car.5'!$AK$44:$AK$45</c:f>
              <c:numCache>
                <c:formatCode>0.00</c:formatCode>
                <c:ptCount val="2"/>
                <c:pt idx="0">
                  <c:v>10.621961532511731</c:v>
                </c:pt>
                <c:pt idx="1">
                  <c:v>10.621961532511731</c:v>
                </c:pt>
              </c:numCache>
            </c:numRef>
          </c:xVal>
          <c:yVal>
            <c:numRef>
              <c:f>'CCCC-car.5'!$AL$44:$AL$45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23.429231972350777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C9D-4CDE-84B7-86819C5F4900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'CCCC-car.5'!$AK$46:$AK$47</c:f>
              <c:numCache>
                <c:formatCode>0.00</c:formatCode>
                <c:ptCount val="2"/>
                <c:pt idx="0">
                  <c:v>16.127213404505309</c:v>
                </c:pt>
                <c:pt idx="1">
                  <c:v>16.127213404505309</c:v>
                </c:pt>
              </c:numCache>
            </c:numRef>
          </c:xVal>
          <c:yVal>
            <c:numRef>
              <c:f>'CCCC-car.5'!$AL$46:$AL$47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13.521596288824071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9D-4CDE-84B7-86819C5F49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082048"/>
        <c:axId val="348082608"/>
      </c:scatterChart>
      <c:valAx>
        <c:axId val="34808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082608"/>
        <c:crosses val="autoZero"/>
        <c:crossBetween val="midCat"/>
        <c:majorUnit val="1"/>
      </c:valAx>
      <c:valAx>
        <c:axId val="34808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8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40-48C6-B7CE-F0ECEEF129A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40-48C6-B7CE-F0ECEEF129A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40-48C6-B7CE-F0ECEEF129A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40-48C6-B7CE-F0ECEEF129A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40-48C6-B7CE-F0ECEEF129A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40-48C6-B7CE-F0ECEEF129A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40-48C6-B7CE-F0ECEEF129A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40-48C6-B7CE-F0ECEEF129A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40-48C6-B7CE-F0ECEEF129A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40-48C6-B7CE-F0ECEEF129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5.5</c:v>
                </c:pt>
                <c:pt idx="17">
                  <c:v>6</c:v>
                </c:pt>
                <c:pt idx="18">
                  <c:v>6.5</c:v>
                </c:pt>
                <c:pt idx="19">
                  <c:v>7</c:v>
                </c:pt>
                <c:pt idx="20">
                  <c:v>7.5</c:v>
                </c:pt>
                <c:pt idx="21">
                  <c:v>8</c:v>
                </c:pt>
                <c:pt idx="22">
                  <c:v>8</c:v>
                </c:pt>
                <c:pt idx="23">
                  <c:v>8.6875</c:v>
                </c:pt>
                <c:pt idx="24">
                  <c:v>9.375</c:v>
                </c:pt>
                <c:pt idx="25">
                  <c:v>10.0625</c:v>
                </c:pt>
                <c:pt idx="26">
                  <c:v>10.75</c:v>
                </c:pt>
                <c:pt idx="27">
                  <c:v>11.4375</c:v>
                </c:pt>
                <c:pt idx="28">
                  <c:v>12.125</c:v>
                </c:pt>
                <c:pt idx="29">
                  <c:v>12.8125</c:v>
                </c:pt>
                <c:pt idx="30">
                  <c:v>13.5</c:v>
                </c:pt>
                <c:pt idx="31">
                  <c:v>13.5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15.5</c:v>
                </c:pt>
                <c:pt idx="36">
                  <c:v>16</c:v>
                </c:pt>
                <c:pt idx="37">
                  <c:v>16.5</c:v>
                </c:pt>
                <c:pt idx="38">
                  <c:v>17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24.133538335755809</c:v>
                </c:pt>
                <c:pt idx="5">
                  <c:v>16.958538335755811</c:v>
                </c:pt>
                <c:pt idx="6">
                  <c:v>9.7835383357558108</c:v>
                </c:pt>
                <c:pt idx="7">
                  <c:v>2.6085383357558101</c:v>
                </c:pt>
                <c:pt idx="8">
                  <c:v>-4.5664616642441871</c:v>
                </c:pt>
                <c:pt idx="9">
                  <c:v>-11.741461664244184</c:v>
                </c:pt>
                <c:pt idx="10">
                  <c:v>-18.916461664244189</c:v>
                </c:pt>
                <c:pt idx="11">
                  <c:v>-26.091461664244186</c:v>
                </c:pt>
                <c:pt idx="12">
                  <c:v>-33.266461664244183</c:v>
                </c:pt>
                <c:pt idx="13">
                  <c:v>18.872308321220927</c:v>
                </c:pt>
                <c:pt idx="14">
                  <c:v>13.677308321220927</c:v>
                </c:pt>
                <c:pt idx="15">
                  <c:v>8.4823083212209269</c:v>
                </c:pt>
                <c:pt idx="16">
                  <c:v>3.2873083212209266</c:v>
                </c:pt>
                <c:pt idx="17">
                  <c:v>-1.9076916787790736</c:v>
                </c:pt>
                <c:pt idx="18">
                  <c:v>-7.1026916787790739</c:v>
                </c:pt>
                <c:pt idx="19">
                  <c:v>-12.297691678779074</c:v>
                </c:pt>
                <c:pt idx="20">
                  <c:v>-17.492691678779074</c:v>
                </c:pt>
                <c:pt idx="21">
                  <c:v>-22.687691678779075</c:v>
                </c:pt>
                <c:pt idx="22">
                  <c:v>37.625147991543336</c:v>
                </c:pt>
                <c:pt idx="23">
                  <c:v>27.759522991543339</c:v>
                </c:pt>
                <c:pt idx="24">
                  <c:v>17.893897991543341</c:v>
                </c:pt>
                <c:pt idx="25">
                  <c:v>8.0282729915433393</c:v>
                </c:pt>
                <c:pt idx="26">
                  <c:v>-1.837352008456655</c:v>
                </c:pt>
                <c:pt idx="27">
                  <c:v>-11.702977008456656</c:v>
                </c:pt>
                <c:pt idx="28">
                  <c:v>-21.568602008456658</c:v>
                </c:pt>
                <c:pt idx="29">
                  <c:v>-31.434227008456652</c:v>
                </c:pt>
                <c:pt idx="30">
                  <c:v>-41.299852008456647</c:v>
                </c:pt>
                <c:pt idx="31">
                  <c:v>37.700512354651153</c:v>
                </c:pt>
                <c:pt idx="32">
                  <c:v>30.525512354651156</c:v>
                </c:pt>
                <c:pt idx="33">
                  <c:v>23.350512354651155</c:v>
                </c:pt>
                <c:pt idx="34">
                  <c:v>16.175512354651154</c:v>
                </c:pt>
                <c:pt idx="35">
                  <c:v>9.000512354651157</c:v>
                </c:pt>
                <c:pt idx="36">
                  <c:v>1.8255123546511598</c:v>
                </c:pt>
                <c:pt idx="37">
                  <c:v>-5.3494876453488445</c:v>
                </c:pt>
                <c:pt idx="38">
                  <c:v>-12.524487645348842</c:v>
                </c:pt>
                <c:pt idx="39">
                  <c:v>-19.699487645348839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840-48C6-B7CE-F0ECEEF129A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840-48C6-B7CE-F0ECEEF129A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'CCCC-car.5'!$AF$51</c:f>
              <c:numCache>
                <c:formatCode>0.00</c:formatCode>
                <c:ptCount val="1"/>
                <c:pt idx="0">
                  <c:v>24.133538335755809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840-48C6-B7CE-F0ECEEF129A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'CCCC-car.5'!$AD$59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'CCCC-car.5'!$AF$59</c:f>
              <c:numCache>
                <c:formatCode>0.00</c:formatCode>
                <c:ptCount val="1"/>
                <c:pt idx="0">
                  <c:v>-33.266461664244183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840-48C6-B7CE-F0ECEEF129A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'CCCC-car.5'!$AD$60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'CCCC-car.5'!$AF$60</c:f>
              <c:numCache>
                <c:formatCode>0.00</c:formatCode>
                <c:ptCount val="1"/>
                <c:pt idx="0">
                  <c:v>18.872308321220927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840-48C6-B7CE-F0ECEEF129A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'CCCC-car.5'!$AD$68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'CCCC-car.5'!$AF$68</c:f>
              <c:numCache>
                <c:formatCode>0.00</c:formatCode>
                <c:ptCount val="1"/>
                <c:pt idx="0">
                  <c:v>-22.687691678779075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840-48C6-B7CE-F0ECEEF129A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'CCCC-car.5'!$AD$69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'CCCC-car.5'!$AF$69</c:f>
              <c:numCache>
                <c:formatCode>0.00</c:formatCode>
                <c:ptCount val="1"/>
                <c:pt idx="0">
                  <c:v>37.625147991543336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840-48C6-B7CE-F0ECEEF129A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'CCCC-car.5'!$AD$77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'CCCC-car.5'!$AF$77</c:f>
              <c:numCache>
                <c:formatCode>0.00</c:formatCode>
                <c:ptCount val="1"/>
                <c:pt idx="0">
                  <c:v>-41.299852008456647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840-48C6-B7CE-F0ECEEF129A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'CCCC-car.5'!$AD$78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'CCCC-car.5'!$AF$78</c:f>
              <c:numCache>
                <c:formatCode>0.00</c:formatCode>
                <c:ptCount val="1"/>
                <c:pt idx="0">
                  <c:v>37.700512354651153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840-48C6-B7CE-F0ECEEF129A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'CCCC-car.5'!$AD$86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'CCCC-car.5'!$AF$86</c:f>
              <c:numCache>
                <c:formatCode>0.00</c:formatCode>
                <c:ptCount val="1"/>
                <c:pt idx="0">
                  <c:v>-19.699487645348839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840-48C6-B7CE-F0ECEEF129A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'CCCC-car.5'!$AD$87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'CCCC-car.5'!$AF$87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840-48C6-B7CE-F0ECEEF1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91008"/>
        <c:axId val="348091568"/>
      </c:scatterChart>
      <c:valAx>
        <c:axId val="34809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91568"/>
        <c:crosses val="autoZero"/>
        <c:crossBetween val="midCat"/>
        <c:majorUnit val="1"/>
      </c:valAx>
      <c:valAx>
        <c:axId val="34809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9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13.5</c:v>
                </c:pt>
                <c:pt idx="5">
                  <c:v>17.5</c:v>
                </c:pt>
                <c:pt idx="6">
                  <c:v>17.5</c:v>
                </c:pt>
              </c:numCache>
            </c:numRef>
          </c:xVal>
          <c:yVal>
            <c:numRef>
              <c:f>'CCCC-car.5'!$AL$54:$AL$60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8-490F-975D-A899BC4F80C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-24.133538335755809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8-490F-975D-A899BC4F80C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-52.13876998546511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18-490F-975D-A899BC4F80C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-60.312839670322411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018-490F-975D-A899BC4F80C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-79.000364363107792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018-490F-975D-A899BC4F80C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17.5</c:v>
                </c:pt>
                <c:pt idx="1">
                  <c:v>17.5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-19.699487645348835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18-490F-975D-A899BC4F80C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87.399999999999991</c:v>
                </c:pt>
                <c:pt idx="3">
                  <c:v>87.399999999999991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18-490F-975D-A899BC4F80C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18-490F-975D-A899BC4F80C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97.789999999999992</c:v>
                </c:pt>
                <c:pt idx="3">
                  <c:v>97.789999999999992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18-490F-975D-A899BC4F80C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8</c:v>
                </c:pt>
                <c:pt idx="1">
                  <c:v>13.5</c:v>
                </c:pt>
                <c:pt idx="2">
                  <c:v>13.5</c:v>
                </c:pt>
                <c:pt idx="3">
                  <c:v>8</c:v>
                </c:pt>
                <c:pt idx="4">
                  <c:v>8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18-490F-975D-A899BC4F80C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17.5</c:v>
                </c:pt>
                <c:pt idx="2">
                  <c:v>17.5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101.74999999999999</c:v>
                </c:pt>
                <c:pt idx="3">
                  <c:v>101.74999999999999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18-490F-975D-A899BC4F80C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87.399999999999991</c:v>
                </c:pt>
                <c:pt idx="1">
                  <c:v>87.399999999999991</c:v>
                </c:pt>
                <c:pt idx="2">
                  <c:v>87.399999999999991</c:v>
                </c:pt>
                <c:pt idx="3">
                  <c:v>87.399999999999991</c:v>
                </c:pt>
                <c:pt idx="4">
                  <c:v>87.399999999999991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18-490F-975D-A899BC4F80C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'CCCC-car.5'!$W$37</c:f>
              <c:numCache>
                <c:formatCode>0.00</c:formatCode>
                <c:ptCount val="1"/>
                <c:pt idx="0">
                  <c:v>-24.133538335755809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18-490F-975D-A899BC4F80C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'CCCC-car.5'!$Y$37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'CCCC-car.5'!$Z$37</c:f>
              <c:numCache>
                <c:formatCode>0.00</c:formatCode>
                <c:ptCount val="1"/>
                <c:pt idx="0">
                  <c:v>-52.13876998546511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18-490F-975D-A899BC4F80C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'CCCC-car.5'!$AB$37</c:f>
              <c:numCache>
                <c:formatCode>0.00</c:formatCode>
                <c:ptCount val="1"/>
                <c:pt idx="0">
                  <c:v>8</c:v>
                </c:pt>
              </c:numCache>
            </c:numRef>
          </c:xVal>
          <c:yVal>
            <c:numRef>
              <c:f>'CCCC-car.5'!$AC$37</c:f>
              <c:numCache>
                <c:formatCode>0.00</c:formatCode>
                <c:ptCount val="1"/>
                <c:pt idx="0">
                  <c:v>-60.312839670322411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18-490F-975D-A899BC4F80C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'CCCC-car.5'!$V$41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'CCCC-car.5'!$W$41</c:f>
              <c:numCache>
                <c:formatCode>0.00</c:formatCode>
                <c:ptCount val="1"/>
                <c:pt idx="0">
                  <c:v>-79.000364363107792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18-490F-975D-A899BC4F80C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'CCCC-car.5'!$Y$41</c:f>
              <c:numCache>
                <c:formatCode>0.00</c:formatCode>
                <c:ptCount val="1"/>
                <c:pt idx="0">
                  <c:v>17.5</c:v>
                </c:pt>
              </c:numCache>
            </c:numRef>
          </c:xVal>
          <c:yVal>
            <c:numRef>
              <c:f>'CCCC-car.5'!$Z$41</c:f>
              <c:numCache>
                <c:formatCode>0.00</c:formatCode>
                <c:ptCount val="1"/>
                <c:pt idx="0">
                  <c:v>-19.699487645348835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018-490F-975D-A899BC4F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03328"/>
        <c:axId val="348103888"/>
      </c:scatterChart>
      <c:valAx>
        <c:axId val="34810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103888"/>
        <c:crosses val="autoZero"/>
        <c:crossBetween val="midCat"/>
        <c:majorUnit val="1"/>
      </c:valAx>
      <c:valAx>
        <c:axId val="34810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0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53E-2"/>
          <c:y val="9.9061975819114148E-2"/>
          <c:w val="0.948479879503908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7-4F9C-AAD8-FE41DE8050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7-4F9C-AAD8-FE41DE8050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37-4F9C-AAD8-FE41DE8050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637-4F9C-AAD8-FE41DE8050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37-4F9C-AAD8-FE41DE8050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0637-4F9C-AAD8-FE41DE8050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37-4F9C-AAD8-FE41DE8050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637-4F9C-AAD8-FE41DE8050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637-4F9C-AAD8-FE41DE8050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637-4F9C-AAD8-FE41DE8050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637-4F9C-AAD8-FE41DE8050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111728"/>
        <c:axId val="348112288"/>
      </c:scatterChart>
      <c:valAx>
        <c:axId val="34811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112288"/>
        <c:crosses val="autoZero"/>
        <c:crossBetween val="midCat"/>
        <c:majorUnit val="1"/>
      </c:valAx>
      <c:valAx>
        <c:axId val="34811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1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1"/>
          <c:w val="0.94796977526453763"/>
          <c:h val="0.777385786368050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F1-44AC-8A87-CC7FF39FAF4D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F1-44AC-8A87-CC7FF39FAF4D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1-44AC-8A87-CC7FF39FAF4D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F1-44AC-8A87-CC7FF39FAF4D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1-44AC-8A87-CC7FF39FAF4D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F1-44AC-8A87-CC7FF39FAF4D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F1-44AC-8A87-CC7FF39FAF4D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F1-44AC-8A87-CC7FF39FAF4D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F1-44AC-8A87-CC7FF39FAF4D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F1-44AC-8A87-CC7FF39FAF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2F1-44AC-8A87-CC7FF39FAF4D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2F1-44AC-8A87-CC7FF39FAF4D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2F1-44AC-8A87-CC7FF39FAF4D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'CCC-car.1'!$AD$59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2F1-44AC-8A87-CC7FF39FAF4D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'CCC-car.1'!$AD$60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2F1-44AC-8A87-CC7FF39FAF4D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'CCC-car.1'!$AD$68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2F1-44AC-8A87-CC7FF39FAF4D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'CCC-car.1'!$AD$69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2F1-44AC-8A87-CC7FF39FAF4D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'CCC-car.1'!$AD$77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F1-44AC-8A87-CC7FF39FAF4D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2F1-44AC-8A87-CC7FF39FAF4D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'CCC-car.1'!$AD$86</c:f>
              <c:numCache>
                <c:formatCode>0.00</c:formatCode>
                <c:ptCount val="1"/>
              </c:numCache>
            </c:numRef>
          </c:xVal>
          <c:yVal>
            <c:numRef>
              <c:f>'CCC-car.1'!$AF$86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F1-44AC-8A87-CC7FF39FAF4D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'CCC-car.1'!$AD$78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2F1-44AC-8A87-CC7FF39FA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20688"/>
        <c:axId val="348121248"/>
      </c:scatterChart>
      <c:valAx>
        <c:axId val="34812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121248"/>
        <c:crosses val="autoZero"/>
        <c:crossBetween val="midCat"/>
        <c:majorUnit val="1"/>
      </c:valAx>
      <c:valAx>
        <c:axId val="34812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2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B-4A52-BEF7-5F03F1DBDEBC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B-4A52-BEF7-5F03F1DBDEBC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4B-4A52-BEF7-5F03F1DBDEBC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4B-4A52-BEF7-5F03F1DBDEBC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4B-4A52-BEF7-5F03F1DBDEBC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4B-4A52-BEF7-5F03F1DBDEBC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4B-4A52-BEF7-5F03F1DBDEBC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4B-4A52-BEF7-5F03F1DBDEBC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4B-4A52-BEF7-5F03F1DBDEBC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4B-4A52-BEF7-5F03F1DBDEBC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4B-4A52-BEF7-5F03F1DBDEBC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4B-4A52-BEF7-5F03F1DBDEBC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4B-4A52-BEF7-5F03F1DBDEBC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'CCC-car.1'!$Y$37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44B-4A52-BEF7-5F03F1DBDEBC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'CCC-car.1'!$AB$37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'CCC-car.1'!$AC$37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44B-4A52-BEF7-5F03F1DBDEBC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'CCC-car.1'!$V$41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'CCC-car.1'!$W$41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44B-4A52-BEF7-5F03F1DBDEBC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'CCC-car.1'!$Y$41</c:f>
              <c:numCache>
                <c:formatCode>0.00</c:formatCode>
                <c:ptCount val="1"/>
              </c:numCache>
            </c:numRef>
          </c:xVal>
          <c:yVal>
            <c:numRef>
              <c:f>'CCC-car.1'!$Z$41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44B-4A52-BEF7-5F03F1DBD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10272"/>
        <c:axId val="349910832"/>
      </c:scatterChart>
      <c:valAx>
        <c:axId val="3499102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10832"/>
        <c:crosses val="autoZero"/>
        <c:crossBetween val="midCat"/>
        <c:majorUnit val="1"/>
      </c:valAx>
      <c:valAx>
        <c:axId val="349910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77E-2"/>
          <c:y val="9.9061975819114148E-2"/>
          <c:w val="0.948479879503908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5.0615384615384622</c:v>
                </c:pt>
                <c:pt idx="6">
                  <c:v>7.7730769230769239</c:v>
                </c:pt>
                <c:pt idx="7">
                  <c:v>8.134615384615385</c:v>
                </c:pt>
                <c:pt idx="8">
                  <c:v>6.1461538461538474</c:v>
                </c:pt>
                <c:pt idx="9">
                  <c:v>1.8076923076923102</c:v>
                </c:pt>
                <c:pt idx="10">
                  <c:v>-4.8807692307692321</c:v>
                </c:pt>
                <c:pt idx="11">
                  <c:v>-13.919230769230765</c:v>
                </c:pt>
                <c:pt idx="12">
                  <c:v>-25.307692307692307</c:v>
                </c:pt>
                <c:pt idx="13">
                  <c:v>-25.307692307692314</c:v>
                </c:pt>
                <c:pt idx="14">
                  <c:v>-6.8014423076923123</c:v>
                </c:pt>
                <c:pt idx="15">
                  <c:v>6.4173076923076877</c:v>
                </c:pt>
                <c:pt idx="16">
                  <c:v>14.348557692307693</c:v>
                </c:pt>
                <c:pt idx="17">
                  <c:v>16.992307692307691</c:v>
                </c:pt>
                <c:pt idx="18">
                  <c:v>14.348557692307693</c:v>
                </c:pt>
                <c:pt idx="19">
                  <c:v>6.4173076923077019</c:v>
                </c:pt>
                <c:pt idx="20">
                  <c:v>-6.8014423076923265</c:v>
                </c:pt>
                <c:pt idx="21">
                  <c:v>-25.307692307692321</c:v>
                </c:pt>
                <c:pt idx="22">
                  <c:v>-25.307692307692307</c:v>
                </c:pt>
                <c:pt idx="23">
                  <c:v>-13.919230769230769</c:v>
                </c:pt>
                <c:pt idx="24">
                  <c:v>-4.8807692307692285</c:v>
                </c:pt>
                <c:pt idx="25">
                  <c:v>1.8076923076923066</c:v>
                </c:pt>
                <c:pt idx="26">
                  <c:v>6.146153846153851</c:v>
                </c:pt>
                <c:pt idx="27">
                  <c:v>8.1346153846153868</c:v>
                </c:pt>
                <c:pt idx="28">
                  <c:v>7.7730769230769283</c:v>
                </c:pt>
                <c:pt idx="29">
                  <c:v>5.0615384615384613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0-4054-9B49-2930D52CB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0-4054-9B49-2930D52CB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-25.307692307692307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40-4054-9B49-2930D52CB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-25.307692307692321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D40-4054-9B49-2930D52CB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D40-4054-9B49-2930D52CB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D40-4054-9B49-2930D52CB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D40-4054-9B49-2930D52CB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1.3269230769230769</c:v>
                </c:pt>
                <c:pt idx="1">
                  <c:v>1.3269230769230769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D40-4054-9B49-2930D52CB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16.992307692307698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D40-4054-9B49-2930D52CB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12.673076923076923</c:v>
                </c:pt>
                <c:pt idx="1">
                  <c:v>12.673076923076923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8.2754068047337128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D40-4054-9B49-2930D52CB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D40-4054-9B49-2930D52CB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18672"/>
        <c:axId val="349919232"/>
      </c:scatterChart>
      <c:valAx>
        <c:axId val="34991867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19232"/>
        <c:crosses val="autoZero"/>
        <c:crossBetween val="midCat"/>
        <c:majorUnit val="1"/>
      </c:valAx>
      <c:valAx>
        <c:axId val="34991923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8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7"/>
          <c:w val="0.94796977526453763"/>
          <c:h val="0.77738578636805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70-4801-9754-42D33E7B3F4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70-4801-9754-42D33E7B3F4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70-4801-9754-42D33E7B3F4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70-4801-9754-42D33E7B3F4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70-4801-9754-42D33E7B3F4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170-4801-9754-42D33E7B3F4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70-4801-9754-42D33E7B3F4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70-4801-9754-42D33E7B3F4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70-4801-9754-42D33E7B3F4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170-4801-9754-42D33E7B3F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12.473076923076924</c:v>
                </c:pt>
                <c:pt idx="5">
                  <c:v>7.7730769230769239</c:v>
                </c:pt>
                <c:pt idx="6">
                  <c:v>3.0730769230769237</c:v>
                </c:pt>
                <c:pt idx="7">
                  <c:v>-1.6269230769230774</c:v>
                </c:pt>
                <c:pt idx="8">
                  <c:v>-6.3269230769230766</c:v>
                </c:pt>
                <c:pt idx="9">
                  <c:v>-11.026923076923076</c:v>
                </c:pt>
                <c:pt idx="10">
                  <c:v>-15.726923076923079</c:v>
                </c:pt>
                <c:pt idx="11">
                  <c:v>-20.426923076923075</c:v>
                </c:pt>
                <c:pt idx="12">
                  <c:v>-25.126923076923077</c:v>
                </c:pt>
                <c:pt idx="13">
                  <c:v>28.200000000000003</c:v>
                </c:pt>
                <c:pt idx="14">
                  <c:v>21.150000000000002</c:v>
                </c:pt>
                <c:pt idx="15">
                  <c:v>14.100000000000001</c:v>
                </c:pt>
                <c:pt idx="16">
                  <c:v>7.0500000000000007</c:v>
                </c:pt>
                <c:pt idx="17">
                  <c:v>0</c:v>
                </c:pt>
                <c:pt idx="18">
                  <c:v>-7.0499999999999972</c:v>
                </c:pt>
                <c:pt idx="19">
                  <c:v>-14.100000000000001</c:v>
                </c:pt>
                <c:pt idx="20">
                  <c:v>-21.15</c:v>
                </c:pt>
                <c:pt idx="21">
                  <c:v>-28.200000000000003</c:v>
                </c:pt>
                <c:pt idx="22">
                  <c:v>25.126923076923077</c:v>
                </c:pt>
                <c:pt idx="23">
                  <c:v>20.426923076923078</c:v>
                </c:pt>
                <c:pt idx="24">
                  <c:v>15.726923076923077</c:v>
                </c:pt>
                <c:pt idx="25">
                  <c:v>11.026923076923076</c:v>
                </c:pt>
                <c:pt idx="26">
                  <c:v>6.3269230769230766</c:v>
                </c:pt>
                <c:pt idx="27">
                  <c:v>1.6269230769230774</c:v>
                </c:pt>
                <c:pt idx="28">
                  <c:v>-3.0730769230769255</c:v>
                </c:pt>
                <c:pt idx="29">
                  <c:v>-7.7730769230769212</c:v>
                </c:pt>
                <c:pt idx="30">
                  <c:v>-12.473076923076924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70-4801-9754-42D33E7B3F4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70-4801-9754-42D33E7B3F4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'CCC-car.2'!$AF$51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70-4801-9754-42D33E7B3F4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'CCC-car.2'!$AD$59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'CCC-car.2'!$AF$59</c:f>
              <c:numCache>
                <c:formatCode>0.00</c:formatCode>
                <c:ptCount val="1"/>
                <c:pt idx="0">
                  <c:v>-25.126923076923077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70-4801-9754-42D33E7B3F4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'CCC-car.2'!$AD$60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'CCC-car.2'!$AF$60</c:f>
              <c:numCache>
                <c:formatCode>0.00</c:formatCode>
                <c:ptCount val="1"/>
                <c:pt idx="0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170-4801-9754-42D33E7B3F4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'CCC-car.2'!$AD$68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'CCC-car.2'!$AF$68</c:f>
              <c:numCache>
                <c:formatCode>0.00</c:formatCode>
                <c:ptCount val="1"/>
                <c:pt idx="0">
                  <c:v>-28.200000000000003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70-4801-9754-42D33E7B3F4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'CCC-car.2'!$AD$69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'CCC-car.2'!$AF$69</c:f>
              <c:numCache>
                <c:formatCode>0.00</c:formatCode>
                <c:ptCount val="1"/>
                <c:pt idx="0">
                  <c:v>25.126923076923077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70-4801-9754-42D33E7B3F4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'CCC-car.2'!$AD$77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'CCC-car.2'!$AF$77</c:f>
              <c:numCache>
                <c:formatCode>0.00</c:formatCode>
                <c:ptCount val="1"/>
                <c:pt idx="0">
                  <c:v>-12.473076923076924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170-4801-9754-42D33E7B3F4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170-4801-9754-42D33E7B3F4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'CCC-car.2'!$AD$86</c:f>
              <c:numCache>
                <c:formatCode>0.00</c:formatCode>
                <c:ptCount val="1"/>
              </c:numCache>
            </c:numRef>
          </c:xVal>
          <c:yVal>
            <c:numRef>
              <c:f>'CCC-car.2'!$AF$86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170-4801-9754-42D33E7B3F4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'CCC-car.2'!$AD$78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170-4801-9754-42D33E7B3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27632"/>
        <c:axId val="349928192"/>
      </c:scatterChart>
      <c:valAx>
        <c:axId val="34992763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28192"/>
        <c:crosses val="autoZero"/>
        <c:crossBetween val="midCat"/>
        <c:majorUnit val="1"/>
      </c:valAx>
      <c:valAx>
        <c:axId val="34992819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27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C-49B4-BD1F-83983DDBDA7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9C-49B4-BD1F-83983DDBDA7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9C-49B4-BD1F-83983DDBDA7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9C-49B4-BD1F-83983DDBDA75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9C-49B4-BD1F-83983DDBDA75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'CCC-car.2'!$Y$40:$Y$41</c:f>
              <c:numCache>
                <c:formatCode>0.00</c:formatCode>
                <c:ptCount val="2"/>
              </c:numCache>
            </c:numRef>
          </c:xVal>
          <c:yVal>
            <c:numRef>
              <c:f>'CCC-car.2'!$Z$40:$Z$41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A9C-49B4-BD1F-83983DDBDA75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A9C-49B4-BD1F-83983DDBDA75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A9C-49B4-BD1F-83983DDBDA75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A9C-49B4-BD1F-83983DDBDA75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24.4</c:v>
                </c:pt>
                <c:pt idx="3">
                  <c:v>24.4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A9C-49B4-BD1F-83983DDBDA75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A9C-49B4-BD1F-83983DDBDA75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A9C-49B4-BD1F-83983DDBDA75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'CCC-car.2'!$W$37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A9C-49B4-BD1F-83983DDBDA75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'CCC-car.2'!$Y$37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'CCC-car.2'!$Z$37</c:f>
              <c:numCache>
                <c:formatCode>0.00</c:formatCode>
                <c:ptCount val="1"/>
                <c:pt idx="0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A9C-49B4-BD1F-83983DDBDA75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'CCC-car.2'!$AB$37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'CCC-car.2'!$AC$37</c:f>
              <c:numCache>
                <c:formatCode>0.00</c:formatCode>
                <c:ptCount val="1"/>
                <c:pt idx="0">
                  <c:v>53.32692307692308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A9C-49B4-BD1F-83983DDBDA75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'CCC-car.2'!$V$41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'CCC-car.2'!$W$41</c:f>
              <c:numCache>
                <c:formatCode>0.00</c:formatCode>
                <c:ptCount val="1"/>
                <c:pt idx="0">
                  <c:v>12.473076923076924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A9C-49B4-BD1F-83983DDBDA75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'CCC-car.2'!$Y$41</c:f>
              <c:numCache>
                <c:formatCode>0.00</c:formatCode>
                <c:ptCount val="1"/>
              </c:numCache>
            </c:numRef>
          </c:xVal>
          <c:yVal>
            <c:numRef>
              <c:f>'CCC-car.2'!$Z$41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A9C-49B4-BD1F-83983DDBD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39952"/>
        <c:axId val="349940512"/>
      </c:scatterChart>
      <c:valAx>
        <c:axId val="349939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40512"/>
        <c:crosses val="autoZero"/>
        <c:crossBetween val="midCat"/>
        <c:majorUnit val="1"/>
      </c:valAx>
      <c:valAx>
        <c:axId val="34994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399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98E-2"/>
          <c:y val="9.9061975819114148E-2"/>
          <c:w val="0.948479879503908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D-450E-93F0-64D26B4A6D4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9D-450E-93F0-64D26B4A6D4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9D-450E-93F0-64D26B4A6D4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9D-450E-93F0-64D26B4A6D4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F9D-450E-93F0-64D26B4A6D4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8F9D-450E-93F0-64D26B4A6D4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F9D-450E-93F0-64D26B4A6D4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F9D-450E-93F0-64D26B4A6D4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F9D-450E-93F0-64D26B4A6D4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F9D-450E-93F0-64D26B4A6D4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F9D-450E-93F0-64D26B4A6D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48352"/>
        <c:axId val="349948912"/>
      </c:scatterChart>
      <c:valAx>
        <c:axId val="34994835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48912"/>
        <c:crosses val="autoZero"/>
        <c:crossBetween val="midCat"/>
        <c:majorUnit val="1"/>
      </c:valAx>
      <c:valAx>
        <c:axId val="34994891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48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95"/>
          <c:w val="0.94796977526453763"/>
          <c:h val="0.777385786368051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0C-4753-8F47-21DE5209426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0C-4753-8F47-21DE5209426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C-4753-8F47-21DE5209426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C-4753-8F47-21DE5209426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0C-4753-8F47-21DE5209426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0C-4753-8F47-21DE5209426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0C-4753-8F47-21DE5209426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0C-4753-8F47-21DE5209426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0C-4753-8F47-21DE5209426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0C-4753-8F47-21DE520942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0C-4753-8F47-21DE5209426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0C-4753-8F47-21DE5209426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0C-4753-8F47-21DE5209426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'CCC-car.3'!$AD$59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0C-4753-8F47-21DE5209426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'CCC-car.3'!$AD$60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D0C-4753-8F47-21DE5209426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'CCC-car.3'!$AD$68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D0C-4753-8F47-21DE5209426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'CCC-car.3'!$AD$69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D0C-4753-8F47-21DE5209426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'CCC-car.3'!$AD$77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D0C-4753-8F47-21DE5209426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D0C-4753-8F47-21DE5209426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'CCC-car.3'!$AD$86</c:f>
              <c:numCache>
                <c:formatCode>0.00</c:formatCode>
                <c:ptCount val="1"/>
              </c:numCache>
            </c:numRef>
          </c:xVal>
          <c:yVal>
            <c:numRef>
              <c:f>'CCC-car.3'!$AF$86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D0C-4753-8F47-21DE5209426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'CCC-car.3'!$AD$78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D0C-4753-8F47-21DE5209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57312"/>
        <c:axId val="349957872"/>
      </c:scatterChart>
      <c:valAx>
        <c:axId val="34995731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57872"/>
        <c:crosses val="autoZero"/>
        <c:crossBetween val="midCat"/>
        <c:majorUnit val="1"/>
      </c:valAx>
      <c:valAx>
        <c:axId val="3499578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9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573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E1-4DF2-B258-55EFC8753656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E1-4DF2-B258-55EFC8753656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E1-4DF2-B258-55EFC8753656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E1-4DF2-B258-55EFC8753656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E1-4DF2-B258-55EFC8753656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'CCC-car.3'!$Y$40:$Y$41</c:f>
              <c:numCache>
                <c:formatCode>0.00</c:formatCode>
                <c:ptCount val="2"/>
              </c:numCache>
            </c:numRef>
          </c:xVal>
          <c:yVal>
            <c:numRef>
              <c:f>'CCC-car.3'!$Z$40:$Z$41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E1-4DF2-B258-55EFC8753656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E1-4DF2-B258-55EFC8753656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2E1-4DF2-B258-55EFC8753656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2E1-4DF2-B258-55EFC8753656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2E1-4DF2-B258-55EFC8753656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2E1-4DF2-B258-55EFC8753656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29.4</c:v>
                </c:pt>
                <c:pt idx="1">
                  <c:v>29.4</c:v>
                </c:pt>
                <c:pt idx="2">
                  <c:v>29.4</c:v>
                </c:pt>
                <c:pt idx="3">
                  <c:v>29.4</c:v>
                </c:pt>
                <c:pt idx="4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2E1-4DF2-B258-55EFC8753656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2E1-4DF2-B258-55EFC8753656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'CCC-car.3'!$Y$37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2E1-4DF2-B258-55EFC8753656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'CCC-car.3'!$AB$37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'CCC-car.3'!$AC$37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2E1-4DF2-B258-55EFC8753656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'CCC-car.3'!$V$41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'CCC-car.3'!$W$41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2E1-4DF2-B258-55EFC8753656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'CCC-car.3'!$Y$41</c:f>
              <c:numCache>
                <c:formatCode>0.00</c:formatCode>
                <c:ptCount val="1"/>
              </c:numCache>
            </c:numRef>
          </c:xVal>
          <c:yVal>
            <c:numRef>
              <c:f>'CCC-car.3'!$Z$41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2E1-4DF2-B258-55EFC8753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03648"/>
        <c:axId val="352304208"/>
      </c:scatterChart>
      <c:valAx>
        <c:axId val="35230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04208"/>
        <c:crosses val="autoZero"/>
        <c:crossBetween val="midCat"/>
        <c:majorUnit val="1"/>
      </c:valAx>
      <c:valAx>
        <c:axId val="35230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0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B0-4D94-9D4D-A88947EC21A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B0-4D94-9D4D-A88947EC21A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B0-4D94-9D4D-A88947EC21A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B0-4D94-9D4D-A88947EC21A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B0-4D94-9D4D-A88947EC21A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4B0-4D94-9D4D-A88947EC21A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B0-4D94-9D4D-A88947EC21A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B0-4D94-9D4D-A88947EC21A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B0-4D94-9D4D-A88947EC21A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B0-4D94-9D4D-A88947EC21A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B0-4D94-9D4D-A88947EC21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12048"/>
        <c:axId val="352312608"/>
      </c:scatterChart>
      <c:valAx>
        <c:axId val="35231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12608"/>
        <c:crosses val="autoZero"/>
        <c:crossBetween val="midCat"/>
        <c:majorUnit val="1"/>
      </c:valAx>
      <c:valAx>
        <c:axId val="35231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1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19-43D3-B7D1-510901135BC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19-43D3-B7D1-510901135BC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19-43D3-B7D1-510901135BC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9-43D3-B7D1-510901135BC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19-43D3-B7D1-510901135BC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19-43D3-B7D1-510901135BC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19-43D3-B7D1-510901135BC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9-43D3-B7D1-510901135BC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19-43D3-B7D1-510901135BC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9-43D3-B7D1-510901135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19-43D3-B7D1-510901135BC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19-43D3-B7D1-510901135BC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19-43D3-B7D1-510901135BC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'CCC-car.4'!$AD$59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19-43D3-B7D1-510901135BC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'CCC-car.4'!$AD$60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19-43D3-B7D1-510901135BC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'CCC-car.4'!$AD$68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19-43D3-B7D1-510901135BC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'CCC-car.4'!$AD$69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19-43D3-B7D1-510901135BC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'CCC-car.4'!$AD$77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19-43D3-B7D1-510901135BC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19-43D3-B7D1-510901135BC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'CCC-car.4'!$AD$86</c:f>
              <c:numCache>
                <c:formatCode>0.00</c:formatCode>
                <c:ptCount val="1"/>
              </c:numCache>
            </c:numRef>
          </c:xVal>
          <c:yVal>
            <c:numRef>
              <c:f>'CCC-car.4'!$AF$86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19-43D3-B7D1-510901135BC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'CCC-car.4'!$AD$78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619-43D3-B7D1-51090113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21008"/>
        <c:axId val="352321568"/>
      </c:scatterChart>
      <c:valAx>
        <c:axId val="35232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21568"/>
        <c:crosses val="autoZero"/>
        <c:crossBetween val="midCat"/>
        <c:majorUnit val="1"/>
      </c:valAx>
      <c:valAx>
        <c:axId val="35232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2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A-4A0E-A337-32C725F8CFE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2A-4A0E-A337-32C725F8CFE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2A-4A0E-A337-32C725F8CFE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2A-4A0E-A337-32C725F8CFEE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2A-4A0E-A337-32C725F8CFEE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'CCC-car.4'!$Y$40:$Y$41</c:f>
              <c:numCache>
                <c:formatCode>0.00</c:formatCode>
                <c:ptCount val="2"/>
              </c:numCache>
            </c:numRef>
          </c:xVal>
          <c:yVal>
            <c:numRef>
              <c:f>'CCC-car.4'!$Z$40:$Z$41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2A-4A0E-A337-32C725F8CFEE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2A-4A0E-A337-32C725F8CFEE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2A-4A0E-A337-32C725F8CFEE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2A-4A0E-A337-32C725F8CFEE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2A-4A0E-A337-32C725F8CFEE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2A-4A0E-A337-32C725F8CFEE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34.4</c:v>
                </c:pt>
                <c:pt idx="1">
                  <c:v>34.4</c:v>
                </c:pt>
                <c:pt idx="2">
                  <c:v>34.4</c:v>
                </c:pt>
                <c:pt idx="3">
                  <c:v>34.4</c:v>
                </c:pt>
                <c:pt idx="4">
                  <c:v>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2A-4A0E-A337-32C725F8CFEE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2A-4A0E-A337-32C725F8CFEE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'CCC-car.4'!$Y$37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2A-4A0E-A337-32C725F8CFEE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'CCC-car.4'!$AB$37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'CCC-car.4'!$AC$37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2A-4A0E-A337-32C725F8CFEE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'CCC-car.4'!$V$41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'CCC-car.4'!$W$41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2A-4A0E-A337-32C725F8CFEE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'CCC-car.4'!$Y$41</c:f>
              <c:numCache>
                <c:formatCode>0.00</c:formatCode>
                <c:ptCount val="1"/>
              </c:numCache>
            </c:numRef>
          </c:xVal>
          <c:yVal>
            <c:numRef>
              <c:f>'CCC-car.4'!$Z$41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2A-4A0E-A337-32C725F8C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33328"/>
        <c:axId val="352333888"/>
      </c:scatterChart>
      <c:valAx>
        <c:axId val="35233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33888"/>
        <c:crosses val="autoZero"/>
        <c:crossBetween val="midCat"/>
        <c:majorUnit val="1"/>
      </c:valAx>
      <c:valAx>
        <c:axId val="35233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3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8F-4515-8A31-B3C474D9067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8F-4515-8A31-B3C474D9067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8F-4515-8A31-B3C474D9067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8F-4515-8A31-B3C474D9067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38F-4515-8A31-B3C474D9067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C38F-4515-8A31-B3C474D9067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38F-4515-8A31-B3C474D9067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38F-4515-8A31-B3C474D9067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38F-4515-8A31-B3C474D9067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38F-4515-8A31-B3C474D9067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38F-4515-8A31-B3C474D906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41728"/>
        <c:axId val="352342288"/>
      </c:scatterChart>
      <c:valAx>
        <c:axId val="35234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42288"/>
        <c:crosses val="autoZero"/>
        <c:crossBetween val="midCat"/>
        <c:majorUnit val="1"/>
      </c:valAx>
      <c:valAx>
        <c:axId val="35234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4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64-424D-BD21-3EFF94A2D6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64-424D-BD21-3EFF94A2D6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64-424D-BD21-3EFF94A2D6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64-424D-BD21-3EFF94A2D6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64-424D-BD21-3EFF94A2D6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64-424D-BD21-3EFF94A2D6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64-424D-BD21-3EFF94A2D6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64-424D-BD21-3EFF94A2D62B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64-424D-BD21-3EFF94A2D62B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64-424D-BD21-3EFF94A2D6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4.75</c:v>
                </c:pt>
                <c:pt idx="15">
                  <c:v>5.5</c:v>
                </c:pt>
                <c:pt idx="16">
                  <c:v>6.25</c:v>
                </c:pt>
                <c:pt idx="17">
                  <c:v>7</c:v>
                </c:pt>
                <c:pt idx="18">
                  <c:v>7.75</c:v>
                </c:pt>
                <c:pt idx="19">
                  <c:v>8.5</c:v>
                </c:pt>
                <c:pt idx="20">
                  <c:v>9.25</c:v>
                </c:pt>
                <c:pt idx="21">
                  <c:v>10</c:v>
                </c:pt>
                <c:pt idx="22">
                  <c:v>10</c:v>
                </c:pt>
                <c:pt idx="23">
                  <c:v>10.5</c:v>
                </c:pt>
                <c:pt idx="24">
                  <c:v>11</c:v>
                </c:pt>
                <c:pt idx="25">
                  <c:v>11.5</c:v>
                </c:pt>
                <c:pt idx="26">
                  <c:v>12</c:v>
                </c:pt>
                <c:pt idx="27">
                  <c:v>12.5</c:v>
                </c:pt>
                <c:pt idx="28">
                  <c:v>13</c:v>
                </c:pt>
                <c:pt idx="29">
                  <c:v>13.5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</c:numCache>
            </c:numRef>
          </c:xVal>
          <c:yVal>
            <c:numRef>
              <c:f>'CCC-car.5'!$AF$47:$AF$86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64-424D-BD21-3EFF94A2D62B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64-424D-BD21-3EFF94A2D62B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64-424D-BD21-3EFF94A2D62B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'CCC-car.5'!$AD$59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64-424D-BD21-3EFF94A2D62B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'CCC-car.5'!$AD$60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64-424D-BD21-3EFF94A2D62B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'CCC-car.5'!$AD$68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64-424D-BD21-3EFF94A2D62B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'CCC-car.5'!$AD$69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64-424D-BD21-3EFF94A2D62B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'CCC-car.5'!$AD$77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'CCC-car.5'!$AF$77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64-424D-BD21-3EFF94A2D62B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64-424D-BD21-3EFF94A2D62B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'CCC-car.5'!$AD$86</c:f>
              <c:numCache>
                <c:formatCode>0.00</c:formatCode>
                <c:ptCount val="1"/>
              </c:numCache>
            </c:numRef>
          </c:xVal>
          <c:yVal>
            <c:numRef>
              <c:f>'CCC-car.5'!$AF$86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64-424D-BD21-3EFF94A2D62B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'CCC-car.5'!$AD$78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64-424D-BD21-3EFF94A2D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50688"/>
        <c:axId val="352351248"/>
      </c:scatterChart>
      <c:valAx>
        <c:axId val="35235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51248"/>
        <c:crosses val="autoZero"/>
        <c:crossBetween val="midCat"/>
        <c:majorUnit val="1"/>
      </c:valAx>
      <c:valAx>
        <c:axId val="35235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5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10</c:v>
                </c:pt>
                <c:pt idx="4">
                  <c:v>14</c:v>
                </c:pt>
                <c:pt idx="5">
                  <c:v>14</c:v>
                </c:pt>
              </c:numCache>
            </c:numRef>
          </c:xVal>
          <c:yVal>
            <c:numRef>
              <c:f>'CCC-car.5'!$AL$54:$AL$60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9-4E87-8778-637291D098A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69-4E87-8778-637291D098A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69-4E87-8778-637291D098A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69-4E87-8778-637291D098A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69-4E87-8778-637291D098A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'CCC-car.5'!$Y$40:$Y$41</c:f>
              <c:numCache>
                <c:formatCode>0.00</c:formatCode>
                <c:ptCount val="2"/>
              </c:numCache>
            </c:numRef>
          </c:xVal>
          <c:yVal>
            <c:numRef>
              <c:f>'CCC-car.5'!$Z$40:$Z$41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569-4E87-8778-637291D098A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569-4E87-8778-637291D098A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569-4E87-8778-637291D098A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569-4E87-8778-637291D098A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569-4E87-8778-637291D098A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569-4E87-8778-637291D098A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39.4</c:v>
                </c:pt>
                <c:pt idx="1">
                  <c:v>39.4</c:v>
                </c:pt>
                <c:pt idx="2">
                  <c:v>39.4</c:v>
                </c:pt>
                <c:pt idx="3">
                  <c:v>39.4</c:v>
                </c:pt>
                <c:pt idx="4">
                  <c:v>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569-4E87-8778-637291D098A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569-4E87-8778-637291D098A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'CCC-car.5'!$Y$37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569-4E87-8778-637291D098A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'CCC-car.5'!$AB$37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'CCC-car.5'!$AC$37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569-4E87-8778-637291D098A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'CCC-car.5'!$V$41</c:f>
              <c:numCache>
                <c:formatCode>0.00</c:formatCode>
                <c:ptCount val="1"/>
                <c:pt idx="0">
                  <c:v>14</c:v>
                </c:pt>
              </c:numCache>
            </c:numRef>
          </c:xVal>
          <c:yVal>
            <c:numRef>
              <c:f>'CCC-car.5'!$W$41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569-4E87-8778-637291D098A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'CCC-car.5'!$Y$41</c:f>
              <c:numCache>
                <c:formatCode>0.00</c:formatCode>
                <c:ptCount val="1"/>
              </c:numCache>
            </c:numRef>
          </c:xVal>
          <c:yVal>
            <c:numRef>
              <c:f>'CCC-car.5'!$Z$41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569-4E87-8778-637291D0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63008"/>
        <c:axId val="352363568"/>
      </c:scatterChart>
      <c:valAx>
        <c:axId val="352363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63568"/>
        <c:crosses val="autoZero"/>
        <c:crossBetween val="midCat"/>
        <c:majorUnit val="1"/>
      </c:valAx>
      <c:valAx>
        <c:axId val="352363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63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6-424A-B7A4-962A7E66F40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F6-424A-B7A4-962A7E66F40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F6-424A-B7A4-962A7E66F40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F6-424A-B7A4-962A7E66F40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'CC-car.1'!$AK$23:$AK$24</c:f>
              <c:numCache>
                <c:formatCode>0.00</c:formatCode>
                <c:ptCount val="2"/>
              </c:numCache>
            </c:numRef>
          </c:xVal>
          <c:yVal>
            <c:numRef>
              <c:f>'CC-car.1'!$AL$23:$AL$24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F6-424A-B7A4-962A7E66F40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2F6-424A-B7A4-962A7E66F40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F6-424A-B7A4-962A7E66F40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F6-424A-B7A4-962A7E66F40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F6-424A-B7A4-962A7E66F40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'CC-car.1'!$AK$44:$AK$45</c:f>
              <c:numCache>
                <c:formatCode>0.00</c:formatCode>
                <c:ptCount val="2"/>
              </c:numCache>
            </c:numRef>
          </c:xVal>
          <c:yVal>
            <c:numRef>
              <c:f>'CC-car.1'!$AL$44:$AL$45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F6-424A-B7A4-962A7E66F40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2F6-424A-B7A4-962A7E66F4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3341344"/>
        <c:axId val="353341904"/>
      </c:scatterChart>
      <c:valAx>
        <c:axId val="3533413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3341904"/>
        <c:crosses val="autoZero"/>
        <c:crossBetween val="midCat"/>
        <c:majorUnit val="1"/>
      </c:valAx>
      <c:valAx>
        <c:axId val="3533419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4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20-4FD5-94FD-2C4267B3E6D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20-4FD5-94FD-2C4267B3E6D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20-4FD5-94FD-2C4267B3E6D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20-4FD5-94FD-2C4267B3E6D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20-4FD5-94FD-2C4267B3E6D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20-4FD5-94FD-2C4267B3E6D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20-4FD5-94FD-2C4267B3E6D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20-4FD5-94FD-2C4267B3E6D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20-4FD5-94FD-2C4267B3E6D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20-4FD5-94FD-2C4267B3E6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20-4FD5-94FD-2C4267B3E6D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20-4FD5-94FD-2C4267B3E6D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'CC-car.1'!$AF$51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220-4FD5-94FD-2C4267B3E6D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'CC-car.1'!$AD$59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'CC-car.1'!$AF$59</c:f>
              <c:numCache>
                <c:formatCode>0.00</c:formatCode>
                <c:ptCount val="1"/>
                <c:pt idx="0">
                  <c:v>-18.841999999999999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220-4FD5-94FD-2C4267B3E6D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'CC-car.1'!$AD$60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'CC-car.1'!$AF$60</c:f>
              <c:numCache>
                <c:formatCode>0.00</c:formatCode>
                <c:ptCount val="1"/>
                <c:pt idx="0">
                  <c:v>25.495000000000001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220-4FD5-94FD-2C4267B3E6D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'CC-car.1'!$AD$68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'CC-car.1'!$AF$68</c:f>
              <c:numCache>
                <c:formatCode>0.00</c:formatCode>
                <c:ptCount val="1"/>
                <c:pt idx="0">
                  <c:v>-17.705000000000002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220-4FD5-94FD-2C4267B3E6D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220-4FD5-94FD-2C4267B3E6D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'CC-car.1'!$AD$77</c:f>
              <c:numCache>
                <c:formatCode>0.00</c:formatCode>
                <c:ptCount val="1"/>
              </c:numCache>
            </c:numRef>
          </c:xVal>
          <c:yVal>
            <c:numRef>
              <c:f>'CC-car.1'!$AF$77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220-4FD5-94FD-2C4267B3E6D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220-4FD5-94FD-2C4267B3E6D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'CC-car.1'!$AD$86</c:f>
              <c:numCache>
                <c:formatCode>0.00</c:formatCode>
                <c:ptCount val="1"/>
              </c:numCache>
            </c:numRef>
          </c:xVal>
          <c:yVal>
            <c:numRef>
              <c:f>'CC-car.1'!$AF$86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220-4FD5-94FD-2C4267B3E6D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'CC-car.1'!$AD$69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220-4FD5-94FD-2C4267B3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0304"/>
        <c:axId val="353350864"/>
      </c:scatterChart>
      <c:valAx>
        <c:axId val="3533503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3350864"/>
        <c:crosses val="autoZero"/>
        <c:crossBetween val="midCat"/>
        <c:majorUnit val="1"/>
      </c:valAx>
      <c:valAx>
        <c:axId val="3533508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2-4B2D-9BE3-4DC35145C1E2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2-4B2D-9BE3-4DC35145C1E2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D2-4B2D-9BE3-4DC35145C1E2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D2-4B2D-9BE3-4DC35145C1E2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2-4B2D-9BE3-4DC35145C1E2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D2-4B2D-9BE3-4DC35145C1E2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D2-4B2D-9BE3-4DC35145C1E2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D2-4B2D-9BE3-4DC35145C1E2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'CC-car.1'!$W$37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D2-4B2D-9BE3-4DC35145C1E2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'CC-car.1'!$Y$37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'CC-car.1'!$Z$37</c:f>
              <c:numCache>
                <c:formatCode>0.00</c:formatCode>
                <c:ptCount val="1"/>
                <c:pt idx="0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D2-4B2D-9BE3-4DC35145C1E2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'CC-car.1'!$AB$37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'CC-car.1'!$AC$37</c:f>
              <c:numCache>
                <c:formatCode>0.00</c:formatCode>
                <c:ptCount val="1"/>
                <c:pt idx="0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D2-4B2D-9BE3-4DC35145C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9264"/>
        <c:axId val="353359824"/>
      </c:scatterChart>
      <c:valAx>
        <c:axId val="3533592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3359824"/>
        <c:crosses val="autoZero"/>
        <c:crossBetween val="midCat"/>
        <c:majorUnit val="1"/>
      </c:valAx>
      <c:valAx>
        <c:axId val="353359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9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74E-2"/>
          <c:y val="9.9061975819114148E-2"/>
          <c:w val="0.948479879503909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9-4630-A762-05EF11E312C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9-4630-A762-05EF11E312C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C09-4630-A762-05EF11E312C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C09-4630-A762-05EF11E312C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'CC-car.2'!$AK$23:$AK$24</c:f>
              <c:numCache>
                <c:formatCode>0.00</c:formatCode>
                <c:ptCount val="2"/>
              </c:numCache>
            </c:numRef>
          </c:xVal>
          <c:yVal>
            <c:numRef>
              <c:f>'CC-car.2'!$AL$23:$AL$24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C09-4630-A762-05EF11E312C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C09-4630-A762-05EF11E312C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C09-4630-A762-05EF11E312C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C09-4630-A762-05EF11E312C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C09-4630-A762-05EF11E312C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'CC-car.2'!$AK$44:$AK$45</c:f>
              <c:numCache>
                <c:formatCode>0.00</c:formatCode>
                <c:ptCount val="2"/>
              </c:numCache>
            </c:numRef>
          </c:xVal>
          <c:yVal>
            <c:numRef>
              <c:f>'CC-car.2'!$AL$44:$AL$45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C09-4630-A762-05EF11E312C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C09-4630-A762-05EF11E312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44960"/>
        <c:axId val="354845520"/>
      </c:scatterChart>
      <c:valAx>
        <c:axId val="3548449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45520"/>
        <c:crosses val="autoZero"/>
        <c:crossBetween val="midCat"/>
        <c:majorUnit val="1"/>
      </c:valAx>
      <c:valAx>
        <c:axId val="3548455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44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2"/>
          <c:w val="0.94796977526453763"/>
          <c:h val="0.77738578636805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54-436D-8307-33F9720E650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54-436D-8307-33F9720E650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54-436D-8307-33F9720E650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54-436D-8307-33F9720E650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54-436D-8307-33F9720E650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54-436D-8307-33F9720E650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54-436D-8307-33F9720E650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54-436D-8307-33F9720E650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54-436D-8307-33F9720E650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54-436D-8307-33F9720E6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F54-436D-8307-33F9720E650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54-436D-8307-33F9720E650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'CC-car.2'!$AF$51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F54-436D-8307-33F9720E650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'CC-car.2'!$AD$59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'CC-car.2'!$AF$59</c:f>
              <c:numCache>
                <c:formatCode>0.00</c:formatCode>
                <c:ptCount val="1"/>
                <c:pt idx="0">
                  <c:v>-31.526266666666665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54-436D-8307-33F9720E650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'CC-car.2'!$AD$60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'CC-car.2'!$AF$60</c:f>
              <c:numCache>
                <c:formatCode>0.00</c:formatCode>
                <c:ptCount val="1"/>
                <c:pt idx="0">
                  <c:v>16.024333333333331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54-436D-8307-33F9720E650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'CC-car.2'!$AD$68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'CC-car.2'!$AF$68</c:f>
              <c:numCache>
                <c:formatCode>0.00</c:formatCode>
                <c:ptCount val="1"/>
                <c:pt idx="0">
                  <c:v>-7.9756666666666689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54-436D-8307-33F9720E650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F54-436D-8307-33F9720E650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'CC-car.2'!$AD$77</c:f>
              <c:numCache>
                <c:formatCode>0.00</c:formatCode>
                <c:ptCount val="1"/>
              </c:numCache>
            </c:numRef>
          </c:xVal>
          <c:yVal>
            <c:numRef>
              <c:f>'CC-car.2'!$AF$77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F54-436D-8307-33F9720E650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F54-436D-8307-33F9720E650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'CC-car.2'!$AD$86</c:f>
              <c:numCache>
                <c:formatCode>0.00</c:formatCode>
                <c:ptCount val="1"/>
              </c:numCache>
            </c:numRef>
          </c:xVal>
          <c:yVal>
            <c:numRef>
              <c:f>'CC-car.2'!$AF$86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F54-436D-8307-33F9720E650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'CC-car.2'!$AD$69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F54-436D-8307-33F9720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53920"/>
        <c:axId val="354854480"/>
      </c:scatterChart>
      <c:valAx>
        <c:axId val="35485392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54480"/>
        <c:crosses val="autoZero"/>
        <c:crossBetween val="midCat"/>
        <c:majorUnit val="1"/>
      </c:valAx>
      <c:valAx>
        <c:axId val="3548544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53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5-4F55-972F-7264B3B2243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5-4F55-972F-7264B3B2243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D5-4F55-972F-7264B3B2243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D5-4F55-972F-7264B3B2243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D5-4F55-972F-7264B3B2243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D5-4F55-972F-7264B3B2243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D5-4F55-972F-7264B3B2243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D5-4F55-972F-7264B3B2243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'CC-car.2'!$W$37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D5-4F55-972F-7264B3B2243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'CC-car.2'!$Y$37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'CC-car.2'!$Z$37</c:f>
              <c:numCache>
                <c:formatCode>0.00</c:formatCode>
                <c:ptCount val="1"/>
                <c:pt idx="0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ED5-4F55-972F-7264B3B2243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'CC-car.2'!$AB$37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'CC-car.2'!$AC$37</c:f>
              <c:numCache>
                <c:formatCode>0.00</c:formatCode>
                <c:ptCount val="1"/>
                <c:pt idx="0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ED5-4F55-972F-7264B3B22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62880"/>
        <c:axId val="354863440"/>
      </c:scatterChart>
      <c:valAx>
        <c:axId val="3548628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63440"/>
        <c:crosses val="autoZero"/>
        <c:crossBetween val="midCat"/>
        <c:majorUnit val="1"/>
      </c:valAx>
      <c:valAx>
        <c:axId val="354863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62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2E-2"/>
          <c:y val="9.9061975819114148E-2"/>
          <c:w val="0.948479879503909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BE-42AA-95B1-D758560258CE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BE-42AA-95B1-D758560258CE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BE-42AA-95B1-D758560258CE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BE-42AA-95B1-D758560258CE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'CC-car.3'!$AK$23:$AK$24</c:f>
              <c:numCache>
                <c:formatCode>0.00</c:formatCode>
                <c:ptCount val="2"/>
              </c:numCache>
            </c:numRef>
          </c:xVal>
          <c:yVal>
            <c:numRef>
              <c:f>'CC-car.3'!$AL$23:$AL$24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BE-42AA-95B1-D758560258CE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7BE-42AA-95B1-D758560258C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BE-42AA-95B1-D758560258CE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7BE-42AA-95B1-D758560258CE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7BE-42AA-95B1-D758560258CE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'CC-car.3'!$AK$44:$AK$45</c:f>
              <c:numCache>
                <c:formatCode>0.00</c:formatCode>
                <c:ptCount val="2"/>
              </c:numCache>
            </c:numRef>
          </c:xVal>
          <c:yVal>
            <c:numRef>
              <c:f>'CC-car.3'!$AL$44:$AL$45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7BE-42AA-95B1-D758560258CE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7BE-42AA-95B1-D758560258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71280"/>
        <c:axId val="354871840"/>
      </c:scatterChart>
      <c:valAx>
        <c:axId val="35487128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71840"/>
        <c:crosses val="autoZero"/>
        <c:crossBetween val="midCat"/>
        <c:majorUnit val="1"/>
      </c:valAx>
      <c:valAx>
        <c:axId val="35487184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71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3"/>
          <c:w val="0.94796977526453763"/>
          <c:h val="0.777385786368052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C8-4EE5-A757-B65B88FC445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C8-4EE5-A757-B65B88FC445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C8-4EE5-A757-B65B88FC445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C8-4EE5-A757-B65B88FC445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C8-4EE5-A757-B65B88FC445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C8-4EE5-A757-B65B88FC445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C8-4EE5-A757-B65B88FC445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C8-4EE5-A757-B65B88FC445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8-4EE5-A757-B65B88FC445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C8-4EE5-A757-B65B88FC4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AC8-4EE5-A757-B65B88FC445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AC8-4EE5-A757-B65B88FC445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'CC-car.3'!$AF$51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AC8-4EE5-A757-B65B88FC445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'CC-car.3'!$AD$59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'CC-car.3'!$AF$59</c:f>
              <c:numCache>
                <c:formatCode>0.00</c:formatCode>
                <c:ptCount val="1"/>
                <c:pt idx="0">
                  <c:v>-32.508666666666663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AC8-4EE5-A757-B65B88FC445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'CC-car.3'!$AD$60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'CC-car.3'!$AF$60</c:f>
              <c:numCache>
                <c:formatCode>0.00</c:formatCode>
                <c:ptCount val="1"/>
                <c:pt idx="0">
                  <c:v>27.578333333333333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C8-4EE5-A757-B65B88FC445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'CC-car.3'!$AD$68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'CC-car.3'!$AF$68</c:f>
              <c:numCache>
                <c:formatCode>0.00</c:formatCode>
                <c:ptCount val="1"/>
                <c:pt idx="0">
                  <c:v>-15.62166666666667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AC8-4EE5-A757-B65B88FC445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AC8-4EE5-A757-B65B88FC445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'CC-car.3'!$AD$77</c:f>
              <c:numCache>
                <c:formatCode>0.00</c:formatCode>
                <c:ptCount val="1"/>
              </c:numCache>
            </c:numRef>
          </c:xVal>
          <c:yVal>
            <c:numRef>
              <c:f>'CC-car.3'!$AF$77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AC8-4EE5-A757-B65B88FC445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AC8-4EE5-A757-B65B88FC445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'CC-car.3'!$AD$86</c:f>
              <c:numCache>
                <c:formatCode>0.00</c:formatCode>
                <c:ptCount val="1"/>
              </c:numCache>
            </c:numRef>
          </c:xVal>
          <c:yVal>
            <c:numRef>
              <c:f>'CC-car.3'!$AF$86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AC8-4EE5-A757-B65B88FC445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'CC-car.3'!$AD$69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AC8-4EE5-A757-B65B88FC4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0240"/>
        <c:axId val="354880800"/>
      </c:scatterChart>
      <c:valAx>
        <c:axId val="3548802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80800"/>
        <c:crosses val="autoZero"/>
        <c:crossBetween val="midCat"/>
        <c:majorUnit val="1"/>
      </c:valAx>
      <c:valAx>
        <c:axId val="3548808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3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02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2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FC8-9774-0D1FCE17435A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D-4FC8-9774-0D1FCE17435A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CD-4FC8-9774-0D1FCE17435A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CD-4FC8-9774-0D1FCE17435A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CD-4FC8-9774-0D1FCE17435A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CD-4FC8-9774-0D1FCE17435A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CD-4FC8-9774-0D1FCE17435A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CD-4FC8-9774-0D1FCE17435A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'CC-car.3'!$W$37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CD-4FC8-9774-0D1FCE17435A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'CC-car.3'!$Y$37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'CC-car.3'!$Z$37</c:f>
              <c:numCache>
                <c:formatCode>0.00</c:formatCode>
                <c:ptCount val="1"/>
                <c:pt idx="0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CD-4FC8-9774-0D1FCE17435A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'CC-car.3'!$AB$37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'CC-car.3'!$AC$37</c:f>
              <c:numCache>
                <c:formatCode>0.00</c:formatCode>
                <c:ptCount val="1"/>
                <c:pt idx="0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CD-4FC8-9774-0D1FCE17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9200"/>
        <c:axId val="354889760"/>
      </c:scatterChart>
      <c:valAx>
        <c:axId val="35488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89760"/>
        <c:crosses val="autoZero"/>
        <c:crossBetween val="midCat"/>
        <c:majorUnit val="1"/>
      </c:valAx>
      <c:valAx>
        <c:axId val="354889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9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19E-2"/>
          <c:y val="9.9061975819114148E-2"/>
          <c:w val="0.9484798795039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B-4B29-A65F-1BAEBACE154F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B-4B29-A65F-1BAEBACE154F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2B-4B29-A65F-1BAEBACE154F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2B-4B29-A65F-1BAEBACE154F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'CC-car.4'!$AK$23:$AK$24</c:f>
              <c:numCache>
                <c:formatCode>0.00</c:formatCode>
                <c:ptCount val="2"/>
              </c:numCache>
            </c:numRef>
          </c:xVal>
          <c:yVal>
            <c:numRef>
              <c:f>'CC-car.4'!$AL$23:$AL$24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2B-4B29-A65F-1BAEBACE154F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82B-4B29-A65F-1BAEBACE154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82B-4B29-A65F-1BAEBACE154F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82B-4B29-A65F-1BAEBACE154F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82B-4B29-A65F-1BAEBACE154F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'CC-car.4'!$AK$44:$AK$45</c:f>
              <c:numCache>
                <c:formatCode>0.00</c:formatCode>
                <c:ptCount val="2"/>
              </c:numCache>
            </c:numRef>
          </c:xVal>
          <c:yVal>
            <c:numRef>
              <c:f>'CC-car.4'!$AL$44:$AL$45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82B-4B29-A65F-1BAEBACE154F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82B-4B29-A65F-1BAEBACE15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97600"/>
        <c:axId val="354898160"/>
      </c:scatterChart>
      <c:valAx>
        <c:axId val="3548976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98160"/>
        <c:crosses val="autoZero"/>
        <c:crossBetween val="midCat"/>
        <c:majorUnit val="1"/>
      </c:valAx>
      <c:valAx>
        <c:axId val="3548981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97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8"/>
          <c:w val="0.94796977526453763"/>
          <c:h val="0.77738578636805244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80-4931-9711-1B9842BBE084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80-4931-9711-1B9842BBE084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80-4931-9711-1B9842BBE084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80-4931-9711-1B9842BBE084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80-4931-9711-1B9842BBE084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80-4931-9711-1B9842BBE084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80-4931-9711-1B9842BBE084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80-4931-9711-1B9842BBE084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80-4931-9711-1B9842BBE084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80-4931-9711-1B9842BBE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C80-4931-9711-1B9842BBE084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C80-4931-9711-1B9842BBE084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'CC-car.4'!$AF$51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C80-4931-9711-1B9842BBE084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'CC-car.4'!$AD$59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'CC-car.4'!$AF$59</c:f>
              <c:numCache>
                <c:formatCode>0.00</c:formatCode>
                <c:ptCount val="1"/>
                <c:pt idx="0">
                  <c:v>-18.712933333333332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C80-4931-9711-1B9842BBE084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'CC-car.4'!$AD$60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'CC-car.4'!$AF$60</c:f>
              <c:numCache>
                <c:formatCode>0.00</c:formatCode>
                <c:ptCount val="1"/>
                <c:pt idx="0">
                  <c:v>24.607666666666667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C80-4931-9711-1B9842BBE084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'CC-car.4'!$AD$68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'CC-car.4'!$AF$68</c:f>
              <c:numCache>
                <c:formatCode>0.00</c:formatCode>
                <c:ptCount val="1"/>
                <c:pt idx="0">
                  <c:v>-18.592333333333336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C80-4931-9711-1B9842BBE084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C80-4931-9711-1B9842BBE084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'CC-car.4'!$AD$77</c:f>
              <c:numCache>
                <c:formatCode>0.00</c:formatCode>
                <c:ptCount val="1"/>
              </c:numCache>
            </c:numRef>
          </c:xVal>
          <c:yVal>
            <c:numRef>
              <c:f>'CC-car.4'!$AF$77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C80-4931-9711-1B9842BBE084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C80-4931-9711-1B9842BBE084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'CC-car.4'!$AD$86</c:f>
              <c:numCache>
                <c:formatCode>0.00</c:formatCode>
                <c:ptCount val="1"/>
              </c:numCache>
            </c:numRef>
          </c:xVal>
          <c:yVal>
            <c:numRef>
              <c:f>'CC-car.4'!$AF$86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C80-4931-9711-1B9842BBE084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'CC-car.4'!$AD$69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C80-4931-9711-1B9842BBE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906560"/>
        <c:axId val="354907120"/>
      </c:scatterChart>
      <c:valAx>
        <c:axId val="35490656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907120"/>
        <c:crosses val="autoZero"/>
        <c:crossBetween val="midCat"/>
        <c:majorUnit val="1"/>
      </c:valAx>
      <c:valAx>
        <c:axId val="3549071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906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4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B-4202-B013-858F55F674E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2B-4202-B013-858F55F674E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2B-4202-B013-858F55F674E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2B-4202-B013-858F55F674E5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2B-4202-B013-858F55F674E5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2B-4202-B013-858F55F674E5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2B-4202-B013-858F55F674E5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2B-4202-B013-858F55F674E5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'CC-car.4'!$W$37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2B-4202-B013-858F55F674E5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'CC-car.4'!$Y$37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'CC-car.4'!$Z$37</c:f>
              <c:numCache>
                <c:formatCode>0.00</c:formatCode>
                <c:ptCount val="1"/>
                <c:pt idx="0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2B-4202-B013-858F55F674E5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'CC-car.4'!$AB$37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'CC-car.4'!$AC$37</c:f>
              <c:numCache>
                <c:formatCode>0.00</c:formatCode>
                <c:ptCount val="1"/>
                <c:pt idx="0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2B-4202-B013-858F55F6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12336"/>
        <c:axId val="356712896"/>
      </c:scatterChart>
      <c:valAx>
        <c:axId val="356712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12896"/>
        <c:crosses val="autoZero"/>
        <c:crossBetween val="midCat"/>
        <c:majorUnit val="1"/>
      </c:valAx>
      <c:valAx>
        <c:axId val="356712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12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37E-2"/>
          <c:y val="9.9061975819114148E-2"/>
          <c:w val="0.948479879503910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6-405B-8841-AC1B011969E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66-405B-8841-AC1B011969E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66-405B-8841-AC1B011969E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F66-405B-8841-AC1B011969E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'CC-car.5'!$AK$23:$AK$24</c:f>
              <c:numCache>
                <c:formatCode>0.00</c:formatCode>
                <c:ptCount val="2"/>
              </c:numCache>
            </c:numRef>
          </c:xVal>
          <c:yVal>
            <c:numRef>
              <c:f>'CC-car.5'!$AL$23:$AL$24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F66-405B-8841-AC1B011969E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F66-405B-8841-AC1B011969E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F66-405B-8841-AC1B011969E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F66-405B-8841-AC1B011969E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F66-405B-8841-AC1B011969E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'CC-car.5'!$AK$44:$AK$45</c:f>
              <c:numCache>
                <c:formatCode>0.00</c:formatCode>
                <c:ptCount val="2"/>
              </c:numCache>
            </c:numRef>
          </c:xVal>
          <c:yVal>
            <c:numRef>
              <c:f>'CC-car.5'!$AL$44:$AL$45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F66-405B-8841-AC1B011969E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66-405B-8841-AC1B011969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6720736"/>
        <c:axId val="356721296"/>
      </c:scatterChart>
      <c:valAx>
        <c:axId val="35672073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6721296"/>
        <c:crosses val="autoZero"/>
        <c:crossBetween val="midCat"/>
        <c:majorUnit val="1"/>
      </c:valAx>
      <c:valAx>
        <c:axId val="35672129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4"/>
          <c:w val="0.94796977526453763"/>
          <c:h val="0.777385786368052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61-4FD0-A8CC-75C536264C8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61-4FD0-A8CC-75C536264C8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61-4FD0-A8CC-75C536264C8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61-4FD0-A8CC-75C536264C8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61-4FD0-A8CC-75C536264C8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61-4FD0-A8CC-75C536264C8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61-4FD0-A8CC-75C536264C8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61-4FD0-A8CC-75C536264C8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61-4FD0-A8CC-75C536264C8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61-4FD0-A8CC-75C536264C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61-4FD0-A8CC-75C536264C8A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61-4FD0-A8CC-75C536264C8A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61-4FD0-A8CC-75C536264C8A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'CC-car.5'!$AD$59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561-4FD0-A8CC-75C536264C8A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'CC-car.5'!$AD$60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561-4FD0-A8CC-75C536264C8A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'CC-car.5'!$AD$68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561-4FD0-A8CC-75C536264C8A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561-4FD0-A8CC-75C536264C8A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'CC-car.5'!$AD$77</c:f>
              <c:numCache>
                <c:formatCode>0.00</c:formatCode>
                <c:ptCount val="1"/>
              </c:numCache>
            </c:numRef>
          </c:xVal>
          <c:yVal>
            <c:numRef>
              <c:f>'CC-car.5'!$AF$77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561-4FD0-A8CC-75C536264C8A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561-4FD0-A8CC-75C536264C8A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'CC-car.5'!$AD$86</c:f>
              <c:numCache>
                <c:formatCode>0.00</c:formatCode>
                <c:ptCount val="1"/>
              </c:numCache>
            </c:numRef>
          </c:xVal>
          <c:yVal>
            <c:numRef>
              <c:f>'CC-car.5'!$AF$86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561-4FD0-A8CC-75C536264C8A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'CC-car.5'!$AD$69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561-4FD0-A8CC-75C53626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9696"/>
        <c:axId val="356730256"/>
      </c:scatterChart>
      <c:valAx>
        <c:axId val="35672969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7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6730256"/>
        <c:crosses val="autoZero"/>
        <c:crossBetween val="midCat"/>
        <c:majorUnit val="1"/>
      </c:valAx>
      <c:valAx>
        <c:axId val="3567302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4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5-4872-9745-4C4775B6B0A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5-4872-9745-4C4775B6B0A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A5-4872-9745-4C4775B6B0A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A5-4872-9745-4C4775B6B0A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8A5-4872-9745-4C4775B6B0A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A5-4872-9745-4C4775B6B0A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A5-4872-9745-4C4775B6B0A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A5-4872-9745-4C4775B6B0A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8A5-4872-9745-4C4775B6B0A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'CC-car.5'!$Y$37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8A5-4872-9745-4C4775B6B0A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'CC-car.5'!$AB$37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8A5-4872-9745-4C4775B6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38656"/>
        <c:axId val="356739216"/>
      </c:scatterChart>
      <c:valAx>
        <c:axId val="3567386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39216"/>
        <c:crosses val="autoZero"/>
        <c:crossBetween val="midCat"/>
        <c:majorUnit val="1"/>
      </c:valAx>
      <c:valAx>
        <c:axId val="356739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38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132521</xdr:colOff>
      <xdr:row>4</xdr:row>
      <xdr:rowOff>104775</xdr:rowOff>
    </xdr:from>
    <xdr:to>
      <xdr:col>9</xdr:col>
      <xdr:colOff>212911</xdr:colOff>
      <xdr:row>10</xdr:row>
      <xdr:rowOff>11768</xdr:rowOff>
    </xdr:to>
    <xdr:graphicFrame macro="[0]!Macro7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134471</xdr:colOff>
      <xdr:row>11</xdr:row>
      <xdr:rowOff>52669</xdr:rowOff>
    </xdr:from>
    <xdr:to>
      <xdr:col>9</xdr:col>
      <xdr:colOff>212911</xdr:colOff>
      <xdr:row>16</xdr:row>
      <xdr:rowOff>142316</xdr:rowOff>
    </xdr:to>
    <xdr:graphicFrame macro="[0]!Macro9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123263</xdr:colOff>
      <xdr:row>17</xdr:row>
      <xdr:rowOff>183217</xdr:rowOff>
    </xdr:from>
    <xdr:to>
      <xdr:col>9</xdr:col>
      <xdr:colOff>212911</xdr:colOff>
      <xdr:row>23</xdr:row>
      <xdr:rowOff>48746</xdr:rowOff>
    </xdr:to>
    <xdr:graphicFrame macro="[0]!Macro11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24</xdr:row>
      <xdr:rowOff>89647</xdr:rowOff>
    </xdr:from>
    <xdr:to>
      <xdr:col>9</xdr:col>
      <xdr:colOff>224117</xdr:colOff>
      <xdr:row>29</xdr:row>
      <xdr:rowOff>171450</xdr:rowOff>
    </xdr:to>
    <xdr:graphicFrame macro="[0]!Macro13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56030</xdr:colOff>
      <xdr:row>0</xdr:row>
      <xdr:rowOff>67235</xdr:rowOff>
    </xdr:from>
    <xdr:to>
      <xdr:col>7</xdr:col>
      <xdr:colOff>280147</xdr:colOff>
      <xdr:row>3</xdr:row>
      <xdr:rowOff>11206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266265" y="67235"/>
          <a:ext cx="3249706" cy="515471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it-IT" sz="1200"/>
            <a:t>TRAVI CONTINUE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142388</xdr:rowOff>
    </xdr:from>
    <xdr:to>
      <xdr:col>19</xdr:col>
      <xdr:colOff>577615</xdr:colOff>
      <xdr:row>13</xdr:row>
      <xdr:rowOff>97885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6024</xdr:rowOff>
    </xdr:from>
    <xdr:to>
      <xdr:col>19</xdr:col>
      <xdr:colOff>588818</xdr:colOff>
      <xdr:row>19</xdr:row>
      <xdr:rowOff>106170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37649</xdr:rowOff>
    </xdr:from>
    <xdr:to>
      <xdr:col>19</xdr:col>
      <xdr:colOff>588818</xdr:colOff>
      <xdr:row>26</xdr:row>
      <xdr:rowOff>47879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132521</xdr:rowOff>
    </xdr:from>
    <xdr:to>
      <xdr:col>19</xdr:col>
      <xdr:colOff>555251</xdr:colOff>
      <xdr:row>32</xdr:row>
      <xdr:rowOff>106701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41413</xdr:rowOff>
    </xdr:from>
    <xdr:to>
      <xdr:col>19</xdr:col>
      <xdr:colOff>582706</xdr:colOff>
      <xdr:row>38</xdr:row>
      <xdr:rowOff>66215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39</xdr:row>
      <xdr:rowOff>15813</xdr:rowOff>
    </xdr:from>
    <xdr:to>
      <xdr:col>19</xdr:col>
      <xdr:colOff>571500</xdr:colOff>
      <xdr:row>44</xdr:row>
      <xdr:rowOff>83536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9525</xdr:rowOff>
        </xdr:from>
        <xdr:to>
          <xdr:col>7</xdr:col>
          <xdr:colOff>581025</xdr:colOff>
          <xdr:row>25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9525</xdr:rowOff>
        </xdr:from>
        <xdr:to>
          <xdr:col>7</xdr:col>
          <xdr:colOff>581025</xdr:colOff>
          <xdr:row>26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27</xdr:row>
          <xdr:rowOff>9525</xdr:rowOff>
        </xdr:from>
        <xdr:to>
          <xdr:col>7</xdr:col>
          <xdr:colOff>581025</xdr:colOff>
          <xdr:row>27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9525</xdr:rowOff>
        </xdr:from>
        <xdr:to>
          <xdr:col>7</xdr:col>
          <xdr:colOff>581025</xdr:colOff>
          <xdr:row>28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19050</xdr:rowOff>
        </xdr:from>
        <xdr:to>
          <xdr:col>7</xdr:col>
          <xdr:colOff>581025</xdr:colOff>
          <xdr:row>29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</xdr:rowOff>
        </xdr:from>
        <xdr:to>
          <xdr:col>8</xdr:col>
          <xdr:colOff>581025</xdr:colOff>
          <xdr:row>29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38100</xdr:rowOff>
        </xdr:from>
        <xdr:to>
          <xdr:col>9</xdr:col>
          <xdr:colOff>571500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9525</xdr:rowOff>
        </xdr:from>
        <xdr:to>
          <xdr:col>5</xdr:col>
          <xdr:colOff>0</xdr:colOff>
          <xdr:row>11</xdr:row>
          <xdr:rowOff>142875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590550</xdr:colOff>
          <xdr:row>12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6</xdr:col>
          <xdr:colOff>600075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9525</xdr:rowOff>
        </xdr:from>
        <xdr:to>
          <xdr:col>4</xdr:col>
          <xdr:colOff>590550</xdr:colOff>
          <xdr:row>19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8</xdr:col>
          <xdr:colOff>552450</xdr:colOff>
          <xdr:row>15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9525</xdr:rowOff>
        </xdr:from>
        <xdr:to>
          <xdr:col>8</xdr:col>
          <xdr:colOff>552450</xdr:colOff>
          <xdr:row>19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acciciao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13</xdr:row>
      <xdr:rowOff>23664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13</xdr:row>
      <xdr:rowOff>139620</xdr:rowOff>
    </xdr:from>
    <xdr:to>
      <xdr:col>19</xdr:col>
      <xdr:colOff>588818</xdr:colOff>
      <xdr:row>19</xdr:row>
      <xdr:rowOff>86378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19</xdr:row>
      <xdr:rowOff>137847</xdr:rowOff>
    </xdr:from>
    <xdr:to>
      <xdr:col>19</xdr:col>
      <xdr:colOff>588818</xdr:colOff>
      <xdr:row>25</xdr:row>
      <xdr:rowOff>148077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50879</xdr:rowOff>
    </xdr:from>
    <xdr:to>
      <xdr:col>19</xdr:col>
      <xdr:colOff>555251</xdr:colOff>
      <xdr:row>32</xdr:row>
      <xdr:rowOff>25059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95841</xdr:rowOff>
    </xdr:from>
    <xdr:to>
      <xdr:col>19</xdr:col>
      <xdr:colOff>582706</xdr:colOff>
      <xdr:row>37</xdr:row>
      <xdr:rowOff>155280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5916</xdr:rowOff>
    </xdr:from>
    <xdr:to>
      <xdr:col>19</xdr:col>
      <xdr:colOff>571500</xdr:colOff>
      <xdr:row>43</xdr:row>
      <xdr:rowOff>73641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8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8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19050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9525</xdr:rowOff>
        </xdr:from>
        <xdr:to>
          <xdr:col>4</xdr:col>
          <xdr:colOff>600075</xdr:colOff>
          <xdr:row>12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8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600075</xdr:colOff>
          <xdr:row>11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8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19</xdr:row>
          <xdr:rowOff>9525</xdr:rowOff>
        </xdr:from>
        <xdr:to>
          <xdr:col>4</xdr:col>
          <xdr:colOff>600075</xdr:colOff>
          <xdr:row>19</xdr:row>
          <xdr:rowOff>161925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8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19</xdr:row>
          <xdr:rowOff>28575</xdr:rowOff>
        </xdr:from>
        <xdr:to>
          <xdr:col>7</xdr:col>
          <xdr:colOff>590550</xdr:colOff>
          <xdr:row>19</xdr:row>
          <xdr:rowOff>161925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8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9525</xdr:rowOff>
        </xdr:from>
        <xdr:to>
          <xdr:col>9</xdr:col>
          <xdr:colOff>514350</xdr:colOff>
          <xdr:row>15</xdr:row>
          <xdr:rowOff>142875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8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38100</xdr:rowOff>
        </xdr:from>
        <xdr:to>
          <xdr:col>9</xdr:col>
          <xdr:colOff>514350</xdr:colOff>
          <xdr:row>18</xdr:row>
          <xdr:rowOff>133350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8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30</xdr:col>
      <xdr:colOff>215153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12</xdr:row>
      <xdr:rowOff>146129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30763</xdr:rowOff>
    </xdr:from>
    <xdr:to>
      <xdr:col>19</xdr:col>
      <xdr:colOff>588818</xdr:colOff>
      <xdr:row>19</xdr:row>
      <xdr:rowOff>99985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83418</xdr:rowOff>
    </xdr:from>
    <xdr:to>
      <xdr:col>19</xdr:col>
      <xdr:colOff>588818</xdr:colOff>
      <xdr:row>26</xdr:row>
      <xdr:rowOff>93649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146129</xdr:rowOff>
    </xdr:from>
    <xdr:to>
      <xdr:col>19</xdr:col>
      <xdr:colOff>555251</xdr:colOff>
      <xdr:row>32</xdr:row>
      <xdr:rowOff>120309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55020</xdr:rowOff>
    </xdr:from>
    <xdr:to>
      <xdr:col>19</xdr:col>
      <xdr:colOff>582706</xdr:colOff>
      <xdr:row>38</xdr:row>
      <xdr:rowOff>73637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141987</xdr:rowOff>
    </xdr:from>
    <xdr:to>
      <xdr:col>19</xdr:col>
      <xdr:colOff>571500</xdr:colOff>
      <xdr:row>44</xdr:row>
      <xdr:rowOff>60033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9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9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9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10</xdr:col>
          <xdr:colOff>0</xdr:colOff>
          <xdr:row>0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9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9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19050</xdr:rowOff>
        </xdr:from>
        <xdr:to>
          <xdr:col>4</xdr:col>
          <xdr:colOff>0</xdr:colOff>
          <xdr:row>11</xdr:row>
          <xdr:rowOff>142875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9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19050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9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8</xdr:col>
          <xdr:colOff>0</xdr:colOff>
          <xdr:row>19</xdr:row>
          <xdr:rowOff>161925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9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0</xdr:rowOff>
        </xdr:from>
        <xdr:to>
          <xdr:col>9</xdr:col>
          <xdr:colOff>514350</xdr:colOff>
          <xdr:row>15</xdr:row>
          <xdr:rowOff>123825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9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16</xdr:row>
          <xdr:rowOff>28575</xdr:rowOff>
        </xdr:from>
        <xdr:to>
          <xdr:col>9</xdr:col>
          <xdr:colOff>514350</xdr:colOff>
          <xdr:row>19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9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96546</xdr:rowOff>
    </xdr:from>
    <xdr:to>
      <xdr:col>19</xdr:col>
      <xdr:colOff>577615</xdr:colOff>
      <xdr:row>13</xdr:row>
      <xdr:rowOff>110110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13155</xdr:rowOff>
    </xdr:from>
    <xdr:to>
      <xdr:col>19</xdr:col>
      <xdr:colOff>588818</xdr:colOff>
      <xdr:row>19</xdr:row>
      <xdr:rowOff>107189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976</xdr:rowOff>
    </xdr:from>
    <xdr:to>
      <xdr:col>19</xdr:col>
      <xdr:colOff>588818</xdr:colOff>
      <xdr:row>26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20463</xdr:rowOff>
    </xdr:from>
    <xdr:to>
      <xdr:col>19</xdr:col>
      <xdr:colOff>555251</xdr:colOff>
      <xdr:row>31</xdr:row>
      <xdr:rowOff>140320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30207</xdr:rowOff>
    </xdr:from>
    <xdr:to>
      <xdr:col>19</xdr:col>
      <xdr:colOff>582706</xdr:colOff>
      <xdr:row>37</xdr:row>
      <xdr:rowOff>89646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37</xdr:row>
      <xdr:rowOff>122777</xdr:rowOff>
    </xdr:from>
    <xdr:to>
      <xdr:col>19</xdr:col>
      <xdr:colOff>571500</xdr:colOff>
      <xdr:row>43</xdr:row>
      <xdr:rowOff>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A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A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A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9</xdr:col>
          <xdr:colOff>590550</xdr:colOff>
          <xdr:row>0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A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9525</xdr:rowOff>
        </xdr:from>
        <xdr:to>
          <xdr:col>2</xdr:col>
          <xdr:colOff>600075</xdr:colOff>
          <xdr:row>11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A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7</xdr:col>
          <xdr:colOff>600075</xdr:colOff>
          <xdr:row>11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19</xdr:row>
          <xdr:rowOff>19050</xdr:rowOff>
        </xdr:from>
        <xdr:to>
          <xdr:col>3</xdr:col>
          <xdr:colOff>0</xdr:colOff>
          <xdr:row>20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A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13</xdr:row>
          <xdr:rowOff>9525</xdr:rowOff>
        </xdr:from>
        <xdr:to>
          <xdr:col>9</xdr:col>
          <xdr:colOff>533400</xdr:colOff>
          <xdr:row>15</xdr:row>
          <xdr:rowOff>142875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A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16</xdr:row>
          <xdr:rowOff>9525</xdr:rowOff>
        </xdr:from>
        <xdr:to>
          <xdr:col>9</xdr:col>
          <xdr:colOff>523875</xdr:colOff>
          <xdr:row>18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A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0</xdr:row>
          <xdr:rowOff>9525</xdr:rowOff>
        </xdr:from>
        <xdr:to>
          <xdr:col>10</xdr:col>
          <xdr:colOff>495300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due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0</xdr:row>
          <xdr:rowOff>9525</xdr:rowOff>
        </xdr:from>
        <xdr:to>
          <xdr:col>12</xdr:col>
          <xdr:colOff>561975</xdr:colOff>
          <xdr:row>1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tre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9525</xdr:rowOff>
        </xdr:from>
        <xdr:to>
          <xdr:col>15</xdr:col>
          <xdr:colOff>19050</xdr:colOff>
          <xdr:row>1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D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quattro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0</xdr:row>
          <xdr:rowOff>9525</xdr:rowOff>
        </xdr:from>
        <xdr:to>
          <xdr:col>8</xdr:col>
          <xdr:colOff>428625</xdr:colOff>
          <xdr:row>1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19050</xdr:rowOff>
        </xdr:from>
        <xdr:to>
          <xdr:col>11</xdr:col>
          <xdr:colOff>476250</xdr:colOff>
          <xdr:row>2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0</xdr:row>
          <xdr:rowOff>19050</xdr:rowOff>
        </xdr:from>
        <xdr:to>
          <xdr:col>13</xdr:col>
          <xdr:colOff>390525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due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0</xdr:row>
          <xdr:rowOff>19050</xdr:rowOff>
        </xdr:from>
        <xdr:to>
          <xdr:col>15</xdr:col>
          <xdr:colOff>333375</xdr:colOff>
          <xdr:row>2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1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tre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0</xdr:row>
          <xdr:rowOff>19050</xdr:rowOff>
        </xdr:from>
        <xdr:to>
          <xdr:col>17</xdr:col>
          <xdr:colOff>285750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1E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quattro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6:I31"/>
  <sheetViews>
    <sheetView showGridLines="0" topLeftCell="A7" zoomScale="85" zoomScaleNormal="85" workbookViewId="0">
      <selection activeCell="O19" sqref="O19"/>
    </sheetView>
  </sheetViews>
  <sheetFormatPr defaultRowHeight="15" x14ac:dyDescent="0.25"/>
  <cols>
    <col min="10" max="10" width="6.42578125" customWidth="1"/>
  </cols>
  <sheetData>
    <row r="6" spans="1:9" x14ac:dyDescent="0.25">
      <c r="A6" s="36"/>
      <c r="B6" s="36"/>
      <c r="C6" s="36"/>
      <c r="D6" s="36"/>
      <c r="E6" s="36"/>
      <c r="F6" s="36"/>
      <c r="G6" s="36"/>
      <c r="H6" s="36"/>
      <c r="I6" s="36"/>
    </row>
    <row r="7" spans="1:9" x14ac:dyDescent="0.25">
      <c r="A7" s="36"/>
      <c r="B7" s="36"/>
      <c r="C7" s="36"/>
      <c r="D7" s="36"/>
      <c r="E7" s="36"/>
      <c r="F7" s="36"/>
      <c r="G7" s="36"/>
      <c r="H7" s="36"/>
      <c r="I7" s="36"/>
    </row>
    <row r="8" spans="1:9" x14ac:dyDescent="0.25">
      <c r="A8" s="36"/>
      <c r="B8" s="36"/>
      <c r="C8" s="36"/>
      <c r="D8" s="36"/>
      <c r="E8" s="36"/>
      <c r="F8" s="36"/>
      <c r="G8" s="36"/>
      <c r="H8" s="36"/>
      <c r="I8" s="36"/>
    </row>
    <row r="9" spans="1:9" x14ac:dyDescent="0.25">
      <c r="A9" s="36"/>
      <c r="B9" s="36"/>
      <c r="C9" s="36"/>
      <c r="D9" s="36"/>
      <c r="E9" s="36"/>
      <c r="F9" s="36"/>
      <c r="G9" s="36"/>
      <c r="H9" s="36"/>
      <c r="I9" s="36"/>
    </row>
    <row r="10" spans="1:9" x14ac:dyDescent="0.25">
      <c r="A10" s="36"/>
      <c r="B10" s="36"/>
      <c r="C10" s="36"/>
      <c r="D10" s="36"/>
      <c r="E10" s="36"/>
      <c r="F10" s="36"/>
      <c r="G10" s="36"/>
      <c r="H10" s="36"/>
      <c r="I10" s="36"/>
    </row>
    <row r="11" spans="1:9" x14ac:dyDescent="0.25">
      <c r="A11" s="36"/>
      <c r="B11" s="36"/>
      <c r="C11" s="36"/>
      <c r="D11" s="36"/>
      <c r="E11" s="36"/>
      <c r="F11" s="36"/>
      <c r="G11" s="36"/>
      <c r="H11" s="36"/>
      <c r="I11" s="36"/>
    </row>
    <row r="12" spans="1:9" x14ac:dyDescent="0.25">
      <c r="A12" s="36"/>
      <c r="B12" s="36"/>
      <c r="C12" s="36"/>
      <c r="D12" s="36"/>
      <c r="E12" s="36"/>
      <c r="F12" s="36"/>
      <c r="G12" s="36"/>
      <c r="H12" s="36"/>
      <c r="I12" s="36"/>
    </row>
    <row r="13" spans="1:9" x14ac:dyDescent="0.25">
      <c r="A13" s="36"/>
      <c r="B13" s="36"/>
      <c r="C13" s="36"/>
      <c r="D13" s="36"/>
      <c r="E13" s="36"/>
      <c r="F13" s="36"/>
      <c r="G13" s="36"/>
      <c r="H13" s="36"/>
      <c r="I13" s="36"/>
    </row>
    <row r="14" spans="1:9" x14ac:dyDescent="0.25">
      <c r="A14" s="36"/>
      <c r="B14" s="36"/>
      <c r="C14" s="36"/>
      <c r="D14" s="36"/>
      <c r="E14" s="36"/>
      <c r="F14" s="36"/>
      <c r="G14" s="36"/>
      <c r="H14" s="36"/>
      <c r="I14" s="36"/>
    </row>
    <row r="15" spans="1:9" x14ac:dyDescent="0.25">
      <c r="A15" s="36"/>
      <c r="B15" s="36"/>
      <c r="C15" s="36"/>
      <c r="D15" s="36"/>
      <c r="E15" s="36"/>
      <c r="F15" s="36"/>
      <c r="G15" s="36"/>
      <c r="H15" s="36"/>
      <c r="I15" s="36"/>
    </row>
    <row r="16" spans="1:9" x14ac:dyDescent="0.25">
      <c r="A16" s="36"/>
      <c r="B16" s="36"/>
      <c r="C16" s="36"/>
      <c r="D16" s="36"/>
      <c r="E16" s="36"/>
      <c r="F16" s="36"/>
      <c r="G16" s="36"/>
      <c r="H16" s="36"/>
      <c r="I16" s="36"/>
    </row>
    <row r="17" spans="1:9" x14ac:dyDescent="0.25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25">
      <c r="A18" s="36"/>
      <c r="B18" s="36"/>
      <c r="C18" s="36"/>
      <c r="D18" s="36"/>
      <c r="E18" s="36"/>
      <c r="F18" s="36"/>
      <c r="G18" s="36"/>
      <c r="H18" s="36"/>
      <c r="I18" s="36"/>
    </row>
    <row r="19" spans="1:9" x14ac:dyDescent="0.25">
      <c r="A19" s="36"/>
      <c r="B19" s="36"/>
      <c r="C19" s="36"/>
      <c r="D19" s="36"/>
      <c r="E19" s="36"/>
      <c r="F19" s="36"/>
      <c r="G19" s="36"/>
      <c r="H19" s="36"/>
      <c r="I19" s="36"/>
    </row>
    <row r="20" spans="1:9" x14ac:dyDescent="0.25">
      <c r="A20" s="36"/>
      <c r="B20" s="36"/>
      <c r="C20" s="36"/>
      <c r="D20" s="36"/>
      <c r="E20" s="36"/>
      <c r="F20" s="36"/>
      <c r="G20" s="36"/>
      <c r="H20" s="36"/>
      <c r="I20" s="36"/>
    </row>
    <row r="21" spans="1:9" x14ac:dyDescent="0.25">
      <c r="A21" s="36"/>
      <c r="B21" s="36"/>
      <c r="C21" s="36"/>
      <c r="D21" s="36"/>
      <c r="E21" s="36"/>
      <c r="F21" s="36"/>
      <c r="G21" s="36"/>
      <c r="H21" s="36"/>
      <c r="I21" s="36"/>
    </row>
    <row r="22" spans="1:9" x14ac:dyDescent="0.25">
      <c r="A22" s="36"/>
      <c r="B22" s="36"/>
      <c r="C22" s="36"/>
      <c r="D22" s="36"/>
      <c r="E22" s="36"/>
      <c r="F22" s="36"/>
      <c r="G22" s="36"/>
      <c r="H22" s="36"/>
      <c r="I22" s="36"/>
    </row>
    <row r="23" spans="1:9" x14ac:dyDescent="0.25">
      <c r="A23" s="36"/>
      <c r="B23" s="36"/>
      <c r="C23" s="36"/>
      <c r="D23" s="36"/>
      <c r="E23" s="36"/>
      <c r="F23" s="36"/>
      <c r="G23" s="36"/>
      <c r="H23" s="36"/>
      <c r="I23" s="36"/>
    </row>
    <row r="24" spans="1:9" x14ac:dyDescent="0.25">
      <c r="A24" s="36"/>
      <c r="B24" s="36"/>
      <c r="C24" s="36"/>
      <c r="D24" s="36"/>
      <c r="E24" s="36"/>
      <c r="F24" s="36"/>
      <c r="G24" s="36"/>
      <c r="H24" s="36"/>
      <c r="I24" s="36"/>
    </row>
    <row r="25" spans="1:9" x14ac:dyDescent="0.25">
      <c r="A25" s="36"/>
      <c r="B25" s="36"/>
      <c r="C25" s="36"/>
      <c r="D25" s="36"/>
      <c r="E25" s="36"/>
      <c r="F25" s="36"/>
      <c r="G25" s="36"/>
      <c r="H25" s="36"/>
      <c r="I25" s="36"/>
    </row>
    <row r="26" spans="1:9" x14ac:dyDescent="0.25">
      <c r="A26" s="36"/>
      <c r="B26" s="36"/>
      <c r="C26" s="36"/>
      <c r="D26" s="36"/>
      <c r="E26" s="36"/>
      <c r="F26" s="36"/>
      <c r="G26" s="36"/>
      <c r="H26" s="36"/>
      <c r="I26" s="36"/>
    </row>
    <row r="27" spans="1:9" x14ac:dyDescent="0.25">
      <c r="A27" s="36"/>
      <c r="B27" s="36"/>
      <c r="C27" s="36"/>
      <c r="D27" s="36"/>
      <c r="E27" s="36"/>
      <c r="F27" s="36"/>
      <c r="G27" s="36"/>
      <c r="H27" s="36"/>
      <c r="I27" s="36"/>
    </row>
    <row r="28" spans="1:9" x14ac:dyDescent="0.25">
      <c r="A28" s="36"/>
      <c r="B28" s="36"/>
      <c r="C28" s="36"/>
      <c r="D28" s="36"/>
      <c r="E28" s="36"/>
      <c r="F28" s="36"/>
      <c r="G28" s="36"/>
      <c r="H28" s="36"/>
      <c r="I28" s="36"/>
    </row>
    <row r="29" spans="1:9" x14ac:dyDescent="0.25">
      <c r="A29" s="36"/>
      <c r="B29" s="36"/>
      <c r="C29" s="36"/>
      <c r="D29" s="36"/>
      <c r="E29" s="36"/>
      <c r="F29" s="36"/>
      <c r="G29" s="36"/>
      <c r="H29" s="36"/>
      <c r="I29" s="36"/>
    </row>
    <row r="30" spans="1:9" x14ac:dyDescent="0.25">
      <c r="A30" s="36"/>
      <c r="B30" s="36"/>
      <c r="C30" s="36"/>
      <c r="D30" s="36"/>
      <c r="E30" s="36"/>
      <c r="F30" s="36"/>
      <c r="G30" s="36"/>
      <c r="H30" s="36"/>
      <c r="I30" s="36"/>
    </row>
    <row r="31" spans="1:9" x14ac:dyDescent="0.25">
      <c r="A31" s="36"/>
      <c r="B31" s="36"/>
      <c r="C31" s="36"/>
      <c r="D31" s="36"/>
      <c r="E31" s="36"/>
      <c r="F31" s="36"/>
      <c r="G31" s="36"/>
      <c r="H31" s="36"/>
      <c r="I31" s="36"/>
    </row>
  </sheetData>
  <sheetProtection sheet="1" objects="1" scenarios="1" selectLockedCells="1"/>
  <pageMargins left="0.59" right="0.57999999999999996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BD99"/>
  <sheetViews>
    <sheetView showGridLines="0" zoomScaleNormal="100" workbookViewId="0">
      <selection activeCell="L1" sqref="L1"/>
    </sheetView>
  </sheetViews>
  <sheetFormatPr defaultColWidth="9.140625" defaultRowHeight="12" x14ac:dyDescent="0.2"/>
  <cols>
    <col min="1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26" t="s">
        <v>123</v>
      </c>
      <c r="B1" s="326"/>
      <c r="C1" s="326"/>
      <c r="D1" s="326"/>
      <c r="E1" s="326"/>
      <c r="F1" s="326"/>
      <c r="G1" s="326"/>
      <c r="H1" s="326"/>
      <c r="I1" s="326"/>
      <c r="J1" s="326"/>
      <c r="U1" s="2"/>
      <c r="AF1" s="2" t="s">
        <v>58</v>
      </c>
      <c r="AK1" s="2" t="s">
        <v>62</v>
      </c>
    </row>
    <row r="2" spans="1:56" ht="14.25" customHeight="1" thickTop="1" x14ac:dyDescent="0.25">
      <c r="O2" s="12"/>
      <c r="AE2" s="38"/>
      <c r="AF2" s="9" t="s">
        <v>54</v>
      </c>
      <c r="AG2" s="39" t="s">
        <v>55</v>
      </c>
      <c r="AH2" s="39" t="s">
        <v>3</v>
      </c>
      <c r="AI2" s="39" t="s">
        <v>4</v>
      </c>
      <c r="AJ2" s="38"/>
      <c r="AK2" s="9" t="s">
        <v>54</v>
      </c>
      <c r="AL2" s="39" t="s">
        <v>55</v>
      </c>
      <c r="AM2" s="39" t="s">
        <v>3</v>
      </c>
      <c r="AN2" s="39" t="s">
        <v>4</v>
      </c>
    </row>
    <row r="3" spans="1:56" ht="13.5" customHeight="1" x14ac:dyDescent="0.2">
      <c r="M3" s="284"/>
      <c r="N3" s="2"/>
      <c r="O3" s="5"/>
      <c r="P3" s="5"/>
      <c r="Q3" s="5"/>
      <c r="AF3" s="40" t="s">
        <v>59</v>
      </c>
      <c r="AG3" s="40" t="s">
        <v>59</v>
      </c>
      <c r="AH3" s="40" t="s">
        <v>60</v>
      </c>
      <c r="AI3" s="40" t="s">
        <v>61</v>
      </c>
      <c r="AJ3" s="41"/>
      <c r="AK3" s="40" t="s">
        <v>59</v>
      </c>
      <c r="AL3" s="40" t="s">
        <v>59</v>
      </c>
      <c r="AM3" s="40" t="s">
        <v>60</v>
      </c>
      <c r="AN3" s="40" t="s">
        <v>61</v>
      </c>
    </row>
    <row r="4" spans="1:56" ht="12" customHeight="1" x14ac:dyDescent="0.2">
      <c r="D4" s="3"/>
      <c r="E4" s="286"/>
      <c r="F4" s="298" t="s">
        <v>465</v>
      </c>
      <c r="G4" s="286"/>
      <c r="AE4" s="331" t="s">
        <v>56</v>
      </c>
      <c r="AF4" s="203">
        <f>AG4</f>
        <v>0</v>
      </c>
      <c r="AG4" s="203">
        <f>'C-car.1'!U41</f>
        <v>0</v>
      </c>
      <c r="AH4" s="203">
        <f>'C-car.1'!V41</f>
        <v>0</v>
      </c>
      <c r="AI4" s="203">
        <f>'C-car.1'!W41</f>
        <v>0</v>
      </c>
      <c r="AJ4" s="331" t="s">
        <v>56</v>
      </c>
      <c r="AK4" s="203">
        <f>AF4</f>
        <v>0</v>
      </c>
      <c r="AL4" s="203">
        <f>'C-car.2'!U41</f>
        <v>0</v>
      </c>
      <c r="AM4" s="203">
        <f>'C-car.2'!V41</f>
        <v>0</v>
      </c>
      <c r="AN4" s="203">
        <f>'C-car.2'!W41</f>
        <v>0</v>
      </c>
    </row>
    <row r="5" spans="1:56" x14ac:dyDescent="0.2">
      <c r="G5" s="3"/>
      <c r="AE5" s="331"/>
      <c r="AF5" s="201">
        <f t="shared" ref="AF5:AF7" si="0">AG5</f>
        <v>0</v>
      </c>
      <c r="AG5" s="201">
        <f>'C-car.1'!U42</f>
        <v>0</v>
      </c>
      <c r="AH5" s="201">
        <f>'C-car.1'!V42</f>
        <v>0</v>
      </c>
      <c r="AI5" s="201">
        <f>'C-car.1'!W42</f>
        <v>0</v>
      </c>
      <c r="AJ5" s="331"/>
      <c r="AK5" s="201">
        <f t="shared" ref="AK5:AK20" si="1">AF5</f>
        <v>0</v>
      </c>
      <c r="AL5" s="201">
        <f>'C-car.2'!U42</f>
        <v>0</v>
      </c>
      <c r="AM5" s="201">
        <f>'C-car.2'!V42</f>
        <v>0</v>
      </c>
      <c r="AN5" s="201">
        <f>'C-car.2'!W42</f>
        <v>0</v>
      </c>
    </row>
    <row r="6" spans="1:56" x14ac:dyDescent="0.2">
      <c r="E6" s="332" t="s">
        <v>124</v>
      </c>
      <c r="F6" s="332"/>
      <c r="G6" s="332"/>
      <c r="AE6" s="331"/>
      <c r="AF6" s="201">
        <f t="shared" si="0"/>
        <v>0</v>
      </c>
      <c r="AG6" s="201">
        <f>'C-car.1'!U43</f>
        <v>0</v>
      </c>
      <c r="AH6" s="201">
        <f>'C-car.1'!V43</f>
        <v>0</v>
      </c>
      <c r="AI6" s="201">
        <f>'C-car.1'!W43</f>
        <v>0</v>
      </c>
      <c r="AJ6" s="331"/>
      <c r="AK6" s="201">
        <f t="shared" si="1"/>
        <v>0</v>
      </c>
      <c r="AL6" s="201">
        <f>'C-car.2'!U43</f>
        <v>0</v>
      </c>
      <c r="AM6" s="201">
        <f>'C-car.2'!V43</f>
        <v>0</v>
      </c>
      <c r="AN6" s="201">
        <f>'C-car.2'!W43</f>
        <v>0</v>
      </c>
    </row>
    <row r="7" spans="1:56" ht="12" customHeight="1" x14ac:dyDescent="0.2">
      <c r="AE7" s="331"/>
      <c r="AF7" s="204">
        <f t="shared" si="0"/>
        <v>0</v>
      </c>
      <c r="AG7" s="204">
        <f>'C-car.1'!U44</f>
        <v>0</v>
      </c>
      <c r="AH7" s="204">
        <f>'C-car.1'!V44</f>
        <v>0</v>
      </c>
      <c r="AI7" s="204">
        <f>'C-car.1'!W44</f>
        <v>0</v>
      </c>
      <c r="AJ7" s="331"/>
      <c r="AK7" s="204">
        <f t="shared" si="1"/>
        <v>0</v>
      </c>
      <c r="AL7" s="204">
        <f>'C-car.2'!U44</f>
        <v>0</v>
      </c>
      <c r="AM7" s="204">
        <f>'C-car.2'!V44</f>
        <v>0</v>
      </c>
      <c r="AN7" s="204">
        <f>'C-car.2'!W44</f>
        <v>0</v>
      </c>
    </row>
    <row r="8" spans="1:56" ht="12" customHeight="1" x14ac:dyDescent="0.2">
      <c r="H8" s="285"/>
      <c r="AE8" s="330" t="s">
        <v>30</v>
      </c>
      <c r="AF8" s="203">
        <f t="shared" ref="AF8:AF16" si="2">AG8-$AG$7</f>
        <v>0</v>
      </c>
      <c r="AG8" s="203">
        <f>'C-car.1'!U45</f>
        <v>0</v>
      </c>
      <c r="AH8" s="203">
        <f>'C-car.1'!V45</f>
        <v>0</v>
      </c>
      <c r="AI8" s="203">
        <f>'C-car.1'!W45</f>
        <v>2.4839999999999995</v>
      </c>
      <c r="AJ8" s="330" t="s">
        <v>30</v>
      </c>
      <c r="AK8" s="203">
        <f t="shared" si="1"/>
        <v>0</v>
      </c>
      <c r="AL8" s="203">
        <f>'C-car.2'!U45</f>
        <v>0</v>
      </c>
      <c r="AM8" s="203">
        <f>'C-car.2'!V45</f>
        <v>0</v>
      </c>
      <c r="AN8" s="203">
        <f>'C-car.2'!W45</f>
        <v>0</v>
      </c>
    </row>
    <row r="9" spans="1:56" x14ac:dyDescent="0.2">
      <c r="AE9" s="330"/>
      <c r="AF9" s="201">
        <f t="shared" si="2"/>
        <v>0.15</v>
      </c>
      <c r="AG9" s="201">
        <f>'C-car.1'!U46</f>
        <v>0.15</v>
      </c>
      <c r="AH9" s="201">
        <f>'C-car.1'!V46</f>
        <v>0.32602499999999995</v>
      </c>
      <c r="AI9" s="201">
        <f>'C-car.1'!W46</f>
        <v>1.8629999999999995</v>
      </c>
      <c r="AJ9" s="330"/>
      <c r="AK9" s="201">
        <f t="shared" si="1"/>
        <v>0.15</v>
      </c>
      <c r="AL9" s="201">
        <f>'C-car.2'!U46</f>
        <v>0.15</v>
      </c>
      <c r="AM9" s="201">
        <f>'C-car.2'!V46</f>
        <v>0</v>
      </c>
      <c r="AN9" s="201">
        <f>'C-car.2'!W46</f>
        <v>0</v>
      </c>
    </row>
    <row r="10" spans="1:56" x14ac:dyDescent="0.2">
      <c r="C10" s="286"/>
      <c r="D10" s="286"/>
      <c r="E10" s="335" t="s">
        <v>466</v>
      </c>
      <c r="F10" s="335"/>
      <c r="G10" s="335"/>
      <c r="AE10" s="330"/>
      <c r="AF10" s="201">
        <f t="shared" si="2"/>
        <v>0.3</v>
      </c>
      <c r="AG10" s="201">
        <f>'C-car.1'!U47</f>
        <v>0.3</v>
      </c>
      <c r="AH10" s="201">
        <f>'C-car.1'!V47</f>
        <v>0.55889999999999995</v>
      </c>
      <c r="AI10" s="201">
        <f>'C-car.1'!W47</f>
        <v>1.2419999999999998</v>
      </c>
      <c r="AJ10" s="330"/>
      <c r="AK10" s="201">
        <f t="shared" si="1"/>
        <v>0.3</v>
      </c>
      <c r="AL10" s="201">
        <f>'C-car.2'!U47</f>
        <v>0.3</v>
      </c>
      <c r="AM10" s="201">
        <f>'C-car.2'!V47</f>
        <v>0</v>
      </c>
      <c r="AN10" s="201">
        <f>'C-car.2'!W47</f>
        <v>0</v>
      </c>
    </row>
    <row r="11" spans="1:56" x14ac:dyDescent="0.2">
      <c r="AE11" s="330"/>
      <c r="AF11" s="201">
        <f t="shared" si="2"/>
        <v>0.44999999999999996</v>
      </c>
      <c r="AG11" s="201">
        <f>'C-car.1'!U48</f>
        <v>0.44999999999999996</v>
      </c>
      <c r="AH11" s="201">
        <f>'C-car.1'!V48</f>
        <v>0.69862499999999983</v>
      </c>
      <c r="AI11" s="201">
        <f>'C-car.1'!W48</f>
        <v>0.62099999999999977</v>
      </c>
      <c r="AJ11" s="330"/>
      <c r="AK11" s="201">
        <f t="shared" si="1"/>
        <v>0.44999999999999996</v>
      </c>
      <c r="AL11" s="201">
        <f>'C-car.2'!U48</f>
        <v>0.44999999999999996</v>
      </c>
      <c r="AM11" s="201">
        <f>'C-car.2'!V48</f>
        <v>0</v>
      </c>
      <c r="AN11" s="201">
        <f>'C-car.2'!W48</f>
        <v>0</v>
      </c>
    </row>
    <row r="12" spans="1:56" ht="12" customHeight="1" x14ac:dyDescent="0.2">
      <c r="G12" s="280"/>
      <c r="M12" s="15"/>
      <c r="N12" s="15"/>
      <c r="O12" s="15"/>
      <c r="P12" s="15"/>
      <c r="Q12" s="15"/>
      <c r="R12" s="15"/>
      <c r="AE12" s="330"/>
      <c r="AF12" s="201">
        <f t="shared" si="2"/>
        <v>0.6</v>
      </c>
      <c r="AG12" s="201">
        <f>'C-car.1'!U49</f>
        <v>0.6</v>
      </c>
      <c r="AH12" s="201">
        <f>'C-car.1'!V49</f>
        <v>0.74519999999999986</v>
      </c>
      <c r="AI12" s="201">
        <f>'C-car.1'!W49</f>
        <v>0</v>
      </c>
      <c r="AJ12" s="330"/>
      <c r="AK12" s="201">
        <f t="shared" si="1"/>
        <v>0.6</v>
      </c>
      <c r="AL12" s="201">
        <f>'C-car.2'!U49</f>
        <v>0.6</v>
      </c>
      <c r="AM12" s="201">
        <f>'C-car.2'!V49</f>
        <v>0</v>
      </c>
      <c r="AN12" s="201">
        <f>'C-car.2'!W49</f>
        <v>0</v>
      </c>
    </row>
    <row r="13" spans="1:56" x14ac:dyDescent="0.2">
      <c r="C13" s="252" t="s">
        <v>451</v>
      </c>
      <c r="D13" s="254"/>
      <c r="E13" s="257" t="s">
        <v>453</v>
      </c>
      <c r="F13" s="254" t="s">
        <v>454</v>
      </c>
      <c r="G13" s="257" t="s">
        <v>458</v>
      </c>
      <c r="M13" s="15"/>
      <c r="N13" s="15"/>
      <c r="O13" s="15"/>
      <c r="P13" s="15"/>
      <c r="Q13" s="15"/>
      <c r="R13" s="15"/>
      <c r="AE13" s="330"/>
      <c r="AF13" s="201">
        <f t="shared" si="2"/>
        <v>0.75</v>
      </c>
      <c r="AG13" s="201">
        <f>'C-car.1'!U50</f>
        <v>0.75</v>
      </c>
      <c r="AH13" s="201">
        <f>'C-car.1'!V50</f>
        <v>0.69862499999999961</v>
      </c>
      <c r="AI13" s="201">
        <f>'C-car.1'!W50</f>
        <v>-0.621</v>
      </c>
      <c r="AJ13" s="330"/>
      <c r="AK13" s="201">
        <f t="shared" si="1"/>
        <v>0.75</v>
      </c>
      <c r="AL13" s="201">
        <f>'C-car.2'!U50</f>
        <v>0.75</v>
      </c>
      <c r="AM13" s="201">
        <f>'C-car.2'!V50</f>
        <v>0</v>
      </c>
      <c r="AN13" s="201">
        <f>'C-car.2'!W50</f>
        <v>0</v>
      </c>
    </row>
    <row r="14" spans="1:56" x14ac:dyDescent="0.2">
      <c r="E14" s="325" t="s">
        <v>464</v>
      </c>
      <c r="G14" s="325" t="s">
        <v>464</v>
      </c>
      <c r="AE14" s="330"/>
      <c r="AF14" s="201">
        <f t="shared" si="2"/>
        <v>0.89999999999999991</v>
      </c>
      <c r="AG14" s="201">
        <f>'C-car.1'!U51</f>
        <v>0.89999999999999991</v>
      </c>
      <c r="AH14" s="201">
        <f>'C-car.1'!V51</f>
        <v>0.55889999999999995</v>
      </c>
      <c r="AI14" s="201">
        <f>'C-car.1'!W51</f>
        <v>-1.242</v>
      </c>
      <c r="AJ14" s="330"/>
      <c r="AK14" s="201">
        <f t="shared" si="1"/>
        <v>0.89999999999999991</v>
      </c>
      <c r="AL14" s="201">
        <f>'C-car.2'!U51</f>
        <v>0.89999999999999991</v>
      </c>
      <c r="AM14" s="201">
        <f>'C-car.2'!V51</f>
        <v>0</v>
      </c>
      <c r="AN14" s="201">
        <f>'C-car.2'!W51</f>
        <v>0</v>
      </c>
    </row>
    <row r="15" spans="1:56" x14ac:dyDescent="0.2">
      <c r="C15" s="252" t="s">
        <v>447</v>
      </c>
      <c r="D15" s="274" t="s">
        <v>449</v>
      </c>
      <c r="E15" s="278">
        <v>0</v>
      </c>
      <c r="F15" s="278">
        <v>1.2</v>
      </c>
      <c r="G15" s="278">
        <v>0</v>
      </c>
      <c r="AE15" s="330"/>
      <c r="AF15" s="201">
        <f t="shared" si="2"/>
        <v>1.05</v>
      </c>
      <c r="AG15" s="201">
        <f>'C-car.1'!U52</f>
        <v>1.05</v>
      </c>
      <c r="AH15" s="201">
        <f>'C-car.1'!V52</f>
        <v>0.32602499999999957</v>
      </c>
      <c r="AI15" s="201">
        <f>'C-car.1'!W52</f>
        <v>-1.863</v>
      </c>
      <c r="AJ15" s="330"/>
      <c r="AK15" s="201">
        <f t="shared" si="1"/>
        <v>1.05</v>
      </c>
      <c r="AL15" s="201">
        <f>'C-car.2'!U52</f>
        <v>1.05</v>
      </c>
      <c r="AM15" s="201">
        <f>'C-car.2'!V52</f>
        <v>0</v>
      </c>
      <c r="AN15" s="201">
        <f>'C-car.2'!W52</f>
        <v>0</v>
      </c>
    </row>
    <row r="16" spans="1:56" s="6" customFormat="1" ht="13.5" customHeight="1" x14ac:dyDescent="0.2">
      <c r="A16" s="275"/>
      <c r="B16" s="275"/>
      <c r="C16" s="252" t="s">
        <v>450</v>
      </c>
      <c r="D16" s="42"/>
      <c r="E16" s="279" t="s">
        <v>448</v>
      </c>
      <c r="F16" s="275" t="str">
        <f>E6</f>
        <v>acciaio</v>
      </c>
      <c r="G16" s="279" t="s">
        <v>448</v>
      </c>
      <c r="U16" s="18"/>
      <c r="AE16" s="330"/>
      <c r="AF16" s="204">
        <f t="shared" si="2"/>
        <v>1.2</v>
      </c>
      <c r="AG16" s="204">
        <f>'C-car.1'!U53</f>
        <v>1.2</v>
      </c>
      <c r="AH16" s="204">
        <f>'C-car.1'!V53</f>
        <v>0</v>
      </c>
      <c r="AI16" s="204">
        <f>'C-car.1'!W53</f>
        <v>-2.4839999999999995</v>
      </c>
      <c r="AJ16" s="330"/>
      <c r="AK16" s="204">
        <f t="shared" si="1"/>
        <v>1.2</v>
      </c>
      <c r="AL16" s="204">
        <f>'C-car.2'!U53</f>
        <v>1.2</v>
      </c>
      <c r="AM16" s="204">
        <f>'C-car.2'!V53</f>
        <v>0</v>
      </c>
      <c r="AN16" s="204">
        <f>'C-car.2'!W53</f>
        <v>0</v>
      </c>
      <c r="BD16" s="1"/>
    </row>
    <row r="17" spans="1:56" s="6" customFormat="1" ht="12" customHeight="1" x14ac:dyDescent="0.2">
      <c r="A17" s="275"/>
      <c r="B17" s="275"/>
      <c r="C17" s="252" t="s">
        <v>127</v>
      </c>
      <c r="D17" s="42"/>
      <c r="E17" s="305"/>
      <c r="F17" s="305" t="s">
        <v>293</v>
      </c>
      <c r="G17" s="305"/>
      <c r="AE17" s="331" t="s">
        <v>57</v>
      </c>
      <c r="AF17" s="203">
        <f>AG17-$AG$16</f>
        <v>0</v>
      </c>
      <c r="AG17" s="203">
        <f>'C-car.1'!U54</f>
        <v>1.2</v>
      </c>
      <c r="AH17" s="203">
        <f>'C-car.1'!V54</f>
        <v>0</v>
      </c>
      <c r="AI17" s="203">
        <f>'C-car.1'!W54</f>
        <v>0</v>
      </c>
      <c r="AJ17" s="331" t="s">
        <v>57</v>
      </c>
      <c r="AK17" s="203">
        <f t="shared" si="1"/>
        <v>0</v>
      </c>
      <c r="AL17" s="203">
        <f>'C-car.2'!U54</f>
        <v>1.2</v>
      </c>
      <c r="AM17" s="203">
        <f>'C-car.2'!V54</f>
        <v>0</v>
      </c>
      <c r="AN17" s="203">
        <f>'C-car.2'!W54</f>
        <v>0</v>
      </c>
      <c r="BD17" s="1"/>
    </row>
    <row r="18" spans="1:56" s="6" customFormat="1" x14ac:dyDescent="0.2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3.5000000000000003E-2</v>
      </c>
      <c r="G18" s="201" t="str">
        <f>IF($G16=$I$69,VLOOKUP($G17,matca,2,0),IF($G16=$I$70,VLOOKUP($G17,matacciaio,3,0),""))</f>
        <v/>
      </c>
      <c r="AE18" s="331"/>
      <c r="AF18" s="201">
        <f t="shared" ref="AF18:AF20" si="3">AG18-$AG$16</f>
        <v>0</v>
      </c>
      <c r="AG18" s="201">
        <f>'C-car.1'!U55</f>
        <v>1.2</v>
      </c>
      <c r="AH18" s="201">
        <f>'C-car.1'!V55</f>
        <v>0</v>
      </c>
      <c r="AI18" s="201">
        <f>'C-car.1'!W55</f>
        <v>0</v>
      </c>
      <c r="AJ18" s="331"/>
      <c r="AK18" s="201">
        <f t="shared" si="1"/>
        <v>0</v>
      </c>
      <c r="AL18" s="201">
        <f>'C-car.2'!U55</f>
        <v>1.2</v>
      </c>
      <c r="AM18" s="201">
        <f>'C-car.2'!V55</f>
        <v>0</v>
      </c>
      <c r="AN18" s="201">
        <f>'C-car.2'!W55</f>
        <v>0</v>
      </c>
      <c r="BD18" s="1"/>
    </row>
    <row r="19" spans="1:56" s="6" customFormat="1" x14ac:dyDescent="0.2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10</v>
      </c>
      <c r="G19" s="306" t="str">
        <f>IF($G16=$I$69,VLOOKUP($G17,matca,4,0),IF($G16=$I$70,VLOOKUP($G17,matacciaio,5,0),""))</f>
        <v/>
      </c>
      <c r="M19" s="3"/>
      <c r="N19" s="3"/>
      <c r="P19" s="45"/>
      <c r="Q19" s="3"/>
      <c r="R19" s="3"/>
      <c r="S19" s="3"/>
      <c r="AE19" s="331"/>
      <c r="AF19" s="201">
        <f t="shared" si="3"/>
        <v>0</v>
      </c>
      <c r="AG19" s="201">
        <f>'C-car.1'!U56</f>
        <v>1.2</v>
      </c>
      <c r="AH19" s="201">
        <f>'C-car.1'!V56</f>
        <v>0</v>
      </c>
      <c r="AI19" s="201">
        <f>'C-car.1'!W56</f>
        <v>0</v>
      </c>
      <c r="AJ19" s="331"/>
      <c r="AK19" s="201">
        <f t="shared" si="1"/>
        <v>0</v>
      </c>
      <c r="AL19" s="201">
        <f>'C-car.2'!U56</f>
        <v>1.2</v>
      </c>
      <c r="AM19" s="201">
        <f>'C-car.2'!V56</f>
        <v>0</v>
      </c>
      <c r="AN19" s="201">
        <f>'C-car.2'!W56</f>
        <v>0</v>
      </c>
    </row>
    <row r="20" spans="1:56" s="6" customFormat="1" x14ac:dyDescent="0.2">
      <c r="C20" s="275"/>
      <c r="D20" s="275"/>
      <c r="E20" s="275"/>
      <c r="F20" s="275"/>
      <c r="G20" s="275"/>
      <c r="M20" s="3"/>
      <c r="N20" s="3"/>
      <c r="P20" s="3"/>
      <c r="Q20" s="3"/>
      <c r="R20" s="3"/>
      <c r="S20" s="3"/>
      <c r="AE20" s="331"/>
      <c r="AF20" s="209">
        <f t="shared" si="3"/>
        <v>0</v>
      </c>
      <c r="AG20" s="204">
        <f>'C-car.1'!U57</f>
        <v>1.2</v>
      </c>
      <c r="AH20" s="204">
        <f>'C-car.1'!V57</f>
        <v>0</v>
      </c>
      <c r="AI20" s="204">
        <f>'C-car.1'!W57</f>
        <v>0</v>
      </c>
      <c r="AJ20" s="331"/>
      <c r="AK20" s="204">
        <f t="shared" si="1"/>
        <v>0</v>
      </c>
      <c r="AL20" s="204">
        <f>'C-car.2'!U57</f>
        <v>1.2</v>
      </c>
      <c r="AM20" s="204">
        <f>'C-car.2'!V57</f>
        <v>0</v>
      </c>
      <c r="AN20" s="204">
        <f>'C-car.2'!W57</f>
        <v>0</v>
      </c>
    </row>
    <row r="21" spans="1:56" ht="12" customHeight="1" x14ac:dyDescent="0.2">
      <c r="AE21" s="58"/>
      <c r="AF21" s="96"/>
      <c r="AG21" s="97"/>
      <c r="AH21" s="97"/>
      <c r="AI21" s="97"/>
      <c r="AJ21" s="58"/>
      <c r="AK21" s="15"/>
      <c r="AL21" s="11"/>
      <c r="AM21" s="11"/>
      <c r="AN21" s="11"/>
      <c r="AO21" s="58"/>
      <c r="AP21" s="15"/>
      <c r="AQ21" s="11"/>
      <c r="AR21" s="11"/>
      <c r="AS21" s="11"/>
      <c r="AT21" s="58"/>
      <c r="AU21" s="15"/>
      <c r="AV21" s="11"/>
      <c r="AW21" s="11"/>
      <c r="AX21" s="11"/>
      <c r="AY21" s="58"/>
      <c r="AZ21" s="15"/>
      <c r="BA21" s="11"/>
      <c r="BB21" s="11"/>
      <c r="BC21" s="11"/>
    </row>
    <row r="22" spans="1:56" x14ac:dyDescent="0.2">
      <c r="AE22" s="58"/>
      <c r="AF22" s="15"/>
      <c r="AG22" s="11"/>
      <c r="AH22" s="11"/>
      <c r="AI22" s="11"/>
      <c r="AJ22" s="58"/>
      <c r="AK22" s="15"/>
      <c r="AL22" s="11"/>
      <c r="AM22" s="11"/>
      <c r="AN22" s="11"/>
      <c r="AO22" s="58"/>
      <c r="AP22" s="15"/>
      <c r="AQ22" s="11"/>
      <c r="AR22" s="11"/>
      <c r="AS22" s="11"/>
      <c r="AT22" s="58"/>
      <c r="AU22" s="15"/>
      <c r="AV22" s="11"/>
      <c r="AW22" s="11"/>
      <c r="AX22" s="11"/>
      <c r="AY22" s="58"/>
      <c r="AZ22" s="15"/>
      <c r="BA22" s="11"/>
      <c r="BB22" s="11"/>
      <c r="BC22" s="11"/>
    </row>
    <row r="23" spans="1:56" x14ac:dyDescent="0.2">
      <c r="AF23" s="2" t="s">
        <v>63</v>
      </c>
      <c r="AK23" s="2" t="s">
        <v>64</v>
      </c>
      <c r="AO23" s="58"/>
      <c r="AP23" s="15"/>
      <c r="AQ23" s="11"/>
      <c r="AR23" s="11"/>
      <c r="AS23" s="11"/>
      <c r="AT23" s="58"/>
      <c r="AU23" s="15"/>
      <c r="AV23" s="11"/>
      <c r="AW23" s="11"/>
      <c r="AX23" s="11"/>
      <c r="AY23" s="58"/>
      <c r="AZ23" s="15"/>
      <c r="BA23" s="11"/>
      <c r="BB23" s="11"/>
      <c r="BC23" s="11"/>
    </row>
    <row r="24" spans="1:56" ht="13.5" x14ac:dyDescent="0.25">
      <c r="C24" s="296"/>
      <c r="D24" s="296"/>
      <c r="E24" s="335" t="s">
        <v>473</v>
      </c>
      <c r="F24" s="335"/>
      <c r="G24" s="335"/>
      <c r="H24" s="275"/>
      <c r="I24" s="275"/>
      <c r="AF24" s="9" t="s">
        <v>54</v>
      </c>
      <c r="AG24" s="39" t="s">
        <v>55</v>
      </c>
      <c r="AH24" s="39" t="s">
        <v>3</v>
      </c>
      <c r="AI24" s="39" t="s">
        <v>4</v>
      </c>
      <c r="AK24" s="9" t="s">
        <v>54</v>
      </c>
      <c r="AL24" s="39" t="s">
        <v>55</v>
      </c>
      <c r="AM24" s="39" t="s">
        <v>3</v>
      </c>
      <c r="AN24" s="39" t="s">
        <v>4</v>
      </c>
      <c r="AO24" s="58"/>
      <c r="AP24" s="15"/>
      <c r="AQ24" s="11"/>
      <c r="AR24" s="11"/>
      <c r="AS24" s="11"/>
      <c r="AT24" s="58"/>
      <c r="AU24" s="15"/>
      <c r="AV24" s="11"/>
      <c r="AW24" s="11"/>
      <c r="AX24" s="11"/>
      <c r="AY24" s="58"/>
      <c r="AZ24" s="15"/>
      <c r="BA24" s="11"/>
      <c r="BB24" s="11"/>
      <c r="BC24" s="11"/>
    </row>
    <row r="25" spans="1:56" ht="12" customHeight="1" x14ac:dyDescent="0.2">
      <c r="AF25" s="40" t="s">
        <v>59</v>
      </c>
      <c r="AG25" s="40" t="s">
        <v>59</v>
      </c>
      <c r="AH25" s="40" t="s">
        <v>60</v>
      </c>
      <c r="AI25" s="40" t="s">
        <v>61</v>
      </c>
      <c r="AK25" s="40" t="s">
        <v>59</v>
      </c>
      <c r="AL25" s="40" t="s">
        <v>59</v>
      </c>
      <c r="AM25" s="40" t="s">
        <v>60</v>
      </c>
      <c r="AN25" s="40" t="s">
        <v>61</v>
      </c>
      <c r="AO25" s="58"/>
      <c r="AP25" s="15"/>
      <c r="AQ25" s="11"/>
      <c r="AR25" s="11"/>
      <c r="AS25" s="11"/>
      <c r="AT25" s="58"/>
      <c r="AU25" s="15"/>
      <c r="AV25" s="11"/>
      <c r="AW25" s="11"/>
      <c r="AX25" s="11"/>
      <c r="AY25" s="58"/>
      <c r="AZ25" s="15"/>
      <c r="BA25" s="11"/>
      <c r="BB25" s="11"/>
      <c r="BC25" s="11"/>
    </row>
    <row r="26" spans="1:56" ht="12" customHeight="1" x14ac:dyDescent="0.2">
      <c r="C26" s="12" t="s">
        <v>49</v>
      </c>
      <c r="D26" s="297" t="s">
        <v>446</v>
      </c>
      <c r="E26" s="278">
        <v>0</v>
      </c>
      <c r="F26" s="278">
        <v>4.1399999999999997</v>
      </c>
      <c r="G26" s="278">
        <v>0</v>
      </c>
      <c r="AE26" s="331" t="s">
        <v>56</v>
      </c>
      <c r="AF26" s="203">
        <f>AF4</f>
        <v>0</v>
      </c>
      <c r="AG26" s="203">
        <f>'C-car.3'!U41</f>
        <v>0</v>
      </c>
      <c r="AH26" s="203">
        <f>'C-car.3'!V41</f>
        <v>0</v>
      </c>
      <c r="AI26" s="203">
        <f>'C-car.3'!W41</f>
        <v>0</v>
      </c>
      <c r="AJ26" s="331" t="s">
        <v>56</v>
      </c>
      <c r="AK26" s="203">
        <f>AF4</f>
        <v>0</v>
      </c>
      <c r="AL26" s="203">
        <f>'C-car.4'!U41</f>
        <v>0</v>
      </c>
      <c r="AM26" s="203">
        <f>'C-car.4'!V41</f>
        <v>0</v>
      </c>
      <c r="AN26" s="203">
        <f>'C-car.4'!W41</f>
        <v>0</v>
      </c>
    </row>
    <row r="27" spans="1:56" x14ac:dyDescent="0.2">
      <c r="C27" s="12" t="s">
        <v>50</v>
      </c>
      <c r="D27" s="297" t="s">
        <v>446</v>
      </c>
      <c r="E27" s="278">
        <v>0</v>
      </c>
      <c r="F27" s="278">
        <v>0</v>
      </c>
      <c r="G27" s="278">
        <v>0</v>
      </c>
      <c r="AE27" s="331"/>
      <c r="AF27" s="201">
        <f t="shared" ref="AF27:AF42" si="4">AF5</f>
        <v>0</v>
      </c>
      <c r="AG27" s="201">
        <f>'C-car.3'!U42</f>
        <v>0</v>
      </c>
      <c r="AH27" s="201">
        <f>'C-car.3'!V42</f>
        <v>0</v>
      </c>
      <c r="AI27" s="201">
        <f>'C-car.3'!W42</f>
        <v>0</v>
      </c>
      <c r="AJ27" s="331"/>
      <c r="AK27" s="201">
        <f t="shared" ref="AK27:AK42" si="5">AF5</f>
        <v>0</v>
      </c>
      <c r="AL27" s="201">
        <f>'C-car.4'!U42</f>
        <v>0</v>
      </c>
      <c r="AM27" s="201">
        <f>'C-car.4'!V42</f>
        <v>0</v>
      </c>
      <c r="AN27" s="201">
        <f>'C-car.4'!W42</f>
        <v>0</v>
      </c>
    </row>
    <row r="28" spans="1:56" s="6" customFormat="1" ht="12" customHeight="1" x14ac:dyDescent="0.2">
      <c r="A28" s="275"/>
      <c r="B28" s="275"/>
      <c r="C28" s="12" t="s">
        <v>51</v>
      </c>
      <c r="D28" s="297" t="s">
        <v>446</v>
      </c>
      <c r="E28" s="278">
        <v>0</v>
      </c>
      <c r="F28" s="278">
        <v>0</v>
      </c>
      <c r="G28" s="278">
        <v>0</v>
      </c>
      <c r="H28" s="1"/>
      <c r="I28" s="1"/>
      <c r="J28" s="275"/>
      <c r="AE28" s="331"/>
      <c r="AF28" s="201">
        <f t="shared" si="4"/>
        <v>0</v>
      </c>
      <c r="AG28" s="201">
        <f>'C-car.3'!U43</f>
        <v>0</v>
      </c>
      <c r="AH28" s="201">
        <f>'C-car.3'!V43</f>
        <v>0</v>
      </c>
      <c r="AI28" s="201">
        <f>'C-car.3'!W43</f>
        <v>0</v>
      </c>
      <c r="AJ28" s="331"/>
      <c r="AK28" s="201">
        <f t="shared" si="5"/>
        <v>0</v>
      </c>
      <c r="AL28" s="201">
        <f>'C-car.4'!U43</f>
        <v>0</v>
      </c>
      <c r="AM28" s="201">
        <f>'C-car.4'!V43</f>
        <v>0</v>
      </c>
      <c r="AN28" s="201">
        <f>'C-car.4'!W43</f>
        <v>0</v>
      </c>
    </row>
    <row r="29" spans="1:56" s="6" customFormat="1" x14ac:dyDescent="0.2">
      <c r="A29" s="275"/>
      <c r="B29" s="275"/>
      <c r="C29" s="12" t="s">
        <v>52</v>
      </c>
      <c r="D29" s="297" t="s">
        <v>446</v>
      </c>
      <c r="E29" s="278">
        <v>0</v>
      </c>
      <c r="F29" s="278">
        <v>0</v>
      </c>
      <c r="G29" s="278">
        <v>0</v>
      </c>
      <c r="H29" s="1"/>
      <c r="I29" s="1"/>
      <c r="J29" s="275"/>
      <c r="AE29" s="331"/>
      <c r="AF29" s="204">
        <f t="shared" si="4"/>
        <v>0</v>
      </c>
      <c r="AG29" s="204">
        <f>'C-car.3'!U44</f>
        <v>0</v>
      </c>
      <c r="AH29" s="204">
        <f>'C-car.3'!V44</f>
        <v>0</v>
      </c>
      <c r="AI29" s="204">
        <f>'C-car.3'!W44</f>
        <v>0</v>
      </c>
      <c r="AJ29" s="331"/>
      <c r="AK29" s="204">
        <f t="shared" si="5"/>
        <v>0</v>
      </c>
      <c r="AL29" s="204">
        <f>'C-car.4'!U44</f>
        <v>0</v>
      </c>
      <c r="AM29" s="204">
        <f>'C-car.4'!V44</f>
        <v>0</v>
      </c>
      <c r="AN29" s="204">
        <f>'C-car.4'!W44</f>
        <v>0</v>
      </c>
    </row>
    <row r="30" spans="1:56" ht="12" customHeight="1" x14ac:dyDescent="0.2">
      <c r="C30" s="12" t="s">
        <v>53</v>
      </c>
      <c r="D30" s="297" t="s">
        <v>446</v>
      </c>
      <c r="E30" s="278">
        <v>0</v>
      </c>
      <c r="F30" s="278">
        <v>0</v>
      </c>
      <c r="G30" s="278">
        <v>0</v>
      </c>
      <c r="AE30" s="330" t="s">
        <v>30</v>
      </c>
      <c r="AF30" s="203">
        <f t="shared" si="4"/>
        <v>0</v>
      </c>
      <c r="AG30" s="203">
        <f>'C-car.3'!U45</f>
        <v>0</v>
      </c>
      <c r="AH30" s="203">
        <f>'C-car.3'!V45</f>
        <v>0</v>
      </c>
      <c r="AI30" s="203">
        <f>'C-car.3'!W45</f>
        <v>0</v>
      </c>
      <c r="AJ30" s="330" t="s">
        <v>30</v>
      </c>
      <c r="AK30" s="203">
        <f t="shared" si="5"/>
        <v>0</v>
      </c>
      <c r="AL30" s="203">
        <f>'C-car.4'!U45</f>
        <v>0</v>
      </c>
      <c r="AM30" s="203">
        <f>'C-car.4'!V45</f>
        <v>0</v>
      </c>
      <c r="AN30" s="203">
        <f>'C-car.4'!W45</f>
        <v>0</v>
      </c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">
      <c r="AE31" s="330"/>
      <c r="AF31" s="201">
        <f t="shared" si="4"/>
        <v>0.15</v>
      </c>
      <c r="AG31" s="201">
        <f>'C-car.3'!U46</f>
        <v>0.15</v>
      </c>
      <c r="AH31" s="201">
        <f>'C-car.3'!V46</f>
        <v>0</v>
      </c>
      <c r="AI31" s="201">
        <f>'C-car.3'!W46</f>
        <v>0</v>
      </c>
      <c r="AJ31" s="330"/>
      <c r="AK31" s="201">
        <f t="shared" si="5"/>
        <v>0.15</v>
      </c>
      <c r="AL31" s="201">
        <f>'C-car.4'!U46</f>
        <v>0.15</v>
      </c>
      <c r="AM31" s="201">
        <f>'C-car.4'!V46</f>
        <v>0</v>
      </c>
      <c r="AN31" s="201">
        <f>'C-car.4'!W46</f>
        <v>0</v>
      </c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ht="12" customHeight="1" x14ac:dyDescent="0.2">
      <c r="AE32" s="330"/>
      <c r="AF32" s="201">
        <f t="shared" si="4"/>
        <v>0.3</v>
      </c>
      <c r="AG32" s="201">
        <f>'C-car.3'!U47</f>
        <v>0.3</v>
      </c>
      <c r="AH32" s="201">
        <f>'C-car.3'!V47</f>
        <v>0</v>
      </c>
      <c r="AI32" s="201">
        <f>'C-car.3'!W47</f>
        <v>0</v>
      </c>
      <c r="AJ32" s="330"/>
      <c r="AK32" s="201">
        <f t="shared" si="5"/>
        <v>0.3</v>
      </c>
      <c r="AL32" s="201">
        <f>'C-car.4'!U47</f>
        <v>0.3</v>
      </c>
      <c r="AM32" s="201">
        <f>'C-car.4'!V47</f>
        <v>0</v>
      </c>
      <c r="AN32" s="201">
        <f>'C-car.4'!W47</f>
        <v>0</v>
      </c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4:55" x14ac:dyDescent="0.2">
      <c r="AE33" s="330"/>
      <c r="AF33" s="201">
        <f t="shared" si="4"/>
        <v>0.44999999999999996</v>
      </c>
      <c r="AG33" s="201">
        <f>'C-car.3'!U48</f>
        <v>0.44999999999999996</v>
      </c>
      <c r="AH33" s="201">
        <f>'C-car.3'!V48</f>
        <v>0</v>
      </c>
      <c r="AI33" s="201">
        <f>'C-car.3'!W48</f>
        <v>0</v>
      </c>
      <c r="AJ33" s="330"/>
      <c r="AK33" s="201">
        <f t="shared" si="5"/>
        <v>0.44999999999999996</v>
      </c>
      <c r="AL33" s="201">
        <f>'C-car.4'!U48</f>
        <v>0.44999999999999996</v>
      </c>
      <c r="AM33" s="201">
        <f>'C-car.4'!V48</f>
        <v>0</v>
      </c>
      <c r="AN33" s="201">
        <f>'C-car.4'!W48</f>
        <v>0</v>
      </c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4:55" ht="12" customHeight="1" x14ac:dyDescent="0.2">
      <c r="AE34" s="330"/>
      <c r="AF34" s="201">
        <f t="shared" si="4"/>
        <v>0.6</v>
      </c>
      <c r="AG34" s="201">
        <f>'C-car.3'!U49</f>
        <v>0.6</v>
      </c>
      <c r="AH34" s="201">
        <f>'C-car.3'!V49</f>
        <v>0</v>
      </c>
      <c r="AI34" s="201">
        <f>'C-car.3'!W49</f>
        <v>0</v>
      </c>
      <c r="AJ34" s="330"/>
      <c r="AK34" s="201">
        <f t="shared" si="5"/>
        <v>0.6</v>
      </c>
      <c r="AL34" s="201">
        <f>'C-car.4'!U49</f>
        <v>0.6</v>
      </c>
      <c r="AM34" s="201">
        <f>'C-car.4'!V49</f>
        <v>0</v>
      </c>
      <c r="AN34" s="201">
        <f>'C-car.4'!W49</f>
        <v>0</v>
      </c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4:55" ht="12" customHeight="1" x14ac:dyDescent="0.2">
      <c r="AE35" s="330"/>
      <c r="AF35" s="201">
        <f t="shared" si="4"/>
        <v>0.75</v>
      </c>
      <c r="AG35" s="201">
        <f>'C-car.3'!U50</f>
        <v>0.75</v>
      </c>
      <c r="AH35" s="201">
        <f>'C-car.3'!V50</f>
        <v>0</v>
      </c>
      <c r="AI35" s="201">
        <f>'C-car.3'!W50</f>
        <v>0</v>
      </c>
      <c r="AJ35" s="330"/>
      <c r="AK35" s="201">
        <f t="shared" si="5"/>
        <v>0.75</v>
      </c>
      <c r="AL35" s="201">
        <f>'C-car.4'!U50</f>
        <v>0.75</v>
      </c>
      <c r="AM35" s="201">
        <f>'C-car.4'!V50</f>
        <v>0</v>
      </c>
      <c r="AN35" s="201">
        <f>'C-car.4'!W50</f>
        <v>0</v>
      </c>
    </row>
    <row r="36" spans="24:55" x14ac:dyDescent="0.2">
      <c r="AE36" s="330"/>
      <c r="AF36" s="201">
        <f t="shared" si="4"/>
        <v>0.89999999999999991</v>
      </c>
      <c r="AG36" s="201">
        <f>'C-car.3'!U51</f>
        <v>0.89999999999999991</v>
      </c>
      <c r="AH36" s="201">
        <f>'C-car.3'!V51</f>
        <v>0</v>
      </c>
      <c r="AI36" s="201">
        <f>'C-car.3'!W51</f>
        <v>0</v>
      </c>
      <c r="AJ36" s="330"/>
      <c r="AK36" s="201">
        <f t="shared" si="5"/>
        <v>0.89999999999999991</v>
      </c>
      <c r="AL36" s="201">
        <f>'C-car.4'!U51</f>
        <v>0.89999999999999991</v>
      </c>
      <c r="AM36" s="201">
        <f>'C-car.4'!V51</f>
        <v>0</v>
      </c>
      <c r="AN36" s="201">
        <f>'C-car.4'!W51</f>
        <v>0</v>
      </c>
    </row>
    <row r="37" spans="24:55" x14ac:dyDescent="0.2">
      <c r="AE37" s="330"/>
      <c r="AF37" s="201">
        <f t="shared" si="4"/>
        <v>1.05</v>
      </c>
      <c r="AG37" s="201">
        <f>'C-car.3'!U52</f>
        <v>1.05</v>
      </c>
      <c r="AH37" s="201">
        <f>'C-car.3'!V52</f>
        <v>0</v>
      </c>
      <c r="AI37" s="201">
        <f>'C-car.3'!W52</f>
        <v>0</v>
      </c>
      <c r="AJ37" s="330"/>
      <c r="AK37" s="201">
        <f t="shared" si="5"/>
        <v>1.05</v>
      </c>
      <c r="AL37" s="201">
        <f>'C-car.4'!U52</f>
        <v>1.05</v>
      </c>
      <c r="AM37" s="201">
        <f>'C-car.4'!V52</f>
        <v>0</v>
      </c>
      <c r="AN37" s="201">
        <f>'C-car.4'!W52</f>
        <v>0</v>
      </c>
    </row>
    <row r="38" spans="24:55" ht="15" customHeight="1" x14ac:dyDescent="0.2">
      <c r="X38" s="333" t="s">
        <v>66</v>
      </c>
      <c r="Y38" s="333"/>
      <c r="Z38" s="333"/>
      <c r="AA38" s="333"/>
      <c r="AB38" s="51"/>
      <c r="AC38" s="51"/>
      <c r="AD38" s="51"/>
      <c r="AE38" s="330"/>
      <c r="AF38" s="204">
        <f t="shared" si="4"/>
        <v>1.2</v>
      </c>
      <c r="AG38" s="204">
        <f>'C-car.3'!U53</f>
        <v>1.2</v>
      </c>
      <c r="AH38" s="204">
        <f>'C-car.3'!V53</f>
        <v>0</v>
      </c>
      <c r="AI38" s="204">
        <f>'C-car.3'!W53</f>
        <v>0</v>
      </c>
      <c r="AJ38" s="330"/>
      <c r="AK38" s="204">
        <f t="shared" si="5"/>
        <v>1.2</v>
      </c>
      <c r="AL38" s="204">
        <f>'C-car.4'!U53</f>
        <v>1.2</v>
      </c>
      <c r="AM38" s="204">
        <f>'C-car.4'!V53</f>
        <v>0</v>
      </c>
      <c r="AN38" s="204">
        <f>'C-car.4'!W53</f>
        <v>0</v>
      </c>
    </row>
    <row r="39" spans="24:55" ht="12" customHeight="1" x14ac:dyDescent="0.2">
      <c r="X39" s="43" t="s">
        <v>8</v>
      </c>
      <c r="Y39" s="43" t="s">
        <v>9</v>
      </c>
      <c r="Z39" s="43" t="s">
        <v>10</v>
      </c>
      <c r="AA39" s="43" t="s">
        <v>11</v>
      </c>
      <c r="AB39" s="3"/>
      <c r="AC39" s="3"/>
      <c r="AD39" s="3"/>
      <c r="AE39" s="331" t="s">
        <v>57</v>
      </c>
      <c r="AF39" s="203">
        <f t="shared" si="4"/>
        <v>0</v>
      </c>
      <c r="AG39" s="203">
        <f>'C-car.3'!U54</f>
        <v>1.2</v>
      </c>
      <c r="AH39" s="203">
        <f>'C-car.3'!V54</f>
        <v>0</v>
      </c>
      <c r="AI39" s="203">
        <f>'C-car.3'!W54</f>
        <v>0</v>
      </c>
      <c r="AJ39" s="331" t="s">
        <v>57</v>
      </c>
      <c r="AK39" s="203">
        <f t="shared" si="5"/>
        <v>0</v>
      </c>
      <c r="AL39" s="203">
        <f>'C-car.4'!U54</f>
        <v>1.2</v>
      </c>
      <c r="AM39" s="203">
        <f>'C-car.4'!V54</f>
        <v>0</v>
      </c>
      <c r="AN39" s="203">
        <f>'C-car.4'!W54</f>
        <v>0</v>
      </c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4:55" x14ac:dyDescent="0.2">
      <c r="X40" s="336" t="s">
        <v>67</v>
      </c>
      <c r="Y40" s="336"/>
      <c r="Z40" s="336"/>
      <c r="AA40" s="336"/>
      <c r="AB40" s="51"/>
      <c r="AC40" s="51"/>
      <c r="AD40" s="51"/>
      <c r="AE40" s="331"/>
      <c r="AF40" s="201">
        <f t="shared" si="4"/>
        <v>0</v>
      </c>
      <c r="AG40" s="201">
        <f>'C-car.3'!U55</f>
        <v>1.2</v>
      </c>
      <c r="AH40" s="201">
        <f>'C-car.3'!V55</f>
        <v>0</v>
      </c>
      <c r="AI40" s="201">
        <f>'C-car.3'!W55</f>
        <v>0</v>
      </c>
      <c r="AJ40" s="331"/>
      <c r="AK40" s="201">
        <f t="shared" si="5"/>
        <v>0</v>
      </c>
      <c r="AL40" s="201">
        <f>'C-car.4'!U55</f>
        <v>1.2</v>
      </c>
      <c r="AM40" s="201">
        <f>'C-car.4'!V55</f>
        <v>0</v>
      </c>
      <c r="AN40" s="201">
        <f>'C-car.4'!W55</f>
        <v>0</v>
      </c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4:55" ht="12" customHeight="1" x14ac:dyDescent="0.2">
      <c r="X41" s="2" t="s">
        <v>49</v>
      </c>
      <c r="AC41" s="2"/>
      <c r="AE41" s="331"/>
      <c r="AF41" s="201">
        <f t="shared" si="4"/>
        <v>0</v>
      </c>
      <c r="AG41" s="201">
        <f>'C-car.3'!U56</f>
        <v>1.2</v>
      </c>
      <c r="AH41" s="201">
        <f>'C-car.3'!V56</f>
        <v>0</v>
      </c>
      <c r="AI41" s="201">
        <f>'C-car.3'!W56</f>
        <v>0</v>
      </c>
      <c r="AJ41" s="331"/>
      <c r="AK41" s="201">
        <f t="shared" si="5"/>
        <v>0</v>
      </c>
      <c r="AL41" s="201">
        <f>'C-car.4'!U56</f>
        <v>1.2</v>
      </c>
      <c r="AM41" s="201">
        <f>'C-car.4'!V56</f>
        <v>0</v>
      </c>
      <c r="AN41" s="201">
        <f>'C-car.4'!W56</f>
        <v>0</v>
      </c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4:55" x14ac:dyDescent="0.2">
      <c r="X42" s="201">
        <f>AI7</f>
        <v>0</v>
      </c>
      <c r="Y42" s="201">
        <f>AI8</f>
        <v>2.4839999999999995</v>
      </c>
      <c r="Z42" s="201">
        <f>AI16</f>
        <v>-2.4839999999999995</v>
      </c>
      <c r="AA42" s="201">
        <f>AI17</f>
        <v>0</v>
      </c>
      <c r="AB42" s="11"/>
      <c r="AC42" s="11"/>
      <c r="AD42" s="11"/>
      <c r="AE42" s="331"/>
      <c r="AF42" s="204">
        <f t="shared" si="4"/>
        <v>0</v>
      </c>
      <c r="AG42" s="204">
        <f>'C-car.3'!U57</f>
        <v>1.2</v>
      </c>
      <c r="AH42" s="204">
        <f>'C-car.3'!V57</f>
        <v>0</v>
      </c>
      <c r="AI42" s="204">
        <f>'C-car.3'!W57</f>
        <v>0</v>
      </c>
      <c r="AJ42" s="331"/>
      <c r="AK42" s="204">
        <f t="shared" si="5"/>
        <v>0</v>
      </c>
      <c r="AL42" s="204">
        <f>'C-car.4'!U57</f>
        <v>1.2</v>
      </c>
      <c r="AM42" s="204">
        <f>'C-car.4'!V57</f>
        <v>0</v>
      </c>
      <c r="AN42" s="204">
        <f>'C-car.4'!W57</f>
        <v>0</v>
      </c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4:55" ht="12" customHeight="1" x14ac:dyDescent="0.2">
      <c r="X43" s="46"/>
      <c r="Y43" s="46"/>
      <c r="Z43" s="46"/>
      <c r="AA43" s="46"/>
      <c r="AB43" s="3"/>
      <c r="AC43" s="3"/>
      <c r="AD43" s="3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4:55" ht="12" customHeight="1" x14ac:dyDescent="0.2">
      <c r="X44" s="2" t="s">
        <v>50</v>
      </c>
      <c r="Y44" s="46"/>
      <c r="Z44" s="46"/>
      <c r="AA44" s="46"/>
      <c r="AB44" s="3"/>
      <c r="AC44" s="3"/>
      <c r="AD44" s="3"/>
    </row>
    <row r="45" spans="24:55" x14ac:dyDescent="0.2">
      <c r="X45" s="201">
        <f>AN7</f>
        <v>0</v>
      </c>
      <c r="Y45" s="201">
        <f>AN8</f>
        <v>0</v>
      </c>
      <c r="Z45" s="201">
        <f>AN16</f>
        <v>0</v>
      </c>
      <c r="AA45" s="201">
        <f>AN17</f>
        <v>0</v>
      </c>
      <c r="AB45" s="11"/>
      <c r="AC45" s="11"/>
      <c r="AD45" s="11"/>
      <c r="AF45" s="2" t="s">
        <v>65</v>
      </c>
    </row>
    <row r="46" spans="24:55" ht="13.5" x14ac:dyDescent="0.25">
      <c r="X46" s="46"/>
      <c r="Y46" s="46"/>
      <c r="Z46" s="46"/>
      <c r="AA46" s="46"/>
      <c r="AB46" s="3"/>
      <c r="AC46" s="3"/>
      <c r="AD46" s="3"/>
      <c r="AF46" s="9" t="s">
        <v>54</v>
      </c>
      <c r="AG46" s="39" t="s">
        <v>55</v>
      </c>
      <c r="AH46" s="39" t="s">
        <v>3</v>
      </c>
      <c r="AI46" s="39" t="s">
        <v>4</v>
      </c>
    </row>
    <row r="47" spans="24:55" x14ac:dyDescent="0.2">
      <c r="X47" s="2" t="s">
        <v>51</v>
      </c>
      <c r="Y47" s="46"/>
      <c r="Z47" s="46"/>
      <c r="AA47" s="46"/>
      <c r="AB47" s="3"/>
      <c r="AC47" s="3"/>
      <c r="AD47" s="3"/>
      <c r="AF47" s="40" t="s">
        <v>59</v>
      </c>
      <c r="AG47" s="40" t="s">
        <v>59</v>
      </c>
      <c r="AH47" s="40" t="s">
        <v>60</v>
      </c>
      <c r="AI47" s="40" t="s">
        <v>61</v>
      </c>
    </row>
    <row r="48" spans="24:55" ht="12" customHeight="1" x14ac:dyDescent="0.2">
      <c r="X48" s="201">
        <f>AI29</f>
        <v>0</v>
      </c>
      <c r="Y48" s="201">
        <f>AI30</f>
        <v>0</v>
      </c>
      <c r="Z48" s="201">
        <f>AI38</f>
        <v>0</v>
      </c>
      <c r="AA48" s="201">
        <f>AI39</f>
        <v>0</v>
      </c>
      <c r="AB48" s="11"/>
      <c r="AC48" s="11"/>
      <c r="AD48" s="11"/>
      <c r="AE48" s="331" t="s">
        <v>56</v>
      </c>
      <c r="AF48" s="203">
        <f>AF4</f>
        <v>0</v>
      </c>
      <c r="AG48" s="203">
        <f>'C-car.5'!U41</f>
        <v>0</v>
      </c>
      <c r="AH48" s="203">
        <f>'C-car.5'!V41</f>
        <v>0</v>
      </c>
      <c r="AI48" s="203">
        <f>'C-car.5'!W41</f>
        <v>0</v>
      </c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X49" s="46"/>
      <c r="Y49" s="46"/>
      <c r="Z49" s="46"/>
      <c r="AA49" s="46"/>
      <c r="AB49" s="3"/>
      <c r="AC49" s="3"/>
      <c r="AD49" s="3"/>
      <c r="AE49" s="331"/>
      <c r="AF49" s="201">
        <f t="shared" ref="AF49:AF64" si="6">AF5</f>
        <v>0</v>
      </c>
      <c r="AG49" s="201">
        <f>'C-car.5'!U42</f>
        <v>0</v>
      </c>
      <c r="AH49" s="201">
        <f>'C-car.5'!V42</f>
        <v>0</v>
      </c>
      <c r="AI49" s="201">
        <f>'C-car.5'!W42</f>
        <v>0</v>
      </c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X50" s="2" t="s">
        <v>52</v>
      </c>
      <c r="Y50" s="46"/>
      <c r="Z50" s="46"/>
      <c r="AA50" s="46"/>
      <c r="AB50" s="3"/>
      <c r="AC50" s="3"/>
      <c r="AD50" s="3"/>
      <c r="AE50" s="331"/>
      <c r="AF50" s="201">
        <f t="shared" si="6"/>
        <v>0</v>
      </c>
      <c r="AG50" s="201">
        <f>'C-car.5'!U43</f>
        <v>0</v>
      </c>
      <c r="AH50" s="201">
        <f>'C-car.5'!V43</f>
        <v>0</v>
      </c>
      <c r="AI50" s="201">
        <f>'C-car.5'!W43</f>
        <v>0</v>
      </c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X51" s="201">
        <f>AN29</f>
        <v>0</v>
      </c>
      <c r="Y51" s="201">
        <f>AN30</f>
        <v>0</v>
      </c>
      <c r="Z51" s="201">
        <f>AN38</f>
        <v>0</v>
      </c>
      <c r="AA51" s="201">
        <f>AN39</f>
        <v>0</v>
      </c>
      <c r="AB51" s="11"/>
      <c r="AC51" s="11"/>
      <c r="AD51" s="11"/>
      <c r="AE51" s="331"/>
      <c r="AF51" s="204">
        <f t="shared" si="6"/>
        <v>0</v>
      </c>
      <c r="AG51" s="204">
        <f>'C-car.5'!U44</f>
        <v>0</v>
      </c>
      <c r="AH51" s="204">
        <f>'C-car.5'!V44</f>
        <v>0</v>
      </c>
      <c r="AI51" s="204">
        <f>'C-car.5'!W44</f>
        <v>0</v>
      </c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ht="12" customHeight="1" x14ac:dyDescent="0.2">
      <c r="X52" s="46"/>
      <c r="Y52" s="46"/>
      <c r="Z52" s="3"/>
      <c r="AA52" s="3"/>
      <c r="AB52" s="3"/>
      <c r="AC52" s="3"/>
      <c r="AD52" s="3"/>
      <c r="AE52" s="330" t="s">
        <v>30</v>
      </c>
      <c r="AF52" s="203">
        <f t="shared" si="6"/>
        <v>0</v>
      </c>
      <c r="AG52" s="203">
        <f>'C-car.5'!U45</f>
        <v>0</v>
      </c>
      <c r="AH52" s="203">
        <f>'C-car.5'!V45</f>
        <v>0</v>
      </c>
      <c r="AI52" s="203">
        <f>'C-car.5'!W45</f>
        <v>0</v>
      </c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X53" s="2" t="s">
        <v>53</v>
      </c>
      <c r="Y53" s="46"/>
      <c r="Z53" s="3"/>
      <c r="AA53" s="3"/>
      <c r="AB53" s="3"/>
      <c r="AC53" s="3"/>
      <c r="AD53" s="3"/>
      <c r="AE53" s="330"/>
      <c r="AF53" s="201">
        <f t="shared" si="6"/>
        <v>0.15</v>
      </c>
      <c r="AG53" s="201">
        <f>'C-car.5'!U46</f>
        <v>0.15</v>
      </c>
      <c r="AH53" s="201">
        <f>'C-car.5'!V46</f>
        <v>0</v>
      </c>
      <c r="AI53" s="201">
        <f>'C-car.5'!W46</f>
        <v>0</v>
      </c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X54" s="201">
        <f>AI51</f>
        <v>0</v>
      </c>
      <c r="Y54" s="201">
        <f>AI52</f>
        <v>0</v>
      </c>
      <c r="Z54" s="201">
        <f>AI60</f>
        <v>0</v>
      </c>
      <c r="AA54" s="201">
        <f>AI61</f>
        <v>0</v>
      </c>
      <c r="AB54" s="11"/>
      <c r="AC54" s="11"/>
      <c r="AD54" s="11"/>
      <c r="AE54" s="330"/>
      <c r="AF54" s="201">
        <f t="shared" si="6"/>
        <v>0.3</v>
      </c>
      <c r="AG54" s="201">
        <f>'C-car.5'!U47</f>
        <v>0.3</v>
      </c>
      <c r="AH54" s="201">
        <f>'C-car.5'!V47</f>
        <v>0</v>
      </c>
      <c r="AI54" s="201">
        <f>'C-car.5'!W47</f>
        <v>0</v>
      </c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6"/>
      <c r="V55" s="6"/>
      <c r="W55" s="3"/>
      <c r="X55" s="3"/>
      <c r="Y55" s="6"/>
      <c r="Z55" s="6"/>
      <c r="AA55" s="6"/>
      <c r="AB55" s="6"/>
      <c r="AC55" s="6"/>
      <c r="AD55" s="6"/>
      <c r="AE55" s="330"/>
      <c r="AF55" s="201">
        <f t="shared" si="6"/>
        <v>0.44999999999999996</v>
      </c>
      <c r="AG55" s="201">
        <f>'C-car.5'!U48</f>
        <v>0.44999999999999996</v>
      </c>
      <c r="AH55" s="201">
        <f>'C-car.5'!V48</f>
        <v>0</v>
      </c>
      <c r="AI55" s="201">
        <f>'C-car.5'!W48</f>
        <v>0</v>
      </c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6"/>
      <c r="V56" s="6"/>
      <c r="W56" s="6"/>
      <c r="X56" s="6"/>
      <c r="Y56" s="6"/>
      <c r="Z56" s="6"/>
      <c r="AA56" s="6"/>
      <c r="AB56" s="6"/>
      <c r="AC56" s="6"/>
      <c r="AD56" s="6"/>
      <c r="AE56" s="330"/>
      <c r="AF56" s="201">
        <f t="shared" si="6"/>
        <v>0.6</v>
      </c>
      <c r="AG56" s="201">
        <f>'C-car.5'!U49</f>
        <v>0.6</v>
      </c>
      <c r="AH56" s="201">
        <f>'C-car.5'!V49</f>
        <v>0</v>
      </c>
      <c r="AI56" s="201">
        <f>'C-car.5'!W49</f>
        <v>0</v>
      </c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6"/>
      <c r="Y57" s="333" t="s">
        <v>68</v>
      </c>
      <c r="Z57" s="333"/>
      <c r="AB57" s="51"/>
      <c r="AC57" s="6"/>
      <c r="AD57" s="6"/>
      <c r="AE57" s="330"/>
      <c r="AF57" s="201">
        <f t="shared" si="6"/>
        <v>0.75</v>
      </c>
      <c r="AG57" s="201">
        <f>'C-car.5'!U50</f>
        <v>0.75</v>
      </c>
      <c r="AH57" s="201">
        <f>'C-car.5'!V50</f>
        <v>0</v>
      </c>
      <c r="AI57" s="201">
        <f>'C-car.5'!W50</f>
        <v>0</v>
      </c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6"/>
      <c r="X58" s="6"/>
      <c r="Y58" s="43" t="s">
        <v>0</v>
      </c>
      <c r="Z58" s="43" t="s">
        <v>1</v>
      </c>
      <c r="AB58" s="3"/>
      <c r="AC58" s="6"/>
      <c r="AD58" s="6"/>
      <c r="AE58" s="330"/>
      <c r="AF58" s="201">
        <f t="shared" si="6"/>
        <v>0.89999999999999991</v>
      </c>
      <c r="AG58" s="201">
        <f>'C-car.5'!U51</f>
        <v>0.89999999999999991</v>
      </c>
      <c r="AH58" s="201">
        <f>'C-car.5'!V51</f>
        <v>0</v>
      </c>
      <c r="AI58" s="201">
        <f>'C-car.5'!W51</f>
        <v>0</v>
      </c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6"/>
      <c r="Y59" s="334" t="s">
        <v>67</v>
      </c>
      <c r="Z59" s="334"/>
      <c r="AB59" s="51"/>
      <c r="AC59" s="6"/>
      <c r="AD59" s="6"/>
      <c r="AE59" s="330"/>
      <c r="AF59" s="201">
        <f t="shared" si="6"/>
        <v>1.05</v>
      </c>
      <c r="AG59" s="201">
        <f>'C-car.5'!U52</f>
        <v>1.05</v>
      </c>
      <c r="AH59" s="201">
        <f>'C-car.5'!V52</f>
        <v>0</v>
      </c>
      <c r="AI59" s="201">
        <f>'C-car.5'!W52</f>
        <v>0</v>
      </c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6"/>
      <c r="X60" s="42" t="s">
        <v>49</v>
      </c>
      <c r="Y60" s="201">
        <f>'C-car.1'!O26</f>
        <v>2.4839999999999995</v>
      </c>
      <c r="Z60" s="201">
        <f>'C-car.1'!P26</f>
        <v>2.4839999999999995</v>
      </c>
      <c r="AB60" s="11"/>
      <c r="AC60" s="6"/>
      <c r="AD60" s="6"/>
      <c r="AE60" s="330"/>
      <c r="AF60" s="204">
        <f t="shared" si="6"/>
        <v>1.2</v>
      </c>
      <c r="AG60" s="204">
        <f>'C-car.5'!U53</f>
        <v>1.2</v>
      </c>
      <c r="AH60" s="204">
        <f>'C-car.5'!V53</f>
        <v>0</v>
      </c>
      <c r="AI60" s="204">
        <f>'C-car.5'!W53</f>
        <v>0</v>
      </c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ht="12" customHeight="1" x14ac:dyDescent="0.2">
      <c r="U61" s="6"/>
      <c r="X61" s="42" t="s">
        <v>50</v>
      </c>
      <c r="Y61" s="201">
        <f>'C-car.2'!O26</f>
        <v>0</v>
      </c>
      <c r="Z61" s="201">
        <f>'C-car.2'!P26</f>
        <v>0</v>
      </c>
      <c r="AB61" s="11"/>
      <c r="AC61" s="6"/>
      <c r="AD61" s="6"/>
      <c r="AE61" s="331" t="s">
        <v>57</v>
      </c>
      <c r="AF61" s="203">
        <f t="shared" si="6"/>
        <v>0</v>
      </c>
      <c r="AG61" s="203">
        <f>'C-car.5'!U54</f>
        <v>1.2</v>
      </c>
      <c r="AH61" s="203">
        <f>'C-car.5'!V54</f>
        <v>0</v>
      </c>
      <c r="AI61" s="203">
        <f>'C-car.5'!W54</f>
        <v>0</v>
      </c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6"/>
      <c r="X62" s="42" t="s">
        <v>51</v>
      </c>
      <c r="Y62" s="201">
        <f>'C-car.3'!O26</f>
        <v>0</v>
      </c>
      <c r="Z62" s="201">
        <f>'C-car.3'!P26</f>
        <v>0</v>
      </c>
      <c r="AB62" s="11"/>
      <c r="AC62" s="6"/>
      <c r="AD62" s="6"/>
      <c r="AE62" s="331"/>
      <c r="AF62" s="201">
        <f t="shared" si="6"/>
        <v>0</v>
      </c>
      <c r="AG62" s="201">
        <f>'C-car.5'!U55</f>
        <v>1.2</v>
      </c>
      <c r="AH62" s="201">
        <f>'C-car.5'!V55</f>
        <v>0</v>
      </c>
      <c r="AI62" s="201">
        <f>'C-car.5'!W55</f>
        <v>0</v>
      </c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6"/>
      <c r="V63" s="6"/>
      <c r="X63" s="42" t="s">
        <v>52</v>
      </c>
      <c r="Y63" s="201">
        <f>'C-car.4'!O26</f>
        <v>0</v>
      </c>
      <c r="Z63" s="201">
        <f>'C-car.4'!P26</f>
        <v>0</v>
      </c>
      <c r="AB63" s="11"/>
      <c r="AC63" s="6"/>
      <c r="AD63" s="6"/>
      <c r="AE63" s="331"/>
      <c r="AF63" s="201">
        <f t="shared" si="6"/>
        <v>0</v>
      </c>
      <c r="AG63" s="201">
        <f>'C-car.5'!U56</f>
        <v>1.2</v>
      </c>
      <c r="AH63" s="201">
        <f>'C-car.5'!V56</f>
        <v>0</v>
      </c>
      <c r="AI63" s="201">
        <f>'C-car.5'!W56</f>
        <v>0</v>
      </c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6"/>
      <c r="V64" s="6"/>
      <c r="X64" s="42" t="s">
        <v>53</v>
      </c>
      <c r="Y64" s="201">
        <f>'C-car.5'!O26</f>
        <v>0</v>
      </c>
      <c r="Z64" s="201">
        <f>'C-car.5'!P26</f>
        <v>0</v>
      </c>
      <c r="AB64" s="11"/>
      <c r="AC64" s="6"/>
      <c r="AD64" s="6"/>
      <c r="AE64" s="331"/>
      <c r="AF64" s="204">
        <f t="shared" si="6"/>
        <v>0</v>
      </c>
      <c r="AG64" s="204">
        <f>'C-car.5'!U57</f>
        <v>1.2</v>
      </c>
      <c r="AH64" s="204">
        <f>'C-car.5'!V57</f>
        <v>0</v>
      </c>
      <c r="AI64" s="204">
        <f>'C-car.5'!W57</f>
        <v>0</v>
      </c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5"/>
      <c r="C70" s="123" t="str">
        <f>E6</f>
        <v>acciaio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27" t="s">
        <v>31</v>
      </c>
      <c r="B74" s="328"/>
      <c r="C74" s="328"/>
      <c r="D74" s="328"/>
      <c r="E74" s="328"/>
      <c r="F74" s="328"/>
      <c r="G74" s="328"/>
      <c r="H74" s="328"/>
      <c r="I74" s="328"/>
      <c r="J74" s="329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25"/>
      <c r="B76" s="3"/>
      <c r="C76" s="3"/>
      <c r="D76" s="45" t="s">
        <v>30</v>
      </c>
      <c r="E76" s="274" t="s">
        <v>38</v>
      </c>
      <c r="F76" s="274" t="s">
        <v>39</v>
      </c>
      <c r="G76" s="274" t="s">
        <v>40</v>
      </c>
      <c r="H76" s="3"/>
      <c r="I76" s="3"/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6"/>
      <c r="B77" s="273"/>
      <c r="C77" s="273"/>
      <c r="D77" s="273"/>
      <c r="E77" s="268">
        <v>1</v>
      </c>
      <c r="F77" s="282">
        <f>F19/10^8</f>
        <v>9.9999999999999995E-8</v>
      </c>
      <c r="G77" s="269">
        <f>E77*F77</f>
        <v>9.9999999999999995E-8</v>
      </c>
      <c r="H77" s="273"/>
      <c r="I77" s="273"/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24">
    <mergeCell ref="AJ4:AJ7"/>
    <mergeCell ref="AJ8:AJ16"/>
    <mergeCell ref="AJ17:AJ20"/>
    <mergeCell ref="AJ26:AJ29"/>
    <mergeCell ref="AJ30:AJ38"/>
    <mergeCell ref="AJ39:AJ42"/>
    <mergeCell ref="AE48:AE51"/>
    <mergeCell ref="AE52:AE60"/>
    <mergeCell ref="X38:AA38"/>
    <mergeCell ref="X40:AA40"/>
    <mergeCell ref="A1:J1"/>
    <mergeCell ref="A74:J74"/>
    <mergeCell ref="AE8:AE16"/>
    <mergeCell ref="AE4:AE7"/>
    <mergeCell ref="AE17:AE20"/>
    <mergeCell ref="E6:G6"/>
    <mergeCell ref="AE61:AE64"/>
    <mergeCell ref="AE26:AE29"/>
    <mergeCell ref="AE30:AE38"/>
    <mergeCell ref="AE39:AE42"/>
    <mergeCell ref="Y57:Z57"/>
    <mergeCell ref="Y59:Z59"/>
    <mergeCell ref="E10:G10"/>
    <mergeCell ref="E24:G24"/>
  </mergeCells>
  <dataValidations disablePrompts="1" count="10">
    <dataValidation type="list" allowBlank="1" showInputMessage="1" showErrorMessage="1" sqref="G14 E14" xr:uid="{00000000-0002-0000-0100-000000000000}">
      <formula1>$A$70:$A$71</formula1>
    </dataValidation>
    <dataValidation type="list" allowBlank="1" showInputMessage="1" showErrorMessage="1" sqref="E16" xr:uid="{00000000-0002-0000-0100-000001000000}">
      <formula1>INDIRECT($E$14)</formula1>
    </dataValidation>
    <dataValidation type="list" allowBlank="1" showInputMessage="1" showErrorMessage="1" sqref="E17" xr:uid="{00000000-0002-0000-0100-000002000000}">
      <formula1>INDIRECT($E$16)</formula1>
    </dataValidation>
    <dataValidation type="list" allowBlank="1" showInputMessage="1" showErrorMessage="1" sqref="G17" xr:uid="{00000000-0002-0000-0100-000003000000}">
      <formula1>INDIRECT($G$16)</formula1>
    </dataValidation>
    <dataValidation type="list" allowBlank="1" showInputMessage="1" showErrorMessage="1" sqref="G16" xr:uid="{00000000-0002-0000-0100-000004000000}">
      <formula1>INDIRECT($G$14)</formula1>
    </dataValidation>
    <dataValidation type="list" allowBlank="1" showInputMessage="1" showErrorMessage="1" sqref="F17" xr:uid="{00000000-0002-0000-0100-000005000000}">
      <formula1>INDIRECT($E$6)</formula1>
    </dataValidation>
    <dataValidation type="custom" allowBlank="1" showInputMessage="1" showErrorMessage="1" sqref="F15" xr:uid="{00000000-0002-0000-0100-000006000000}">
      <formula1>F15&gt;0</formula1>
    </dataValidation>
    <dataValidation type="custom" allowBlank="1" showInputMessage="1" showErrorMessage="1" sqref="E15" xr:uid="{00000000-0002-0000-0100-000007000000}">
      <formula1>IF(E14=A71,E15=0,E15&gt;0)</formula1>
    </dataValidation>
    <dataValidation type="custom" allowBlank="1" showInputMessage="1" showErrorMessage="1" sqref="G15" xr:uid="{00000000-0002-0000-0100-000008000000}">
      <formula1>IF(G14=A71,G15=0,G15&gt;0)</formula1>
    </dataValidation>
    <dataValidation type="list" allowBlank="1" showInputMessage="1" showErrorMessage="1" sqref="E6:G6" xr:uid="{00000000-0002-0000-0100-000009000000}">
      <formula1>$I$69:$I$70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acro2">
                <anchor moveWithCells="1" sizeWithCells="1">
                  <from>
                    <xdr:col>7</xdr:col>
                    <xdr:colOff>38100</xdr:colOff>
                    <xdr:row>25</xdr:row>
                    <xdr:rowOff>9525</xdr:rowOff>
                  </from>
                  <to>
                    <xdr:col>7</xdr:col>
                    <xdr:colOff>581025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acro3">
                <anchor moveWithCells="1" sizeWithCells="1">
                  <from>
                    <xdr:col>7</xdr:col>
                    <xdr:colOff>38100</xdr:colOff>
                    <xdr:row>26</xdr:row>
                    <xdr:rowOff>9525</xdr:rowOff>
                  </from>
                  <to>
                    <xdr:col>7</xdr:col>
                    <xdr:colOff>581025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cro4">
                <anchor moveWithCells="1" sizeWithCells="1">
                  <from>
                    <xdr:col>7</xdr:col>
                    <xdr:colOff>38100</xdr:colOff>
                    <xdr:row>27</xdr:row>
                    <xdr:rowOff>9525</xdr:rowOff>
                  </from>
                  <to>
                    <xdr:col>7</xdr:col>
                    <xdr:colOff>581025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acro5">
                <anchor moveWithCells="1" sizeWithCells="1">
                  <from>
                    <xdr:col>7</xdr:col>
                    <xdr:colOff>38100</xdr:colOff>
                    <xdr:row>28</xdr:row>
                    <xdr:rowOff>9525</xdr:rowOff>
                  </from>
                  <to>
                    <xdr:col>7</xdr:col>
                    <xdr:colOff>581025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acro6">
                <anchor moveWithCells="1" sizeWithCells="1">
                  <from>
                    <xdr:col>7</xdr:col>
                    <xdr:colOff>38100</xdr:colOff>
                    <xdr:row>29</xdr:row>
                    <xdr:rowOff>19050</xdr:rowOff>
                  </from>
                  <to>
                    <xdr:col>7</xdr:col>
                    <xdr:colOff>581025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Macro15">
                <anchor moveWithCells="1" sizeWithCells="1">
                  <from>
                    <xdr:col>8</xdr:col>
                    <xdr:colOff>38100</xdr:colOff>
                    <xdr:row>25</xdr:row>
                    <xdr:rowOff>19050</xdr:rowOff>
                  </from>
                  <to>
                    <xdr:col>8</xdr:col>
                    <xdr:colOff>581025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Macro8">
                <anchor moveWithCells="1" sizeWithCells="1">
                  <from>
                    <xdr:col>8</xdr:col>
                    <xdr:colOff>0</xdr:colOff>
                    <xdr:row>0</xdr:row>
                    <xdr:rowOff>38100</xdr:rowOff>
                  </from>
                  <to>
                    <xdr:col>9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Macro34">
                <anchor moveWithCells="1" siz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Macro35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590550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Macro37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6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Macro36">
                <anchor moveWithCells="1" sizeWithCells="1">
                  <from>
                    <xdr:col>4</xdr:col>
                    <xdr:colOff>0</xdr:colOff>
                    <xdr:row>19</xdr:row>
                    <xdr:rowOff>9525</xdr:rowOff>
                  </from>
                  <to>
                    <xdr:col>4</xdr:col>
                    <xdr:colOff>590550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Sezionicadauno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8</xdr:col>
                    <xdr:colOff>552450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Sezioneacciciaodauno">
                <anchor moveWithCells="1" sizeWithCells="1">
                  <from>
                    <xdr:col>7</xdr:col>
                    <xdr:colOff>47625</xdr:colOff>
                    <xdr:row>16</xdr:row>
                    <xdr:rowOff>9525</xdr:rowOff>
                  </from>
                  <to>
                    <xdr:col>8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T100"/>
  <sheetViews>
    <sheetView topLeftCell="G22" zoomScale="85" zoomScaleNormal="85" workbookViewId="0">
      <selection activeCell="K53" sqref="K53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'C-Trave'!E26</f>
        <v>0</v>
      </c>
      <c r="F7" s="14">
        <f>'C-Trave'!F26</f>
        <v>4.1399999999999997</v>
      </c>
      <c r="G7" s="14">
        <f>'C-Trave'!G26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v>10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10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10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10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10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10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10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14.14</v>
      </c>
      <c r="AA20" s="3"/>
      <c r="AB20" s="11"/>
      <c r="AC20" s="11"/>
      <c r="AD20" s="2"/>
      <c r="AE20" s="22"/>
    </row>
    <row r="21" spans="1:46" s="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2.4839999999999995</v>
      </c>
      <c r="O22" s="71">
        <f>(F7*F4^2/2+Q16-Q15)/F4</f>
        <v>2.4839999999999995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10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10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2.4839999999999995</v>
      </c>
      <c r="P26" s="69">
        <f>O22+P22</f>
        <v>2.4839999999999995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10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10</v>
      </c>
      <c r="AA27" s="2"/>
      <c r="AB27" s="95" t="s">
        <v>23</v>
      </c>
      <c r="AC27" s="88">
        <f>N22/F7</f>
        <v>0.6</v>
      </c>
      <c r="AD27" s="88">
        <f>E4+AC27</f>
        <v>0.6</v>
      </c>
      <c r="AE27" s="101">
        <f>N22*AC27-F7*AC27^2/2-Q15</f>
        <v>0.74519999999999986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10</v>
      </c>
      <c r="AA28" s="2"/>
      <c r="AB28" s="48"/>
      <c r="AC28" s="11"/>
      <c r="AD28" s="11"/>
      <c r="AE28" s="50"/>
    </row>
    <row r="29" spans="1:46" s="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10</v>
      </c>
      <c r="AA29" s="2"/>
      <c r="AB29" s="48"/>
      <c r="AC29" s="11"/>
      <c r="AD29" s="11"/>
      <c r="AE29" s="50"/>
    </row>
    <row r="30" spans="1:46" s="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2.4839999999999995</v>
      </c>
      <c r="O31" s="2"/>
      <c r="P31" s="74">
        <f>P30</f>
        <v>1.2</v>
      </c>
      <c r="Q31" s="75">
        <f>P26</f>
        <v>2.4839999999999995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>
        <f>AD27</f>
        <v>0.6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>
        <f>AB34</f>
        <v>0.6</v>
      </c>
      <c r="AC35" s="69">
        <f>AE27</f>
        <v>0.74519999999999986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U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ref="V42:V44" si="2">N42</f>
        <v>0</v>
      </c>
      <c r="W42" s="79">
        <f t="shared" ref="W42:W44" si="3">O42</f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2"/>
        <v>0</v>
      </c>
      <c r="W43" s="79">
        <f t="shared" si="3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2"/>
        <v>0</v>
      </c>
      <c r="W44" s="79">
        <f t="shared" si="3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4">$U$44+M49</f>
        <v>0</v>
      </c>
      <c r="V45" s="10">
        <f>N49</f>
        <v>0</v>
      </c>
      <c r="W45" s="86">
        <f>O49</f>
        <v>2.4839999999999995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4"/>
        <v>0.15</v>
      </c>
      <c r="V46" s="10">
        <f t="shared" ref="V46:W46" si="5">N50</f>
        <v>0.32602499999999995</v>
      </c>
      <c r="W46" s="86">
        <f t="shared" si="5"/>
        <v>1.8629999999999995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4"/>
        <v>0.3</v>
      </c>
      <c r="V47" s="10">
        <f t="shared" ref="V47:W47" si="6">N51</f>
        <v>0.55889999999999995</v>
      </c>
      <c r="W47" s="86">
        <f t="shared" si="6"/>
        <v>1.2419999999999998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4"/>
        <v>0.44999999999999996</v>
      </c>
      <c r="V48" s="10">
        <f t="shared" ref="V48:W48" si="7">N52</f>
        <v>0.69862499999999983</v>
      </c>
      <c r="W48" s="86">
        <f t="shared" si="7"/>
        <v>0.62099999999999977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8">-$Q$15-$F$7*M49^2/2+$N$22*M49</f>
        <v>0</v>
      </c>
      <c r="O49" s="86">
        <f t="shared" ref="O49:O57" si="9">-$F$7*M49+$N$22</f>
        <v>2.4839999999999995</v>
      </c>
      <c r="P49" s="2"/>
      <c r="Q49" s="2"/>
      <c r="R49" s="2"/>
      <c r="S49" s="2"/>
      <c r="T49" s="2"/>
      <c r="U49" s="85">
        <f t="shared" si="4"/>
        <v>0.6</v>
      </c>
      <c r="V49" s="10">
        <f t="shared" ref="V49:W49" si="10">N53</f>
        <v>0.74519999999999986</v>
      </c>
      <c r="W49" s="86">
        <f t="shared" si="10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8"/>
        <v>0.32602499999999995</v>
      </c>
      <c r="O50" s="86">
        <f t="shared" si="9"/>
        <v>1.8629999999999995</v>
      </c>
      <c r="P50" s="2"/>
      <c r="Q50" s="2"/>
      <c r="R50" s="2"/>
      <c r="S50" s="2"/>
      <c r="T50" s="2"/>
      <c r="U50" s="85">
        <f t="shared" si="4"/>
        <v>0.75</v>
      </c>
      <c r="V50" s="10">
        <f t="shared" ref="V50:W50" si="11">N54</f>
        <v>0.69862499999999961</v>
      </c>
      <c r="W50" s="86">
        <f t="shared" si="11"/>
        <v>-0.621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8"/>
        <v>0.55889999999999995</v>
      </c>
      <c r="O51" s="86">
        <f t="shared" si="9"/>
        <v>1.2419999999999998</v>
      </c>
      <c r="P51" s="2"/>
      <c r="Q51" s="2"/>
      <c r="R51" s="2"/>
      <c r="S51" s="2"/>
      <c r="T51" s="2"/>
      <c r="U51" s="85">
        <f t="shared" si="4"/>
        <v>0.89999999999999991</v>
      </c>
      <c r="V51" s="10">
        <f t="shared" ref="V51:W51" si="12">N55</f>
        <v>0.55889999999999995</v>
      </c>
      <c r="W51" s="86">
        <f t="shared" si="12"/>
        <v>-1.242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8"/>
        <v>0.69862499999999983</v>
      </c>
      <c r="O52" s="86">
        <f t="shared" si="9"/>
        <v>0.62099999999999977</v>
      </c>
      <c r="P52" s="2"/>
      <c r="Q52" s="2"/>
      <c r="R52" s="2"/>
      <c r="S52" s="2"/>
      <c r="T52" s="2"/>
      <c r="U52" s="85">
        <f t="shared" si="4"/>
        <v>1.05</v>
      </c>
      <c r="V52" s="10">
        <f t="shared" ref="V52:W52" si="13">N56</f>
        <v>0.32602499999999957</v>
      </c>
      <c r="W52" s="86">
        <f t="shared" si="13"/>
        <v>-1.863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8"/>
        <v>0.74519999999999986</v>
      </c>
      <c r="O53" s="86">
        <f t="shared" si="9"/>
        <v>0</v>
      </c>
      <c r="P53" s="2"/>
      <c r="Q53" s="2"/>
      <c r="R53" s="2"/>
      <c r="S53" s="2"/>
      <c r="T53" s="2"/>
      <c r="U53" s="85">
        <f t="shared" si="4"/>
        <v>1.2</v>
      </c>
      <c r="V53" s="10">
        <f t="shared" ref="V53:W53" si="14">N57</f>
        <v>0</v>
      </c>
      <c r="W53" s="86">
        <f t="shared" si="14"/>
        <v>-2.4839999999999995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8"/>
        <v>0.69862499999999961</v>
      </c>
      <c r="O54" s="86">
        <f t="shared" si="9"/>
        <v>-0.621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8"/>
        <v>0.55889999999999995</v>
      </c>
      <c r="O55" s="86">
        <f t="shared" si="9"/>
        <v>-1.242</v>
      </c>
      <c r="P55" s="2"/>
      <c r="Q55" s="2"/>
      <c r="R55" s="2"/>
      <c r="S55" s="2"/>
      <c r="T55" s="2"/>
      <c r="U55" s="92">
        <f t="shared" ref="U55:U57" si="15">$U$53+Q42</f>
        <v>1.2</v>
      </c>
      <c r="V55" s="82">
        <f t="shared" ref="V55:W55" si="16">R42</f>
        <v>0</v>
      </c>
      <c r="W55" s="93">
        <f t="shared" si="16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8"/>
        <v>0.32602499999999957</v>
      </c>
      <c r="O56" s="86">
        <f t="shared" si="9"/>
        <v>-1.863</v>
      </c>
      <c r="P56" s="2"/>
      <c r="Q56" s="2"/>
      <c r="R56" s="2"/>
      <c r="S56" s="2"/>
      <c r="T56" s="2"/>
      <c r="U56" s="92">
        <f t="shared" si="15"/>
        <v>1.2</v>
      </c>
      <c r="V56" s="82">
        <f t="shared" ref="V56:W56" si="17">R43</f>
        <v>0</v>
      </c>
      <c r="W56" s="93">
        <f t="shared" si="1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8"/>
        <v>0</v>
      </c>
      <c r="O57" s="110">
        <f t="shared" si="9"/>
        <v>-2.4839999999999995</v>
      </c>
      <c r="P57" s="27"/>
      <c r="Q57" s="27"/>
      <c r="R57" s="27"/>
      <c r="S57" s="27"/>
      <c r="T57" s="27"/>
      <c r="U57" s="111">
        <f t="shared" si="15"/>
        <v>1.2</v>
      </c>
      <c r="V57" s="112">
        <f t="shared" ref="V57:W57" si="18">R44</f>
        <v>0</v>
      </c>
      <c r="W57" s="113">
        <f t="shared" si="18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T100"/>
  <sheetViews>
    <sheetView topLeftCell="K7" zoomScale="85" zoomScaleNormal="85" workbookViewId="0">
      <selection activeCell="R35" sqref="R35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'C-Trave'!E27</f>
        <v>0</v>
      </c>
      <c r="F7" s="14">
        <f>'C-Trave'!F27</f>
        <v>0</v>
      </c>
      <c r="G7" s="14">
        <f>'C-Trave'!G27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5+MAX('C-car.1'!Z11:Z29)</f>
        <v>19.14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19.14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19.14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19.14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19.14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19.14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19.14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19.14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19.14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T100"/>
  <sheetViews>
    <sheetView topLeftCell="I4" zoomScale="85" zoomScaleNormal="85" workbookViewId="0">
      <selection activeCell="Z11" sqref="Z11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'C-Trave'!E28</f>
        <v>0</v>
      </c>
      <c r="F7" s="14">
        <f>'C-Trave'!F28</f>
        <v>0</v>
      </c>
      <c r="G7" s="14">
        <f>'C-Trave'!G28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5+MAX('C-car.2'!Z11:Z29)</f>
        <v>24.14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24.14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24.14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24.14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24.14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24.14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24.14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24.14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AT100"/>
  <sheetViews>
    <sheetView topLeftCell="M25" zoomScale="85" zoomScaleNormal="85" workbookViewId="0">
      <selection activeCell="R53" sqref="R53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'C-Trave'!E29</f>
        <v>0</v>
      </c>
      <c r="F7" s="14">
        <f>'C-Trave'!F29</f>
        <v>0</v>
      </c>
      <c r="G7" s="14">
        <f>'C-Trave'!G29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5+MAX('C-car.3'!Z11:Z29)</f>
        <v>29.14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29.14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29.14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29.14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29.14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29.14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29.14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29.14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29.14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T100"/>
  <sheetViews>
    <sheetView topLeftCell="H29" zoomScale="85" zoomScaleNormal="85" workbookViewId="0">
      <selection activeCell="Z12" sqref="Z12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'C-Trave'!E30</f>
        <v>0</v>
      </c>
      <c r="F7" s="14">
        <f>'C-Trave'!F30</f>
        <v>0</v>
      </c>
      <c r="G7" s="14">
        <f>'C-Trave'!G30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5+MAX('C-car.4'!Z11:Z29)</f>
        <v>34.14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34.14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34.14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34.14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34.14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34.14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34.14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34.14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34.14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34.14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34.14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34.14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34.14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34.14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34.14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16"/>
  <sheetViews>
    <sheetView workbookViewId="0">
      <selection activeCell="E7" sqref="E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s="36"/>
      <c r="H1" s="36"/>
      <c r="J1" s="36"/>
      <c r="K1" s="36"/>
    </row>
    <row r="2" spans="1:14" x14ac:dyDescent="0.25">
      <c r="A2" s="29">
        <f>'C-Trave'!E15</f>
        <v>0</v>
      </c>
      <c r="B2" s="30">
        <v>0</v>
      </c>
      <c r="D2" s="29">
        <f>'C-Trave'!E15+'C-Trave'!F15</f>
        <v>1.2</v>
      </c>
      <c r="E2" s="30">
        <v>0</v>
      </c>
      <c r="G2" s="37"/>
      <c r="H2" s="33"/>
      <c r="J2" s="37"/>
      <c r="K2" s="33"/>
      <c r="M2" s="37"/>
      <c r="N2" s="33"/>
    </row>
    <row r="3" spans="1:14" x14ac:dyDescent="0.25">
      <c r="A3" s="29">
        <f>A2-0.2</f>
        <v>-0.2</v>
      </c>
      <c r="B3" s="30">
        <v>-4</v>
      </c>
      <c r="D3" s="29">
        <f>D2-0.2</f>
        <v>1</v>
      </c>
      <c r="E3" s="30">
        <v>-4</v>
      </c>
      <c r="G3" s="37"/>
      <c r="H3" s="33"/>
      <c r="J3" s="37"/>
      <c r="K3" s="33"/>
      <c r="M3" s="37"/>
      <c r="N3" s="33"/>
    </row>
    <row r="4" spans="1:14" x14ac:dyDescent="0.25">
      <c r="A4" s="29">
        <f>A2+0.2</f>
        <v>0.2</v>
      </c>
      <c r="B4" s="30">
        <f>B3</f>
        <v>-4</v>
      </c>
      <c r="D4" s="29">
        <f>D2+0.2</f>
        <v>1.4</v>
      </c>
      <c r="E4" s="30">
        <f>E3</f>
        <v>-4</v>
      </c>
      <c r="G4" s="37"/>
      <c r="H4" s="33"/>
      <c r="J4" s="37"/>
      <c r="K4" s="33"/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1.2</v>
      </c>
      <c r="E5" s="30">
        <f>E2</f>
        <v>0</v>
      </c>
      <c r="G5" s="37"/>
      <c r="H5" s="33"/>
      <c r="J5" s="37"/>
      <c r="K5" s="33"/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BD99"/>
  <sheetViews>
    <sheetView showGridLines="0" topLeftCell="C1" zoomScaleNormal="100" workbookViewId="0">
      <selection activeCell="E30" sqref="E30"/>
    </sheetView>
  </sheetViews>
  <sheetFormatPr defaultColWidth="9.140625" defaultRowHeight="12" x14ac:dyDescent="0.2"/>
  <cols>
    <col min="1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26" t="s">
        <v>468</v>
      </c>
      <c r="B1" s="326"/>
      <c r="C1" s="326"/>
      <c r="D1" s="326"/>
      <c r="E1" s="326"/>
      <c r="F1" s="326"/>
      <c r="G1" s="326"/>
      <c r="H1" s="326"/>
      <c r="I1" s="326"/>
      <c r="J1" s="326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O2" s="12"/>
      <c r="AE2" s="117"/>
      <c r="AF2" s="118" t="s">
        <v>54</v>
      </c>
      <c r="AG2" s="39" t="s">
        <v>55</v>
      </c>
      <c r="AH2" s="39" t="s">
        <v>3</v>
      </c>
      <c r="AI2" s="39" t="s">
        <v>4</v>
      </c>
      <c r="AJ2" s="117"/>
      <c r="AK2" s="118" t="s">
        <v>54</v>
      </c>
      <c r="AL2" s="39" t="s">
        <v>55</v>
      </c>
      <c r="AM2" s="39" t="s">
        <v>3</v>
      </c>
      <c r="AN2" s="39" t="s">
        <v>4</v>
      </c>
      <c r="AP2" s="118" t="s">
        <v>54</v>
      </c>
      <c r="AQ2" s="39" t="s">
        <v>55</v>
      </c>
      <c r="AR2" s="39" t="s">
        <v>3</v>
      </c>
      <c r="AS2" s="39" t="s">
        <v>4</v>
      </c>
      <c r="AU2" s="118" t="s">
        <v>54</v>
      </c>
      <c r="AV2" s="39" t="s">
        <v>55</v>
      </c>
      <c r="AW2" s="39" t="s">
        <v>3</v>
      </c>
      <c r="AX2" s="39" t="s">
        <v>4</v>
      </c>
      <c r="AZ2" s="118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">
      <c r="L3" s="12"/>
      <c r="N3" s="5"/>
      <c r="O3" s="5"/>
      <c r="P3" s="5"/>
      <c r="Q3" s="5"/>
      <c r="AF3" s="115" t="s">
        <v>59</v>
      </c>
      <c r="AG3" s="115" t="s">
        <v>59</v>
      </c>
      <c r="AH3" s="115" t="s">
        <v>60</v>
      </c>
      <c r="AI3" s="115" t="s">
        <v>61</v>
      </c>
      <c r="AJ3" s="116"/>
      <c r="AK3" s="115" t="s">
        <v>59</v>
      </c>
      <c r="AL3" s="115" t="s">
        <v>59</v>
      </c>
      <c r="AM3" s="115" t="s">
        <v>60</v>
      </c>
      <c r="AN3" s="115" t="s">
        <v>61</v>
      </c>
      <c r="AP3" s="115" t="s">
        <v>59</v>
      </c>
      <c r="AQ3" s="115" t="s">
        <v>59</v>
      </c>
      <c r="AR3" s="115" t="s">
        <v>60</v>
      </c>
      <c r="AS3" s="115" t="s">
        <v>61</v>
      </c>
      <c r="AU3" s="115" t="s">
        <v>59</v>
      </c>
      <c r="AV3" s="115" t="s">
        <v>59</v>
      </c>
      <c r="AW3" s="115" t="s">
        <v>60</v>
      </c>
      <c r="AX3" s="115" t="s">
        <v>61</v>
      </c>
      <c r="AZ3" s="115" t="s">
        <v>59</v>
      </c>
      <c r="BA3" s="115" t="s">
        <v>59</v>
      </c>
      <c r="BB3" s="115" t="s">
        <v>60</v>
      </c>
      <c r="BC3" s="115" t="s">
        <v>61</v>
      </c>
    </row>
    <row r="4" spans="1:56" ht="12" customHeight="1" x14ac:dyDescent="0.2">
      <c r="D4" s="3"/>
      <c r="E4" s="335" t="s">
        <v>465</v>
      </c>
      <c r="F4" s="335"/>
      <c r="G4" s="335"/>
      <c r="H4" s="335"/>
      <c r="AE4" s="331" t="s">
        <v>56</v>
      </c>
      <c r="AF4" s="203">
        <f>AG4</f>
        <v>0</v>
      </c>
      <c r="AG4" s="203">
        <f>'CC-car.1'!AD47</f>
        <v>0</v>
      </c>
      <c r="AH4" s="203">
        <f>'CC-car.1'!AE47</f>
        <v>0</v>
      </c>
      <c r="AI4" s="203">
        <f>'CC-car.1'!AF47</f>
        <v>0</v>
      </c>
      <c r="AJ4" s="331" t="s">
        <v>56</v>
      </c>
      <c r="AK4" s="203">
        <f>AF4</f>
        <v>0</v>
      </c>
      <c r="AL4" s="203">
        <f>'CC-car.2'!AD47</f>
        <v>0</v>
      </c>
      <c r="AM4" s="203">
        <f>'CC-car.2'!AE47</f>
        <v>0</v>
      </c>
      <c r="AN4" s="203">
        <f>'CC-car.2'!AF47</f>
        <v>0</v>
      </c>
      <c r="AO4" s="331" t="s">
        <v>56</v>
      </c>
      <c r="AP4" s="203">
        <f>AF4</f>
        <v>0</v>
      </c>
      <c r="AQ4" s="203">
        <f>'CC-car.3'!AD47</f>
        <v>0</v>
      </c>
      <c r="AR4" s="203">
        <f>'CC-car.3'!AE47</f>
        <v>0</v>
      </c>
      <c r="AS4" s="203">
        <f>'CC-car.3'!AF47</f>
        <v>0</v>
      </c>
      <c r="AT4" s="331" t="s">
        <v>56</v>
      </c>
      <c r="AU4" s="203">
        <f>AF4</f>
        <v>0</v>
      </c>
      <c r="AV4" s="203">
        <f>'CC-car.4'!AD47</f>
        <v>0</v>
      </c>
      <c r="AW4" s="203">
        <f>'CC-car.4'!AE47</f>
        <v>0</v>
      </c>
      <c r="AX4" s="203">
        <f>'CC-car.4'!AF47</f>
        <v>0</v>
      </c>
      <c r="AY4" s="331" t="s">
        <v>56</v>
      </c>
      <c r="AZ4" s="203">
        <f>AF4</f>
        <v>0</v>
      </c>
      <c r="BA4" s="203">
        <f>'CC-car.5'!AD47</f>
        <v>0</v>
      </c>
      <c r="BB4" s="203">
        <f>'CC-car.5'!AE47</f>
        <v>0</v>
      </c>
      <c r="BC4" s="203">
        <f>'CC-car.5'!AF47</f>
        <v>0</v>
      </c>
    </row>
    <row r="5" spans="1:56" x14ac:dyDescent="0.2">
      <c r="AE5" s="331"/>
      <c r="AF5" s="201">
        <f t="shared" ref="AF5:AF7" si="0">AG5</f>
        <v>0</v>
      </c>
      <c r="AG5" s="201">
        <f>'CC-car.1'!AD48</f>
        <v>0</v>
      </c>
      <c r="AH5" s="201">
        <f>'CC-car.1'!AE48</f>
        <v>0</v>
      </c>
      <c r="AI5" s="201">
        <f>'CC-car.1'!AF48</f>
        <v>0</v>
      </c>
      <c r="AJ5" s="331"/>
      <c r="AK5" s="201">
        <f t="shared" ref="AK5:AK29" si="1">AF5</f>
        <v>0</v>
      </c>
      <c r="AL5" s="201">
        <f>'CC-car.2'!AD48</f>
        <v>0</v>
      </c>
      <c r="AM5" s="201">
        <f>'CC-car.2'!AE48</f>
        <v>0</v>
      </c>
      <c r="AN5" s="201">
        <f>'CC-car.2'!AF48</f>
        <v>0</v>
      </c>
      <c r="AO5" s="331"/>
      <c r="AP5" s="201">
        <f t="shared" ref="AP5:AP29" si="2">AF5</f>
        <v>0</v>
      </c>
      <c r="AQ5" s="201">
        <f>'CC-car.3'!AD48</f>
        <v>0</v>
      </c>
      <c r="AR5" s="201">
        <f>'CC-car.3'!AE48</f>
        <v>0</v>
      </c>
      <c r="AS5" s="201">
        <f>'CC-car.3'!AF48</f>
        <v>0</v>
      </c>
      <c r="AT5" s="331"/>
      <c r="AU5" s="201">
        <f t="shared" ref="AU5:AU29" si="3">AF5</f>
        <v>0</v>
      </c>
      <c r="AV5" s="201">
        <f>'CC-car.4'!AD48</f>
        <v>0</v>
      </c>
      <c r="AW5" s="201">
        <f>'CC-car.4'!AE48</f>
        <v>0</v>
      </c>
      <c r="AX5" s="201">
        <f>'CC-car.4'!AF48</f>
        <v>0</v>
      </c>
      <c r="AY5" s="331"/>
      <c r="AZ5" s="201">
        <f t="shared" ref="AZ5:AZ29" si="4">AF5</f>
        <v>0</v>
      </c>
      <c r="BA5" s="201">
        <f>'CC-car.5'!AD48</f>
        <v>0</v>
      </c>
      <c r="BB5" s="201">
        <f>'CC-car.5'!AE48</f>
        <v>0</v>
      </c>
      <c r="BC5" s="201">
        <f>'CC-car.5'!AF48</f>
        <v>0</v>
      </c>
    </row>
    <row r="6" spans="1:56" x14ac:dyDescent="0.2">
      <c r="E6" s="332" t="s">
        <v>452</v>
      </c>
      <c r="F6" s="332"/>
      <c r="G6" s="332"/>
      <c r="H6" s="332"/>
      <c r="AE6" s="331"/>
      <c r="AF6" s="201">
        <f t="shared" si="0"/>
        <v>0</v>
      </c>
      <c r="AG6" s="201">
        <f>'CC-car.1'!AD49</f>
        <v>0</v>
      </c>
      <c r="AH6" s="201">
        <f>'CC-car.1'!AE49</f>
        <v>0</v>
      </c>
      <c r="AI6" s="201">
        <f>'CC-car.1'!AF49</f>
        <v>0</v>
      </c>
      <c r="AJ6" s="331"/>
      <c r="AK6" s="201">
        <f t="shared" si="1"/>
        <v>0</v>
      </c>
      <c r="AL6" s="201">
        <f>'CC-car.2'!AD49</f>
        <v>0</v>
      </c>
      <c r="AM6" s="201">
        <f>'CC-car.2'!AE49</f>
        <v>0</v>
      </c>
      <c r="AN6" s="201">
        <f>'CC-car.2'!AF49</f>
        <v>0</v>
      </c>
      <c r="AO6" s="331"/>
      <c r="AP6" s="201">
        <f t="shared" si="2"/>
        <v>0</v>
      </c>
      <c r="AQ6" s="201">
        <f>'CC-car.3'!AD49</f>
        <v>0</v>
      </c>
      <c r="AR6" s="201">
        <f>'CC-car.3'!AE49</f>
        <v>0</v>
      </c>
      <c r="AS6" s="201">
        <f>'CC-car.3'!AF49</f>
        <v>0</v>
      </c>
      <c r="AT6" s="331"/>
      <c r="AU6" s="201">
        <f t="shared" si="3"/>
        <v>0</v>
      </c>
      <c r="AV6" s="201">
        <f>'CC-car.4'!AD49</f>
        <v>0</v>
      </c>
      <c r="AW6" s="201">
        <f>'CC-car.4'!AE49</f>
        <v>0</v>
      </c>
      <c r="AX6" s="201">
        <f>'CC-car.4'!AF49</f>
        <v>0</v>
      </c>
      <c r="AY6" s="331"/>
      <c r="AZ6" s="201">
        <f t="shared" si="4"/>
        <v>0</v>
      </c>
      <c r="BA6" s="201">
        <f>'CC-car.5'!AD49</f>
        <v>0</v>
      </c>
      <c r="BB6" s="201">
        <f>'CC-car.5'!AE49</f>
        <v>0</v>
      </c>
      <c r="BC6" s="201">
        <f>'CC-car.5'!AF49</f>
        <v>0</v>
      </c>
    </row>
    <row r="7" spans="1:56" ht="12" customHeight="1" x14ac:dyDescent="0.2">
      <c r="AE7" s="331"/>
      <c r="AF7" s="204">
        <f t="shared" si="0"/>
        <v>0</v>
      </c>
      <c r="AG7" s="204">
        <f>'CC-car.1'!AD50</f>
        <v>0</v>
      </c>
      <c r="AH7" s="204">
        <f>'CC-car.1'!AE50</f>
        <v>0</v>
      </c>
      <c r="AI7" s="204">
        <f>'CC-car.1'!AF50</f>
        <v>0</v>
      </c>
      <c r="AJ7" s="331"/>
      <c r="AK7" s="204">
        <f t="shared" si="1"/>
        <v>0</v>
      </c>
      <c r="AL7" s="204">
        <f>'CC-car.2'!AD50</f>
        <v>0</v>
      </c>
      <c r="AM7" s="204">
        <f>'CC-car.2'!AE50</f>
        <v>0</v>
      </c>
      <c r="AN7" s="204">
        <f>'CC-car.2'!AF50</f>
        <v>0</v>
      </c>
      <c r="AO7" s="331"/>
      <c r="AP7" s="204">
        <f t="shared" si="2"/>
        <v>0</v>
      </c>
      <c r="AQ7" s="204">
        <f>'CC-car.3'!AD50</f>
        <v>0</v>
      </c>
      <c r="AR7" s="204">
        <f>'CC-car.3'!AE50</f>
        <v>0</v>
      </c>
      <c r="AS7" s="204">
        <f>'CC-car.3'!AF50</f>
        <v>0</v>
      </c>
      <c r="AT7" s="331"/>
      <c r="AU7" s="204">
        <f t="shared" si="3"/>
        <v>0</v>
      </c>
      <c r="AV7" s="204">
        <f>'CC-car.4'!AD50</f>
        <v>0</v>
      </c>
      <c r="AW7" s="204">
        <f>'CC-car.4'!AE50</f>
        <v>0</v>
      </c>
      <c r="AX7" s="204">
        <f>'CC-car.4'!AF50</f>
        <v>0</v>
      </c>
      <c r="AY7" s="331"/>
      <c r="AZ7" s="204">
        <f t="shared" si="4"/>
        <v>0</v>
      </c>
      <c r="BA7" s="204">
        <f>'CC-car.5'!AD50</f>
        <v>0</v>
      </c>
      <c r="BB7" s="204">
        <f>'CC-car.5'!AE50</f>
        <v>0</v>
      </c>
      <c r="BC7" s="204">
        <f>'CC-car.5'!AF50</f>
        <v>0</v>
      </c>
    </row>
    <row r="8" spans="1:56" ht="12" customHeight="1" x14ac:dyDescent="0.2">
      <c r="AE8" s="330" t="s">
        <v>30</v>
      </c>
      <c r="AF8" s="203">
        <f t="shared" ref="AF8:AF16" si="5">AG8-$AG$7</f>
        <v>0</v>
      </c>
      <c r="AG8" s="203">
        <f>'CC-car.1'!AD51</f>
        <v>0</v>
      </c>
      <c r="AH8" s="203">
        <f>'CC-car.1'!AE51</f>
        <v>0</v>
      </c>
      <c r="AI8" s="203">
        <f>'CC-car.1'!AF51</f>
        <v>11.158000000000001</v>
      </c>
      <c r="AJ8" s="330" t="s">
        <v>30</v>
      </c>
      <c r="AK8" s="203">
        <f t="shared" si="1"/>
        <v>0</v>
      </c>
      <c r="AL8" s="203">
        <f>'CC-car.2'!AD51</f>
        <v>0</v>
      </c>
      <c r="AM8" s="203">
        <f>'CC-car.2'!AE51</f>
        <v>0</v>
      </c>
      <c r="AN8" s="203">
        <f>'CC-car.2'!AF51</f>
        <v>22.473733333333335</v>
      </c>
      <c r="AO8" s="330" t="s">
        <v>30</v>
      </c>
      <c r="AP8" s="203">
        <f t="shared" si="2"/>
        <v>0</v>
      </c>
      <c r="AQ8" s="203">
        <f>'CC-car.3'!AD51</f>
        <v>0</v>
      </c>
      <c r="AR8" s="203">
        <f>'CC-car.3'!AE51</f>
        <v>0</v>
      </c>
      <c r="AS8" s="203">
        <f>'CC-car.3'!AF51</f>
        <v>21.491333333333337</v>
      </c>
      <c r="AT8" s="330" t="s">
        <v>30</v>
      </c>
      <c r="AU8" s="203">
        <f t="shared" si="3"/>
        <v>0</v>
      </c>
      <c r="AV8" s="203">
        <f>'CC-car.4'!AD51</f>
        <v>0</v>
      </c>
      <c r="AW8" s="203">
        <f>'CC-car.4'!AE51</f>
        <v>0</v>
      </c>
      <c r="AX8" s="203">
        <f>'CC-car.4'!AF51</f>
        <v>11.287066666666668</v>
      </c>
      <c r="AY8" s="330" t="s">
        <v>30</v>
      </c>
      <c r="AZ8" s="203">
        <f t="shared" si="4"/>
        <v>0</v>
      </c>
      <c r="BA8" s="203">
        <f>'CC-car.5'!AD51</f>
        <v>0</v>
      </c>
      <c r="BB8" s="203">
        <f>'CC-car.5'!AE51</f>
        <v>0</v>
      </c>
      <c r="BC8" s="203">
        <f>'CC-car.5'!AF51</f>
        <v>0</v>
      </c>
    </row>
    <row r="9" spans="1:56" x14ac:dyDescent="0.2">
      <c r="AE9" s="330"/>
      <c r="AF9" s="201">
        <f t="shared" si="5"/>
        <v>0.625</v>
      </c>
      <c r="AG9" s="201">
        <f>'CC-car.1'!AD52</f>
        <v>0.625</v>
      </c>
      <c r="AH9" s="201">
        <f>'CC-car.1'!AE52</f>
        <v>5.8018750000000008</v>
      </c>
      <c r="AI9" s="201">
        <f>'CC-car.1'!AF52</f>
        <v>7.4080000000000013</v>
      </c>
      <c r="AJ9" s="330"/>
      <c r="AK9" s="201">
        <f t="shared" si="1"/>
        <v>0.625</v>
      </c>
      <c r="AL9" s="201">
        <f>'CC-car.2'!AD52</f>
        <v>0.625</v>
      </c>
      <c r="AM9" s="201">
        <f>'CC-car.2'!AE52</f>
        <v>11.936708333333335</v>
      </c>
      <c r="AN9" s="201">
        <f>'CC-car.2'!AF52</f>
        <v>15.723733333333335</v>
      </c>
      <c r="AO9" s="330"/>
      <c r="AP9" s="201">
        <f t="shared" si="2"/>
        <v>0.625</v>
      </c>
      <c r="AQ9" s="201">
        <f>'CC-car.3'!AD52</f>
        <v>0.625</v>
      </c>
      <c r="AR9" s="201">
        <f>'CC-car.3'!AE52</f>
        <v>11.322708333333335</v>
      </c>
      <c r="AS9" s="201">
        <f>'CC-car.3'!AF52</f>
        <v>14.741333333333337</v>
      </c>
      <c r="AT9" s="330"/>
      <c r="AU9" s="201">
        <f t="shared" si="3"/>
        <v>0.625</v>
      </c>
      <c r="AV9" s="201">
        <f>'CC-car.4'!AD52</f>
        <v>0.625</v>
      </c>
      <c r="AW9" s="201">
        <f>'CC-car.4'!AE52</f>
        <v>5.8825416666666674</v>
      </c>
      <c r="AX9" s="201">
        <f>'CC-car.4'!AF52</f>
        <v>7.5370666666666679</v>
      </c>
      <c r="AY9" s="330"/>
      <c r="AZ9" s="201">
        <f t="shared" si="4"/>
        <v>0.625</v>
      </c>
      <c r="BA9" s="201">
        <f>'CC-car.5'!AD52</f>
        <v>0.625</v>
      </c>
      <c r="BB9" s="201">
        <f>'CC-car.5'!AE52</f>
        <v>0</v>
      </c>
      <c r="BC9" s="201">
        <f>'CC-car.5'!AF52</f>
        <v>0</v>
      </c>
    </row>
    <row r="10" spans="1:56" x14ac:dyDescent="0.2">
      <c r="C10" s="286"/>
      <c r="D10" s="286"/>
      <c r="E10" s="335" t="s">
        <v>466</v>
      </c>
      <c r="F10" s="335"/>
      <c r="G10" s="335"/>
      <c r="H10" s="335"/>
      <c r="AE10" s="330"/>
      <c r="AF10" s="201">
        <f t="shared" si="5"/>
        <v>1.25</v>
      </c>
      <c r="AG10" s="201">
        <f>'CC-car.1'!AD53</f>
        <v>1.25</v>
      </c>
      <c r="AH10" s="201">
        <f>'CC-car.1'!AE53</f>
        <v>9.2600000000000016</v>
      </c>
      <c r="AI10" s="201">
        <f>'CC-car.1'!AF53</f>
        <v>3.6580000000000013</v>
      </c>
      <c r="AJ10" s="330"/>
      <c r="AK10" s="201">
        <f t="shared" si="1"/>
        <v>1.25</v>
      </c>
      <c r="AL10" s="201">
        <f>'CC-car.2'!AD53</f>
        <v>1.25</v>
      </c>
      <c r="AM10" s="201">
        <f>'CC-car.2'!AE53</f>
        <v>19.654666666666671</v>
      </c>
      <c r="AN10" s="201">
        <f>'CC-car.2'!AF53</f>
        <v>8.9737333333333353</v>
      </c>
      <c r="AO10" s="330"/>
      <c r="AP10" s="201">
        <f t="shared" si="2"/>
        <v>1.25</v>
      </c>
      <c r="AQ10" s="201">
        <f>'CC-car.3'!AD53</f>
        <v>1.25</v>
      </c>
      <c r="AR10" s="201">
        <f>'CC-car.3'!AE53</f>
        <v>18.426666666666669</v>
      </c>
      <c r="AS10" s="201">
        <f>'CC-car.3'!AF53</f>
        <v>7.991333333333337</v>
      </c>
      <c r="AT10" s="330"/>
      <c r="AU10" s="201">
        <f t="shared" si="3"/>
        <v>1.25</v>
      </c>
      <c r="AV10" s="201">
        <f>'CC-car.4'!AD53</f>
        <v>1.25</v>
      </c>
      <c r="AW10" s="201">
        <f>'CC-car.4'!AE53</f>
        <v>9.4213333333333349</v>
      </c>
      <c r="AX10" s="201">
        <f>'CC-car.4'!AF53</f>
        <v>3.7870666666666679</v>
      </c>
      <c r="AY10" s="330"/>
      <c r="AZ10" s="201">
        <f t="shared" si="4"/>
        <v>1.25</v>
      </c>
      <c r="BA10" s="201">
        <f>'CC-car.5'!AD53</f>
        <v>1.25</v>
      </c>
      <c r="BB10" s="201">
        <f>'CC-car.5'!AE53</f>
        <v>0</v>
      </c>
      <c r="BC10" s="201">
        <f>'CC-car.5'!AF53</f>
        <v>0</v>
      </c>
    </row>
    <row r="11" spans="1:56" x14ac:dyDescent="0.2">
      <c r="AE11" s="330"/>
      <c r="AF11" s="201">
        <f t="shared" si="5"/>
        <v>1.875</v>
      </c>
      <c r="AG11" s="201">
        <f>'CC-car.1'!AD54</f>
        <v>1.875</v>
      </c>
      <c r="AH11" s="201">
        <f>'CC-car.1'!AE54</f>
        <v>10.374375000000001</v>
      </c>
      <c r="AI11" s="201">
        <f>'CC-car.1'!AF54</f>
        <v>-9.1999999999998749E-2</v>
      </c>
      <c r="AJ11" s="330"/>
      <c r="AK11" s="201">
        <f t="shared" si="1"/>
        <v>1.875</v>
      </c>
      <c r="AL11" s="201">
        <f>'CC-car.2'!AD54</f>
        <v>1.875</v>
      </c>
      <c r="AM11" s="201">
        <f>'CC-car.2'!AE54</f>
        <v>23.153875000000006</v>
      </c>
      <c r="AN11" s="201">
        <f>'CC-car.2'!AF54</f>
        <v>2.2237333333333353</v>
      </c>
      <c r="AO11" s="330"/>
      <c r="AP11" s="201">
        <f t="shared" si="2"/>
        <v>1.875</v>
      </c>
      <c r="AQ11" s="201">
        <f>'CC-car.3'!AD54</f>
        <v>1.875</v>
      </c>
      <c r="AR11" s="201">
        <f>'CC-car.3'!AE54</f>
        <v>21.311875000000008</v>
      </c>
      <c r="AS11" s="201">
        <f>'CC-car.3'!AF54</f>
        <v>1.241333333333337</v>
      </c>
      <c r="AT11" s="330"/>
      <c r="AU11" s="201">
        <f t="shared" si="3"/>
        <v>1.875</v>
      </c>
      <c r="AV11" s="201">
        <f>'CC-car.4'!AD54</f>
        <v>1.875</v>
      </c>
      <c r="AW11" s="201">
        <f>'CC-car.4'!AE54</f>
        <v>10.616375000000001</v>
      </c>
      <c r="AX11" s="201">
        <f>'CC-car.4'!AF54</f>
        <v>3.7066666666667913E-2</v>
      </c>
      <c r="AY11" s="330"/>
      <c r="AZ11" s="201">
        <f t="shared" si="4"/>
        <v>1.875</v>
      </c>
      <c r="BA11" s="201">
        <f>'CC-car.5'!AD54</f>
        <v>1.875</v>
      </c>
      <c r="BB11" s="201">
        <f>'CC-car.5'!AE54</f>
        <v>0</v>
      </c>
      <c r="BC11" s="201">
        <f>'CC-car.5'!AF54</f>
        <v>0</v>
      </c>
    </row>
    <row r="12" spans="1:56" x14ac:dyDescent="0.2">
      <c r="G12" s="280"/>
      <c r="H12" s="280"/>
      <c r="O12" s="15"/>
      <c r="P12" s="15"/>
      <c r="Q12" s="15"/>
      <c r="R12" s="15"/>
      <c r="AE12" s="330"/>
      <c r="AF12" s="201">
        <f t="shared" si="5"/>
        <v>2.5</v>
      </c>
      <c r="AG12" s="201">
        <f>'CC-car.1'!AD55</f>
        <v>2.5</v>
      </c>
      <c r="AH12" s="201">
        <f>'CC-car.1'!AE55</f>
        <v>9.1450000000000031</v>
      </c>
      <c r="AI12" s="201">
        <f>'CC-car.1'!AF55</f>
        <v>-3.8419999999999987</v>
      </c>
      <c r="AJ12" s="330"/>
      <c r="AK12" s="201">
        <f t="shared" si="1"/>
        <v>2.5</v>
      </c>
      <c r="AL12" s="201">
        <f>'CC-car.2'!AD55</f>
        <v>2.5</v>
      </c>
      <c r="AM12" s="201">
        <f>'CC-car.2'!AE55</f>
        <v>22.434333333333342</v>
      </c>
      <c r="AN12" s="201">
        <f>'CC-car.2'!AF55</f>
        <v>-4.5262666666666647</v>
      </c>
      <c r="AO12" s="330"/>
      <c r="AP12" s="201">
        <f t="shared" si="2"/>
        <v>2.5</v>
      </c>
      <c r="AQ12" s="201">
        <f>'CC-car.3'!AD55</f>
        <v>2.5</v>
      </c>
      <c r="AR12" s="201">
        <f>'CC-car.3'!AE55</f>
        <v>19.978333333333339</v>
      </c>
      <c r="AS12" s="201">
        <f>'CC-car.3'!AF55</f>
        <v>-5.508666666666663</v>
      </c>
      <c r="AT12" s="330"/>
      <c r="AU12" s="201">
        <f t="shared" si="3"/>
        <v>2.5</v>
      </c>
      <c r="AV12" s="201">
        <f>'CC-car.4'!AD55</f>
        <v>2.5</v>
      </c>
      <c r="AW12" s="201">
        <f>'CC-car.4'!AE55</f>
        <v>9.4676666666666698</v>
      </c>
      <c r="AX12" s="201">
        <f>'CC-car.4'!AF55</f>
        <v>-3.7129333333333321</v>
      </c>
      <c r="AY12" s="330"/>
      <c r="AZ12" s="201">
        <f t="shared" si="4"/>
        <v>2.5</v>
      </c>
      <c r="BA12" s="201">
        <f>'CC-car.5'!AD55</f>
        <v>2.5</v>
      </c>
      <c r="BB12" s="201">
        <f>'CC-car.5'!AE55</f>
        <v>0</v>
      </c>
      <c r="BC12" s="201">
        <f>'CC-car.5'!AF55</f>
        <v>0</v>
      </c>
    </row>
    <row r="13" spans="1:56" x14ac:dyDescent="0.2">
      <c r="C13" s="252" t="s">
        <v>451</v>
      </c>
      <c r="D13" s="254"/>
      <c r="E13" s="257" t="s">
        <v>453</v>
      </c>
      <c r="F13" s="254" t="s">
        <v>454</v>
      </c>
      <c r="G13" s="254" t="s">
        <v>455</v>
      </c>
      <c r="H13" s="257" t="s">
        <v>458</v>
      </c>
      <c r="O13" s="15"/>
      <c r="P13" s="15"/>
      <c r="Q13" s="15"/>
      <c r="R13" s="15"/>
      <c r="AE13" s="330"/>
      <c r="AF13" s="201">
        <f t="shared" si="5"/>
        <v>3.125</v>
      </c>
      <c r="AG13" s="201">
        <f>'CC-car.1'!AD56</f>
        <v>3.125</v>
      </c>
      <c r="AH13" s="201">
        <f>'CC-car.1'!AE56</f>
        <v>5.5718750000000057</v>
      </c>
      <c r="AI13" s="201">
        <f>'CC-car.1'!AF56</f>
        <v>-7.5919999999999987</v>
      </c>
      <c r="AJ13" s="330"/>
      <c r="AK13" s="201">
        <f t="shared" si="1"/>
        <v>3.125</v>
      </c>
      <c r="AL13" s="201">
        <f>'CC-car.2'!AD56</f>
        <v>3.125</v>
      </c>
      <c r="AM13" s="201">
        <f>'CC-car.2'!AE56</f>
        <v>17.49604166666667</v>
      </c>
      <c r="AN13" s="201">
        <f>'CC-car.2'!AF56</f>
        <v>-11.276266666666665</v>
      </c>
      <c r="AO13" s="330"/>
      <c r="AP13" s="201">
        <f t="shared" si="2"/>
        <v>3.125</v>
      </c>
      <c r="AQ13" s="201">
        <f>'CC-car.3'!AD56</f>
        <v>3.125</v>
      </c>
      <c r="AR13" s="201">
        <f>'CC-car.3'!AE56</f>
        <v>14.426041666666677</v>
      </c>
      <c r="AS13" s="201">
        <f>'CC-car.3'!AF56</f>
        <v>-12.258666666666663</v>
      </c>
      <c r="AT13" s="330"/>
      <c r="AU13" s="201">
        <f t="shared" si="3"/>
        <v>3.125</v>
      </c>
      <c r="AV13" s="201">
        <f>'CC-car.4'!AD56</f>
        <v>3.125</v>
      </c>
      <c r="AW13" s="201">
        <f>'CC-car.4'!AE56</f>
        <v>5.9752083333333346</v>
      </c>
      <c r="AX13" s="201">
        <f>'CC-car.4'!AF56</f>
        <v>-7.4629333333333321</v>
      </c>
      <c r="AY13" s="330"/>
      <c r="AZ13" s="201">
        <f t="shared" si="4"/>
        <v>3.125</v>
      </c>
      <c r="BA13" s="201">
        <f>'CC-car.5'!AD56</f>
        <v>3.125</v>
      </c>
      <c r="BB13" s="201">
        <f>'CC-car.5'!AE56</f>
        <v>0</v>
      </c>
      <c r="BC13" s="201">
        <f>'CC-car.5'!AF56</f>
        <v>0</v>
      </c>
    </row>
    <row r="14" spans="1:56" x14ac:dyDescent="0.2">
      <c r="E14" s="308" t="s">
        <v>464</v>
      </c>
      <c r="H14" s="307" t="s">
        <v>463</v>
      </c>
      <c r="AE14" s="330"/>
      <c r="AF14" s="201">
        <f t="shared" si="5"/>
        <v>3.75</v>
      </c>
      <c r="AG14" s="201">
        <f>'CC-car.1'!AD57</f>
        <v>3.75</v>
      </c>
      <c r="AH14" s="201">
        <f>'CC-car.1'!AE57</f>
        <v>-0.34499999999999886</v>
      </c>
      <c r="AI14" s="201">
        <f>'CC-car.1'!AF57</f>
        <v>-11.341999999999999</v>
      </c>
      <c r="AJ14" s="330"/>
      <c r="AK14" s="201">
        <f t="shared" si="1"/>
        <v>3.75</v>
      </c>
      <c r="AL14" s="201">
        <f>'CC-car.2'!AD57</f>
        <v>3.75</v>
      </c>
      <c r="AM14" s="201">
        <f>'CC-car.2'!AE57</f>
        <v>8.3390000000000128</v>
      </c>
      <c r="AN14" s="201">
        <f>'CC-car.2'!AF57</f>
        <v>-18.026266666666665</v>
      </c>
      <c r="AO14" s="330"/>
      <c r="AP14" s="201">
        <f t="shared" si="2"/>
        <v>3.75</v>
      </c>
      <c r="AQ14" s="201">
        <f>'CC-car.3'!AD57</f>
        <v>3.75</v>
      </c>
      <c r="AR14" s="201">
        <f>'CC-car.3'!AE57</f>
        <v>4.6550000000000153</v>
      </c>
      <c r="AS14" s="201">
        <f>'CC-car.3'!AF57</f>
        <v>-19.008666666666663</v>
      </c>
      <c r="AT14" s="330"/>
      <c r="AU14" s="201">
        <f t="shared" si="3"/>
        <v>3.75</v>
      </c>
      <c r="AV14" s="201">
        <f>'CC-car.4'!AD57</f>
        <v>3.75</v>
      </c>
      <c r="AW14" s="201">
        <f>'CC-car.4'!AE57</f>
        <v>0.1390000000000029</v>
      </c>
      <c r="AX14" s="201">
        <f>'CC-car.4'!AF57</f>
        <v>-11.212933333333332</v>
      </c>
      <c r="AY14" s="330"/>
      <c r="AZ14" s="201">
        <f t="shared" si="4"/>
        <v>3.75</v>
      </c>
      <c r="BA14" s="201">
        <f>'CC-car.5'!AD57</f>
        <v>3.75</v>
      </c>
      <c r="BB14" s="201">
        <f>'CC-car.5'!AE57</f>
        <v>0</v>
      </c>
      <c r="BC14" s="201">
        <f>'CC-car.5'!AF57</f>
        <v>0</v>
      </c>
    </row>
    <row r="15" spans="1:56" x14ac:dyDescent="0.2">
      <c r="C15" s="252" t="s">
        <v>447</v>
      </c>
      <c r="D15" s="274" t="s">
        <v>449</v>
      </c>
      <c r="E15" s="278">
        <v>0</v>
      </c>
      <c r="F15" s="278">
        <v>5</v>
      </c>
      <c r="G15" s="278">
        <v>4</v>
      </c>
      <c r="H15" s="278">
        <v>1.1000000000000001</v>
      </c>
      <c r="AE15" s="330"/>
      <c r="AF15" s="201">
        <f t="shared" si="5"/>
        <v>4.375</v>
      </c>
      <c r="AG15" s="201">
        <f>'CC-car.1'!AD58</f>
        <v>4.375</v>
      </c>
      <c r="AH15" s="201">
        <f>'CC-car.1'!AE58</f>
        <v>-8.6056249999999963</v>
      </c>
      <c r="AI15" s="201">
        <f>'CC-car.1'!AF58</f>
        <v>-15.091999999999999</v>
      </c>
      <c r="AJ15" s="330"/>
      <c r="AK15" s="201">
        <f t="shared" si="1"/>
        <v>4.375</v>
      </c>
      <c r="AL15" s="201">
        <f>'CC-car.2'!AD58</f>
        <v>4.375</v>
      </c>
      <c r="AM15" s="201">
        <f>'CC-car.2'!AE58</f>
        <v>-5.0367916666666588</v>
      </c>
      <c r="AN15" s="201">
        <f>'CC-car.2'!AF58</f>
        <v>-24.776266666666665</v>
      </c>
      <c r="AO15" s="330"/>
      <c r="AP15" s="201">
        <f t="shared" si="2"/>
        <v>4.375</v>
      </c>
      <c r="AQ15" s="201">
        <f>'CC-car.3'!AD58</f>
        <v>4.375</v>
      </c>
      <c r="AR15" s="201">
        <f>'CC-car.3'!AE58</f>
        <v>-9.3347916666666464</v>
      </c>
      <c r="AS15" s="201">
        <f>'CC-car.3'!AF58</f>
        <v>-25.758666666666663</v>
      </c>
      <c r="AT15" s="330"/>
      <c r="AU15" s="201">
        <f t="shared" si="3"/>
        <v>4.375</v>
      </c>
      <c r="AV15" s="201">
        <f>'CC-car.4'!AD58</f>
        <v>4.375</v>
      </c>
      <c r="AW15" s="201">
        <f>'CC-car.4'!AE58</f>
        <v>-8.0409583333333288</v>
      </c>
      <c r="AX15" s="201">
        <f>'CC-car.4'!AF58</f>
        <v>-14.962933333333332</v>
      </c>
      <c r="AY15" s="330"/>
      <c r="AZ15" s="201">
        <f t="shared" si="4"/>
        <v>4.375</v>
      </c>
      <c r="BA15" s="201">
        <f>'CC-car.5'!AD58</f>
        <v>4.375</v>
      </c>
      <c r="BB15" s="201">
        <f>'CC-car.5'!AE58</f>
        <v>0</v>
      </c>
      <c r="BC15" s="201">
        <f>'CC-car.5'!AF58</f>
        <v>0</v>
      </c>
    </row>
    <row r="16" spans="1:56" s="46" customFormat="1" ht="13.5" customHeight="1" x14ac:dyDescent="0.2">
      <c r="A16" s="275"/>
      <c r="B16" s="275"/>
      <c r="C16" s="252" t="s">
        <v>450</v>
      </c>
      <c r="D16" s="42"/>
      <c r="E16" s="279" t="s">
        <v>448</v>
      </c>
      <c r="F16" s="338" t="str">
        <f>E6</f>
        <v>ca</v>
      </c>
      <c r="G16" s="338"/>
      <c r="H16" s="279" t="str">
        <f>E6</f>
        <v>ca</v>
      </c>
      <c r="U16" s="18"/>
      <c r="AE16" s="330"/>
      <c r="AF16" s="204">
        <f t="shared" si="5"/>
        <v>5</v>
      </c>
      <c r="AG16" s="204">
        <f>'CC-car.1'!AD59</f>
        <v>5</v>
      </c>
      <c r="AH16" s="204">
        <f>'CC-car.1'!AE59</f>
        <v>-19.209999999999994</v>
      </c>
      <c r="AI16" s="204">
        <f>'CC-car.1'!AF59</f>
        <v>-18.841999999999999</v>
      </c>
      <c r="AJ16" s="330"/>
      <c r="AK16" s="204">
        <f t="shared" si="1"/>
        <v>5</v>
      </c>
      <c r="AL16" s="204">
        <f>'CC-car.2'!AD59</f>
        <v>5</v>
      </c>
      <c r="AM16" s="204">
        <f>'CC-car.2'!AE59</f>
        <v>-22.631333333333316</v>
      </c>
      <c r="AN16" s="204">
        <f>'CC-car.2'!AF59</f>
        <v>-31.526266666666665</v>
      </c>
      <c r="AO16" s="330"/>
      <c r="AP16" s="204">
        <f t="shared" si="2"/>
        <v>5</v>
      </c>
      <c r="AQ16" s="204">
        <f>'CC-car.3'!AD59</f>
        <v>5</v>
      </c>
      <c r="AR16" s="204">
        <f>'CC-car.3'!AE59</f>
        <v>-27.543333333333322</v>
      </c>
      <c r="AS16" s="204">
        <f>'CC-car.3'!AF59</f>
        <v>-32.508666666666663</v>
      </c>
      <c r="AT16" s="330"/>
      <c r="AU16" s="204">
        <f t="shared" si="3"/>
        <v>5</v>
      </c>
      <c r="AV16" s="204">
        <f>'CC-car.4'!AD59</f>
        <v>5</v>
      </c>
      <c r="AW16" s="204">
        <f>'CC-car.4'!AE59</f>
        <v>-18.56466666666666</v>
      </c>
      <c r="AX16" s="204">
        <f>'CC-car.4'!AF59</f>
        <v>-18.712933333333332</v>
      </c>
      <c r="AY16" s="330"/>
      <c r="AZ16" s="204">
        <f t="shared" si="4"/>
        <v>5</v>
      </c>
      <c r="BA16" s="204">
        <f>'CC-car.5'!AD59</f>
        <v>5</v>
      </c>
      <c r="BB16" s="204">
        <f>'CC-car.5'!AE59</f>
        <v>0</v>
      </c>
      <c r="BC16" s="204">
        <f>'CC-car.5'!AF59</f>
        <v>0</v>
      </c>
      <c r="BD16" s="1"/>
    </row>
    <row r="17" spans="1:56" s="46" customFormat="1" ht="12" customHeight="1" x14ac:dyDescent="0.2">
      <c r="A17" s="275"/>
      <c r="B17" s="275"/>
      <c r="C17" s="252" t="s">
        <v>127</v>
      </c>
      <c r="D17" s="42"/>
      <c r="E17" s="305"/>
      <c r="F17" s="305" t="s">
        <v>474</v>
      </c>
      <c r="G17" s="305" t="s">
        <v>474</v>
      </c>
      <c r="H17" s="305" t="str">
        <f>G17</f>
        <v>30x50</v>
      </c>
      <c r="AE17" s="331" t="s">
        <v>72</v>
      </c>
      <c r="AF17" s="205">
        <f t="shared" ref="AF17:AF25" si="6">AG17-$AG$16</f>
        <v>0</v>
      </c>
      <c r="AG17" s="203">
        <f>'CC-car.1'!AD60</f>
        <v>5</v>
      </c>
      <c r="AH17" s="203">
        <f>'CC-car.1'!AE60</f>
        <v>-19.209999999999997</v>
      </c>
      <c r="AI17" s="203">
        <f>'CC-car.1'!AF60</f>
        <v>25.495000000000001</v>
      </c>
      <c r="AJ17" s="331" t="s">
        <v>72</v>
      </c>
      <c r="AK17" s="205">
        <f t="shared" si="1"/>
        <v>0</v>
      </c>
      <c r="AL17" s="203">
        <f>'CC-car.2'!AD60</f>
        <v>5</v>
      </c>
      <c r="AM17" s="203">
        <f>'CC-car.2'!AE60</f>
        <v>-22.631333333333327</v>
      </c>
      <c r="AN17" s="203">
        <f>'CC-car.2'!AF60</f>
        <v>16.024333333333331</v>
      </c>
      <c r="AO17" s="331" t="s">
        <v>72</v>
      </c>
      <c r="AP17" s="205">
        <f t="shared" si="2"/>
        <v>0</v>
      </c>
      <c r="AQ17" s="203">
        <f>'CC-car.3'!AD60</f>
        <v>5</v>
      </c>
      <c r="AR17" s="203">
        <f>'CC-car.3'!AE60</f>
        <v>-27.543333333333329</v>
      </c>
      <c r="AS17" s="203">
        <f>'CC-car.3'!AF60</f>
        <v>27.578333333333333</v>
      </c>
      <c r="AT17" s="331" t="s">
        <v>72</v>
      </c>
      <c r="AU17" s="205">
        <f t="shared" si="3"/>
        <v>0</v>
      </c>
      <c r="AV17" s="203">
        <f>'CC-car.4'!AD60</f>
        <v>5</v>
      </c>
      <c r="AW17" s="203">
        <f>'CC-car.4'!AE60</f>
        <v>-18.564666666666664</v>
      </c>
      <c r="AX17" s="203">
        <f>'CC-car.4'!AF60</f>
        <v>24.607666666666667</v>
      </c>
      <c r="AY17" s="331" t="s">
        <v>72</v>
      </c>
      <c r="AZ17" s="205">
        <f t="shared" si="4"/>
        <v>0</v>
      </c>
      <c r="BA17" s="203">
        <f>'CC-car.5'!AD60</f>
        <v>5</v>
      </c>
      <c r="BB17" s="203">
        <f>'CC-car.5'!AE60</f>
        <v>0</v>
      </c>
      <c r="BC17" s="203">
        <f>'CC-car.5'!AF60</f>
        <v>0</v>
      </c>
      <c r="BD17" s="1"/>
    </row>
    <row r="18" spans="1:56" s="46" customFormat="1" x14ac:dyDescent="0.2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3.75</v>
      </c>
      <c r="G18" s="201">
        <f>IF($E6=$I$69,VLOOKUP($G17,matca,2,0),IF($E6=$I$70,VLOOKUP($G17,matacciaio,3,0),""))</f>
        <v>3.75</v>
      </c>
      <c r="H18" s="201">
        <f>IF($H16=$I$69,VLOOKUP($H17,matca,2,0),IF($H16=$I$70,VLOOKUP($H17,matacciaio,3,0),""))</f>
        <v>3.75</v>
      </c>
      <c r="AE18" s="331"/>
      <c r="AF18" s="206">
        <f t="shared" si="6"/>
        <v>0.5</v>
      </c>
      <c r="AG18" s="201">
        <f>'CC-car.1'!AD61</f>
        <v>5.5</v>
      </c>
      <c r="AH18" s="201">
        <f>'CC-car.1'!AE61</f>
        <v>-7.8124999999999982</v>
      </c>
      <c r="AI18" s="201">
        <f>'CC-car.1'!AF61</f>
        <v>20.094999999999999</v>
      </c>
      <c r="AJ18" s="331"/>
      <c r="AK18" s="206">
        <f t="shared" si="1"/>
        <v>0.5</v>
      </c>
      <c r="AL18" s="201">
        <f>'CC-car.2'!AD61</f>
        <v>5.5</v>
      </c>
      <c r="AM18" s="201">
        <f>'CC-car.2'!AE61</f>
        <v>-15.369166666666661</v>
      </c>
      <c r="AN18" s="201">
        <f>'CC-car.2'!AF61</f>
        <v>13.024333333333331</v>
      </c>
      <c r="AO18" s="331"/>
      <c r="AP18" s="206">
        <f t="shared" si="2"/>
        <v>0.5</v>
      </c>
      <c r="AQ18" s="201">
        <f>'CC-car.3'!AD61</f>
        <v>5.5</v>
      </c>
      <c r="AR18" s="201">
        <f>'CC-car.3'!AE61</f>
        <v>-15.104166666666664</v>
      </c>
      <c r="AS18" s="201">
        <f>'CC-car.3'!AF61</f>
        <v>22.178333333333335</v>
      </c>
      <c r="AT18" s="331"/>
      <c r="AU18" s="206">
        <f t="shared" si="3"/>
        <v>0.5</v>
      </c>
      <c r="AV18" s="201">
        <f>'CC-car.4'!AD61</f>
        <v>5.5</v>
      </c>
      <c r="AW18" s="201">
        <f>'CC-car.4'!AE61</f>
        <v>-7.610833333333332</v>
      </c>
      <c r="AX18" s="201">
        <f>'CC-car.4'!AF61</f>
        <v>19.207666666666668</v>
      </c>
      <c r="AY18" s="331"/>
      <c r="AZ18" s="206">
        <f t="shared" si="4"/>
        <v>0.5</v>
      </c>
      <c r="BA18" s="201">
        <f>'CC-car.5'!AD61</f>
        <v>5.5</v>
      </c>
      <c r="BB18" s="201">
        <f>'CC-car.5'!AE61</f>
        <v>0</v>
      </c>
      <c r="BC18" s="201">
        <f>'CC-car.5'!AF61</f>
        <v>0</v>
      </c>
      <c r="BD18" s="1"/>
    </row>
    <row r="19" spans="1:56" s="46" customFormat="1" x14ac:dyDescent="0.2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312500</v>
      </c>
      <c r="G19" s="306">
        <f>IF($E6=$I$69,VLOOKUP($G17,matca,4,0),IF($E6=$I$70,VLOOKUP($G17,matacciaio,5,0),""))</f>
        <v>312500</v>
      </c>
      <c r="H19" s="306">
        <f>IF($H16=$I$69,VLOOKUP($H17,matca,4,0),IF($H16=$I$70,VLOOKUP($H17,matacciaio,5,0),""))</f>
        <v>312500</v>
      </c>
      <c r="P19" s="45"/>
      <c r="Q19" s="3"/>
      <c r="R19" s="3"/>
      <c r="S19" s="3"/>
      <c r="AE19" s="331"/>
      <c r="AF19" s="206">
        <f t="shared" si="6"/>
        <v>1</v>
      </c>
      <c r="AG19" s="201">
        <f>'CC-car.1'!AD62</f>
        <v>6</v>
      </c>
      <c r="AH19" s="201">
        <f>'CC-car.1'!AE62</f>
        <v>0.88500000000000156</v>
      </c>
      <c r="AI19" s="201">
        <f>'CC-car.1'!AF62</f>
        <v>14.695</v>
      </c>
      <c r="AJ19" s="331"/>
      <c r="AK19" s="206">
        <f t="shared" si="1"/>
        <v>1</v>
      </c>
      <c r="AL19" s="201">
        <f>'CC-car.2'!AD62</f>
        <v>6</v>
      </c>
      <c r="AM19" s="201">
        <f>'CC-car.2'!AE62</f>
        <v>-9.6069999999999958</v>
      </c>
      <c r="AN19" s="201">
        <f>'CC-car.2'!AF62</f>
        <v>10.024333333333331</v>
      </c>
      <c r="AO19" s="331"/>
      <c r="AP19" s="206">
        <f t="shared" si="2"/>
        <v>1</v>
      </c>
      <c r="AQ19" s="201">
        <f>'CC-car.3'!AD62</f>
        <v>6</v>
      </c>
      <c r="AR19" s="201">
        <f>'CC-car.3'!AE62</f>
        <v>-5.3649999999999949</v>
      </c>
      <c r="AS19" s="201">
        <f>'CC-car.3'!AF62</f>
        <v>16.778333333333332</v>
      </c>
      <c r="AT19" s="331"/>
      <c r="AU19" s="206">
        <f t="shared" si="3"/>
        <v>1</v>
      </c>
      <c r="AV19" s="201">
        <f>'CC-car.4'!AD62</f>
        <v>6</v>
      </c>
      <c r="AW19" s="201">
        <f>'CC-car.4'!AE62</f>
        <v>0.64300000000000068</v>
      </c>
      <c r="AX19" s="201">
        <f>'CC-car.4'!AF62</f>
        <v>13.807666666666666</v>
      </c>
      <c r="AY19" s="331"/>
      <c r="AZ19" s="206">
        <f t="shared" si="4"/>
        <v>1</v>
      </c>
      <c r="BA19" s="201">
        <f>'CC-car.5'!AD62</f>
        <v>6</v>
      </c>
      <c r="BB19" s="201">
        <f>'CC-car.5'!AE62</f>
        <v>0</v>
      </c>
      <c r="BC19" s="201">
        <f>'CC-car.5'!AF62</f>
        <v>0</v>
      </c>
    </row>
    <row r="20" spans="1:56" s="46" customFormat="1" x14ac:dyDescent="0.2">
      <c r="C20" s="275"/>
      <c r="D20" s="275"/>
      <c r="E20" s="275"/>
      <c r="F20" s="275"/>
      <c r="G20" s="275"/>
      <c r="H20" s="275"/>
      <c r="P20" s="3"/>
      <c r="Q20" s="3"/>
      <c r="R20" s="3"/>
      <c r="S20" s="3"/>
      <c r="AE20" s="331"/>
      <c r="AF20" s="206">
        <f t="shared" si="6"/>
        <v>1.5</v>
      </c>
      <c r="AG20" s="201">
        <f>'CC-car.1'!AD63</f>
        <v>6.5</v>
      </c>
      <c r="AH20" s="201">
        <f>'CC-car.1'!AE63</f>
        <v>6.8825000000000003</v>
      </c>
      <c r="AI20" s="201">
        <f>'CC-car.1'!AF63</f>
        <v>9.2949999999999982</v>
      </c>
      <c r="AJ20" s="331"/>
      <c r="AK20" s="206">
        <f t="shared" si="1"/>
        <v>1.5</v>
      </c>
      <c r="AL20" s="201">
        <f>'CC-car.2'!AD63</f>
        <v>6.5</v>
      </c>
      <c r="AM20" s="201">
        <f>'CC-car.2'!AE63</f>
        <v>-5.3448333333333302</v>
      </c>
      <c r="AN20" s="201">
        <f>'CC-car.2'!AF63</f>
        <v>7.0243333333333311</v>
      </c>
      <c r="AO20" s="331"/>
      <c r="AP20" s="206">
        <f t="shared" si="2"/>
        <v>1.5</v>
      </c>
      <c r="AQ20" s="201">
        <f>'CC-car.3'!AD63</f>
        <v>6.5</v>
      </c>
      <c r="AR20" s="201">
        <f>'CC-car.3'!AE63</f>
        <v>1.6741666666666717</v>
      </c>
      <c r="AS20" s="201">
        <f>'CC-car.3'!AF63</f>
        <v>11.37833333333333</v>
      </c>
      <c r="AT20" s="331"/>
      <c r="AU20" s="206">
        <f t="shared" si="3"/>
        <v>1.5</v>
      </c>
      <c r="AV20" s="201">
        <f>'CC-car.4'!AD63</f>
        <v>6.5</v>
      </c>
      <c r="AW20" s="201">
        <f>'CC-car.4'!AE63</f>
        <v>6.1968333333333376</v>
      </c>
      <c r="AX20" s="201">
        <f>'CC-car.4'!AF63</f>
        <v>8.407666666666664</v>
      </c>
      <c r="AY20" s="331"/>
      <c r="AZ20" s="206">
        <f t="shared" si="4"/>
        <v>1.5</v>
      </c>
      <c r="BA20" s="201">
        <f>'CC-car.5'!AD63</f>
        <v>6.5</v>
      </c>
      <c r="BB20" s="201">
        <f>'CC-car.5'!AE63</f>
        <v>0</v>
      </c>
      <c r="BC20" s="201">
        <f>'CC-car.5'!AF63</f>
        <v>0</v>
      </c>
    </row>
    <row r="21" spans="1:56" x14ac:dyDescent="0.2">
      <c r="AE21" s="331"/>
      <c r="AF21" s="206">
        <f t="shared" si="6"/>
        <v>2</v>
      </c>
      <c r="AG21" s="201">
        <f>'CC-car.1'!AD64</f>
        <v>7</v>
      </c>
      <c r="AH21" s="201">
        <f>'CC-car.1'!AE64</f>
        <v>10.18</v>
      </c>
      <c r="AI21" s="201">
        <f>'CC-car.1'!AF64</f>
        <v>3.8949999999999996</v>
      </c>
      <c r="AJ21" s="331"/>
      <c r="AK21" s="206">
        <f t="shared" si="1"/>
        <v>2</v>
      </c>
      <c r="AL21" s="201">
        <f>'CC-car.2'!AD64</f>
        <v>7</v>
      </c>
      <c r="AM21" s="201">
        <f>'CC-car.2'!AE64</f>
        <v>-2.5826666666666682</v>
      </c>
      <c r="AN21" s="201">
        <f>'CC-car.2'!AF64</f>
        <v>4.0243333333333311</v>
      </c>
      <c r="AO21" s="331"/>
      <c r="AP21" s="206">
        <f t="shared" si="2"/>
        <v>2</v>
      </c>
      <c r="AQ21" s="201">
        <f>'CC-car.3'!AD64</f>
        <v>7</v>
      </c>
      <c r="AR21" s="201">
        <f>'CC-car.3'!AE64</f>
        <v>6.0133333333333354</v>
      </c>
      <c r="AS21" s="201">
        <f>'CC-car.3'!AF64</f>
        <v>5.9783333333333317</v>
      </c>
      <c r="AT21" s="331"/>
      <c r="AU21" s="206">
        <f t="shared" si="3"/>
        <v>2</v>
      </c>
      <c r="AV21" s="201">
        <f>'CC-car.4'!AD64</f>
        <v>7</v>
      </c>
      <c r="AW21" s="201">
        <f>'CC-car.4'!AE64</f>
        <v>9.0506666666666717</v>
      </c>
      <c r="AX21" s="201">
        <f>'CC-car.4'!AF64</f>
        <v>3.0076666666666654</v>
      </c>
      <c r="AY21" s="331"/>
      <c r="AZ21" s="206">
        <f t="shared" si="4"/>
        <v>2</v>
      </c>
      <c r="BA21" s="201">
        <f>'CC-car.5'!AD64</f>
        <v>7</v>
      </c>
      <c r="BB21" s="201">
        <f>'CC-car.5'!AE64</f>
        <v>0</v>
      </c>
      <c r="BC21" s="201">
        <f>'CC-car.5'!AF64</f>
        <v>0</v>
      </c>
    </row>
    <row r="22" spans="1:56" x14ac:dyDescent="0.2">
      <c r="AE22" s="331"/>
      <c r="AF22" s="206">
        <f t="shared" si="6"/>
        <v>2.5</v>
      </c>
      <c r="AG22" s="201">
        <f>'CC-car.1'!AD65</f>
        <v>7.5</v>
      </c>
      <c r="AH22" s="201">
        <f>'CC-car.1'!AE65</f>
        <v>10.777500000000011</v>
      </c>
      <c r="AI22" s="201">
        <f>'CC-car.1'!AF65</f>
        <v>-1.504999999999999</v>
      </c>
      <c r="AJ22" s="331"/>
      <c r="AK22" s="206">
        <f t="shared" si="1"/>
        <v>2.5</v>
      </c>
      <c r="AL22" s="201">
        <f>'CC-car.2'!AD65</f>
        <v>7.5</v>
      </c>
      <c r="AM22" s="201">
        <f>'CC-car.2'!AE65</f>
        <v>-1.3205000000000027</v>
      </c>
      <c r="AN22" s="201">
        <f>'CC-car.2'!AF65</f>
        <v>1.0243333333333311</v>
      </c>
      <c r="AO22" s="331"/>
      <c r="AP22" s="206">
        <f t="shared" si="2"/>
        <v>2.5</v>
      </c>
      <c r="AQ22" s="201">
        <f>'CC-car.3'!AD65</f>
        <v>7.5</v>
      </c>
      <c r="AR22" s="201">
        <f>'CC-car.3'!AE65</f>
        <v>7.6524999999999963</v>
      </c>
      <c r="AS22" s="201">
        <f>'CC-car.3'!AF65</f>
        <v>0.57833333333333314</v>
      </c>
      <c r="AT22" s="331"/>
      <c r="AU22" s="206">
        <f t="shared" si="3"/>
        <v>2.5</v>
      </c>
      <c r="AV22" s="201">
        <f>'CC-car.4'!AD65</f>
        <v>7.5</v>
      </c>
      <c r="AW22" s="201">
        <f>'CC-car.4'!AE65</f>
        <v>9.2044999999999959</v>
      </c>
      <c r="AX22" s="201">
        <f>'CC-car.4'!AF65</f>
        <v>-2.3923333333333332</v>
      </c>
      <c r="AY22" s="331"/>
      <c r="AZ22" s="206">
        <f t="shared" si="4"/>
        <v>2.5</v>
      </c>
      <c r="BA22" s="201">
        <f>'CC-car.5'!AD65</f>
        <v>7.5</v>
      </c>
      <c r="BB22" s="201">
        <f>'CC-car.5'!AE65</f>
        <v>0</v>
      </c>
      <c r="BC22" s="201">
        <f>'CC-car.5'!AF65</f>
        <v>0</v>
      </c>
    </row>
    <row r="23" spans="1:56" x14ac:dyDescent="0.2">
      <c r="AE23" s="331"/>
      <c r="AF23" s="206">
        <f t="shared" si="6"/>
        <v>3</v>
      </c>
      <c r="AG23" s="201">
        <f>'CC-car.1'!AD66</f>
        <v>8</v>
      </c>
      <c r="AH23" s="201">
        <f>'CC-car.1'!AE66</f>
        <v>8.6749999999999972</v>
      </c>
      <c r="AI23" s="201">
        <f>'CC-car.1'!AF66</f>
        <v>-6.9050000000000047</v>
      </c>
      <c r="AJ23" s="331"/>
      <c r="AK23" s="206">
        <f t="shared" si="1"/>
        <v>3</v>
      </c>
      <c r="AL23" s="201">
        <f>'CC-car.2'!AD66</f>
        <v>8</v>
      </c>
      <c r="AM23" s="201">
        <f>'CC-car.2'!AE66</f>
        <v>-1.5583333333333371</v>
      </c>
      <c r="AN23" s="201">
        <f>'CC-car.2'!AF66</f>
        <v>-1.9756666666666689</v>
      </c>
      <c r="AO23" s="331"/>
      <c r="AP23" s="206">
        <f t="shared" si="2"/>
        <v>3</v>
      </c>
      <c r="AQ23" s="201">
        <f>'CC-car.3'!AD66</f>
        <v>8</v>
      </c>
      <c r="AR23" s="201">
        <f>'CC-car.3'!AE66</f>
        <v>6.5916666666666686</v>
      </c>
      <c r="AS23" s="201">
        <f>'CC-car.3'!AF66</f>
        <v>-4.8216666666666725</v>
      </c>
      <c r="AT23" s="331"/>
      <c r="AU23" s="206">
        <f t="shared" si="3"/>
        <v>3</v>
      </c>
      <c r="AV23" s="201">
        <f>'CC-car.4'!AD66</f>
        <v>8</v>
      </c>
      <c r="AW23" s="201">
        <f>'CC-car.4'!AE66</f>
        <v>6.6583333333333456</v>
      </c>
      <c r="AX23" s="201">
        <f>'CC-car.4'!AF66</f>
        <v>-7.7923333333333389</v>
      </c>
      <c r="AY23" s="331"/>
      <c r="AZ23" s="206">
        <f t="shared" si="4"/>
        <v>3</v>
      </c>
      <c r="BA23" s="201">
        <f>'CC-car.5'!AD66</f>
        <v>8</v>
      </c>
      <c r="BB23" s="201">
        <f>'CC-car.5'!AE66</f>
        <v>0</v>
      </c>
      <c r="BC23" s="201">
        <f>'CC-car.5'!AF66</f>
        <v>0</v>
      </c>
    </row>
    <row r="24" spans="1:56" x14ac:dyDescent="0.2">
      <c r="C24" s="299"/>
      <c r="D24" s="299"/>
      <c r="E24" s="335" t="s">
        <v>473</v>
      </c>
      <c r="F24" s="335"/>
      <c r="G24" s="335"/>
      <c r="H24" s="335"/>
      <c r="I24" s="275"/>
      <c r="J24" s="275"/>
      <c r="AE24" s="331"/>
      <c r="AF24" s="206">
        <f t="shared" si="6"/>
        <v>3.5</v>
      </c>
      <c r="AG24" s="201">
        <f>'CC-car.1'!AD67</f>
        <v>8.5</v>
      </c>
      <c r="AH24" s="201">
        <f>'CC-car.1'!AE67</f>
        <v>3.8725000000000023</v>
      </c>
      <c r="AI24" s="201">
        <f>'CC-car.1'!AF67</f>
        <v>-12.305000000000003</v>
      </c>
      <c r="AJ24" s="331"/>
      <c r="AK24" s="206">
        <f t="shared" si="1"/>
        <v>3.5</v>
      </c>
      <c r="AL24" s="201">
        <f>'CC-car.2'!AD67</f>
        <v>8.5</v>
      </c>
      <c r="AM24" s="201">
        <f>'CC-car.2'!AE67</f>
        <v>-3.2961666666666716</v>
      </c>
      <c r="AN24" s="201">
        <f>'CC-car.2'!AF67</f>
        <v>-4.9756666666666689</v>
      </c>
      <c r="AO24" s="331"/>
      <c r="AP24" s="206">
        <f t="shared" si="2"/>
        <v>3.5</v>
      </c>
      <c r="AQ24" s="201">
        <f>'CC-car.3'!AD67</f>
        <v>8.5</v>
      </c>
      <c r="AR24" s="201">
        <f>'CC-car.3'!AE67</f>
        <v>2.8308333333333451</v>
      </c>
      <c r="AS24" s="201">
        <f>'CC-car.3'!AF67</f>
        <v>-10.221666666666671</v>
      </c>
      <c r="AT24" s="331"/>
      <c r="AU24" s="206">
        <f t="shared" si="3"/>
        <v>3.5</v>
      </c>
      <c r="AV24" s="201">
        <f>'CC-car.4'!AD67</f>
        <v>8.5</v>
      </c>
      <c r="AW24" s="201">
        <f>'CC-car.4'!AE67</f>
        <v>1.4121666666666641</v>
      </c>
      <c r="AX24" s="201">
        <f>'CC-car.4'!AF67</f>
        <v>-13.192333333333337</v>
      </c>
      <c r="AY24" s="331"/>
      <c r="AZ24" s="206">
        <f t="shared" si="4"/>
        <v>3.5</v>
      </c>
      <c r="BA24" s="201">
        <f>'CC-car.5'!AD67</f>
        <v>8.5</v>
      </c>
      <c r="BB24" s="201">
        <f>'CC-car.5'!AE67</f>
        <v>0</v>
      </c>
      <c r="BC24" s="201">
        <f>'CC-car.5'!AF67</f>
        <v>0</v>
      </c>
    </row>
    <row r="25" spans="1:56" ht="12" customHeight="1" x14ac:dyDescent="0.2">
      <c r="C25" s="12"/>
      <c r="E25" s="302"/>
      <c r="F25" s="302"/>
      <c r="G25" s="302"/>
      <c r="H25" s="302"/>
      <c r="J25" s="275"/>
      <c r="AE25" s="331"/>
      <c r="AF25" s="207">
        <f t="shared" si="6"/>
        <v>4</v>
      </c>
      <c r="AG25" s="204">
        <f>'CC-car.1'!AD68</f>
        <v>9</v>
      </c>
      <c r="AH25" s="204">
        <f>'CC-car.1'!AE68</f>
        <v>-3.6299999999999955</v>
      </c>
      <c r="AI25" s="204">
        <f>'CC-car.1'!AF68</f>
        <v>-17.705000000000002</v>
      </c>
      <c r="AJ25" s="331"/>
      <c r="AK25" s="207">
        <f t="shared" si="1"/>
        <v>4</v>
      </c>
      <c r="AL25" s="204">
        <f>'CC-car.2'!AD68</f>
        <v>9</v>
      </c>
      <c r="AM25" s="204">
        <f>'CC-car.2'!AE68</f>
        <v>-6.534000000000006</v>
      </c>
      <c r="AN25" s="204">
        <f>'CC-car.2'!AF68</f>
        <v>-7.9756666666666689</v>
      </c>
      <c r="AO25" s="331"/>
      <c r="AP25" s="207">
        <f t="shared" si="2"/>
        <v>4</v>
      </c>
      <c r="AQ25" s="204">
        <f>'CC-car.3'!AD68</f>
        <v>9</v>
      </c>
      <c r="AR25" s="204">
        <f>'CC-car.3'!AE68</f>
        <v>-3.6299999999999955</v>
      </c>
      <c r="AS25" s="204">
        <f>'CC-car.3'!AF68</f>
        <v>-15.62166666666667</v>
      </c>
      <c r="AT25" s="331"/>
      <c r="AU25" s="207">
        <f t="shared" si="3"/>
        <v>4</v>
      </c>
      <c r="AV25" s="204">
        <f>'CC-car.4'!AD68</f>
        <v>9</v>
      </c>
      <c r="AW25" s="204">
        <f>'CC-car.4'!AE68</f>
        <v>-6.534000000000006</v>
      </c>
      <c r="AX25" s="204">
        <f>'CC-car.4'!AF68</f>
        <v>-18.592333333333336</v>
      </c>
      <c r="AY25" s="331"/>
      <c r="AZ25" s="207">
        <f t="shared" si="4"/>
        <v>4</v>
      </c>
      <c r="BA25" s="204">
        <f>'CC-car.5'!AD68</f>
        <v>9</v>
      </c>
      <c r="BB25" s="204">
        <f>'CC-car.5'!AE68</f>
        <v>0</v>
      </c>
      <c r="BC25" s="204">
        <f>'CC-car.5'!AF68</f>
        <v>0</v>
      </c>
    </row>
    <row r="26" spans="1:56" ht="12" customHeight="1" x14ac:dyDescent="0.2">
      <c r="C26" s="12" t="s">
        <v>49</v>
      </c>
      <c r="D26" s="301" t="s">
        <v>446</v>
      </c>
      <c r="E26" s="278">
        <v>0</v>
      </c>
      <c r="F26" s="278">
        <v>6</v>
      </c>
      <c r="G26" s="278">
        <v>10.8</v>
      </c>
      <c r="H26" s="278">
        <v>6</v>
      </c>
      <c r="AE26" s="331" t="s">
        <v>57</v>
      </c>
      <c r="AF26" s="205">
        <f>AG26-$AG$25</f>
        <v>0</v>
      </c>
      <c r="AG26" s="203">
        <f>'CC-car.1'!AD69</f>
        <v>9</v>
      </c>
      <c r="AH26" s="203">
        <f>'CC-car.1'!AE69</f>
        <v>-3.6300000000000008</v>
      </c>
      <c r="AI26" s="203">
        <f>'CC-car.1'!AF69</f>
        <v>6.6000000000000005</v>
      </c>
      <c r="AJ26" s="331" t="s">
        <v>57</v>
      </c>
      <c r="AK26" s="205">
        <f t="shared" si="1"/>
        <v>0</v>
      </c>
      <c r="AL26" s="203">
        <f>'CC-car.2'!AD69</f>
        <v>9</v>
      </c>
      <c r="AM26" s="203">
        <f>'CC-car.2'!AE69</f>
        <v>-6.5340000000000016</v>
      </c>
      <c r="AN26" s="203">
        <f>'CC-car.2'!AF69</f>
        <v>11.880000000000003</v>
      </c>
      <c r="AO26" s="331"/>
      <c r="AP26" s="205">
        <f t="shared" si="2"/>
        <v>0</v>
      </c>
      <c r="AQ26" s="203">
        <f>'CC-car.3'!AD69</f>
        <v>9</v>
      </c>
      <c r="AR26" s="203">
        <f>'CC-car.3'!AE69</f>
        <v>-3.6300000000000008</v>
      </c>
      <c r="AS26" s="203">
        <f>'CC-car.3'!AF69</f>
        <v>6.6000000000000005</v>
      </c>
      <c r="AT26" s="331"/>
      <c r="AU26" s="205">
        <f t="shared" si="3"/>
        <v>0</v>
      </c>
      <c r="AV26" s="203">
        <f>'CC-car.4'!AD69</f>
        <v>9</v>
      </c>
      <c r="AW26" s="203">
        <f>'CC-car.4'!AE69</f>
        <v>-6.5340000000000016</v>
      </c>
      <c r="AX26" s="203">
        <f>'CC-car.4'!AF69</f>
        <v>11.880000000000003</v>
      </c>
      <c r="AY26" s="331"/>
      <c r="AZ26" s="205">
        <f t="shared" si="4"/>
        <v>0</v>
      </c>
      <c r="BA26" s="203">
        <f>'CC-car.5'!AD69</f>
        <v>9</v>
      </c>
      <c r="BB26" s="203">
        <f>'CC-car.5'!AE69</f>
        <v>0</v>
      </c>
      <c r="BC26" s="203">
        <f>'CC-car.5'!AF69</f>
        <v>0</v>
      </c>
    </row>
    <row r="27" spans="1:56" x14ac:dyDescent="0.2">
      <c r="C27" s="12" t="s">
        <v>50</v>
      </c>
      <c r="D27" s="301" t="s">
        <v>446</v>
      </c>
      <c r="E27" s="278">
        <v>0</v>
      </c>
      <c r="F27" s="278">
        <v>10.8</v>
      </c>
      <c r="G27" s="278">
        <v>6</v>
      </c>
      <c r="H27" s="278">
        <v>10.8</v>
      </c>
      <c r="AE27" s="331"/>
      <c r="AF27" s="206">
        <f t="shared" ref="AF27:AF29" si="7">AG27-$AG$25</f>
        <v>0.36666666666666714</v>
      </c>
      <c r="AG27" s="201">
        <f>'CC-car.1'!AD70</f>
        <v>9.3666666666666671</v>
      </c>
      <c r="AH27" s="201">
        <f>'CC-car.1'!AE70</f>
        <v>-1.6133333333333337</v>
      </c>
      <c r="AI27" s="201">
        <f>'CC-car.1'!AF70</f>
        <v>4.4000000000000004</v>
      </c>
      <c r="AJ27" s="331"/>
      <c r="AK27" s="206">
        <f t="shared" si="1"/>
        <v>0.36666666666666714</v>
      </c>
      <c r="AL27" s="201">
        <f>'CC-car.2'!AD70</f>
        <v>9.3666666666666671</v>
      </c>
      <c r="AM27" s="201">
        <f>'CC-car.2'!AE70</f>
        <v>-2.9039999999999999</v>
      </c>
      <c r="AN27" s="201">
        <f>'CC-car.2'!AF70</f>
        <v>7.9200000000000017</v>
      </c>
      <c r="AO27" s="331"/>
      <c r="AP27" s="206">
        <f t="shared" si="2"/>
        <v>0.36666666666666714</v>
      </c>
      <c r="AQ27" s="201">
        <f>'CC-car.3'!AD70</f>
        <v>9.3666666666666671</v>
      </c>
      <c r="AR27" s="201">
        <f>'CC-car.3'!AE70</f>
        <v>-1.6133333333333337</v>
      </c>
      <c r="AS27" s="201">
        <f>'CC-car.3'!AF70</f>
        <v>4.4000000000000004</v>
      </c>
      <c r="AT27" s="331"/>
      <c r="AU27" s="206">
        <f t="shared" si="3"/>
        <v>0.36666666666666714</v>
      </c>
      <c r="AV27" s="201">
        <f>'CC-car.4'!AD70</f>
        <v>9.3666666666666671</v>
      </c>
      <c r="AW27" s="201">
        <f>'CC-car.4'!AE70</f>
        <v>-2.9039999999999999</v>
      </c>
      <c r="AX27" s="201">
        <f>'CC-car.4'!AF70</f>
        <v>7.9200000000000017</v>
      </c>
      <c r="AY27" s="331"/>
      <c r="AZ27" s="206">
        <f t="shared" si="4"/>
        <v>0.36666666666666714</v>
      </c>
      <c r="BA27" s="201">
        <f>'CC-car.5'!AD70</f>
        <v>9.3666666666666671</v>
      </c>
      <c r="BB27" s="201">
        <f>'CC-car.5'!AE70</f>
        <v>0</v>
      </c>
      <c r="BC27" s="201">
        <f>'CC-car.5'!AF70</f>
        <v>0</v>
      </c>
    </row>
    <row r="28" spans="1:56" s="46" customFormat="1" x14ac:dyDescent="0.2">
      <c r="C28" s="12" t="s">
        <v>51</v>
      </c>
      <c r="D28" s="301" t="s">
        <v>446</v>
      </c>
      <c r="E28" s="278">
        <v>0</v>
      </c>
      <c r="F28" s="278">
        <v>10.8</v>
      </c>
      <c r="G28" s="278">
        <v>10.8</v>
      </c>
      <c r="H28" s="278">
        <v>6</v>
      </c>
      <c r="I28" s="1"/>
      <c r="J28" s="1"/>
      <c r="AE28" s="331"/>
      <c r="AF28" s="206">
        <f t="shared" si="7"/>
        <v>0.73333333333333428</v>
      </c>
      <c r="AG28" s="201">
        <f>'CC-car.1'!AD71</f>
        <v>9.7333333333333343</v>
      </c>
      <c r="AH28" s="201">
        <f>'CC-car.1'!AE71</f>
        <v>-0.40333333333333332</v>
      </c>
      <c r="AI28" s="201">
        <f>'CC-car.1'!AF71</f>
        <v>2.2000000000000002</v>
      </c>
      <c r="AJ28" s="331"/>
      <c r="AK28" s="206">
        <f t="shared" si="1"/>
        <v>0.73333333333333428</v>
      </c>
      <c r="AL28" s="201">
        <f>'CC-car.2'!AD71</f>
        <v>9.7333333333333343</v>
      </c>
      <c r="AM28" s="201">
        <f>'CC-car.2'!AE71</f>
        <v>-0.72599999999999909</v>
      </c>
      <c r="AN28" s="201">
        <f>'CC-car.2'!AF71</f>
        <v>3.9600000000000017</v>
      </c>
      <c r="AO28" s="331"/>
      <c r="AP28" s="206">
        <f t="shared" si="2"/>
        <v>0.73333333333333428</v>
      </c>
      <c r="AQ28" s="201">
        <f>'CC-car.3'!AD71</f>
        <v>9.7333333333333343</v>
      </c>
      <c r="AR28" s="201">
        <f>'CC-car.3'!AE71</f>
        <v>-0.40333333333333332</v>
      </c>
      <c r="AS28" s="201">
        <f>'CC-car.3'!AF71</f>
        <v>2.2000000000000002</v>
      </c>
      <c r="AT28" s="331"/>
      <c r="AU28" s="206">
        <f t="shared" si="3"/>
        <v>0.73333333333333428</v>
      </c>
      <c r="AV28" s="201">
        <f>'CC-car.4'!AD71</f>
        <v>9.7333333333333343</v>
      </c>
      <c r="AW28" s="201">
        <f>'CC-car.4'!AE71</f>
        <v>-0.72599999999999909</v>
      </c>
      <c r="AX28" s="201">
        <f>'CC-car.4'!AF71</f>
        <v>3.9600000000000017</v>
      </c>
      <c r="AY28" s="331"/>
      <c r="AZ28" s="206">
        <f t="shared" si="4"/>
        <v>0.73333333333333428</v>
      </c>
      <c r="BA28" s="201">
        <f>'CC-car.5'!AD71</f>
        <v>9.7333333333333343</v>
      </c>
      <c r="BB28" s="201">
        <f>'CC-car.5'!AE71</f>
        <v>0</v>
      </c>
      <c r="BC28" s="201">
        <f>'CC-car.5'!AF71</f>
        <v>0</v>
      </c>
    </row>
    <row r="29" spans="1:56" s="46" customFormat="1" x14ac:dyDescent="0.2">
      <c r="C29" s="12" t="s">
        <v>52</v>
      </c>
      <c r="D29" s="301" t="s">
        <v>446</v>
      </c>
      <c r="E29" s="278">
        <v>0</v>
      </c>
      <c r="F29" s="278">
        <v>6</v>
      </c>
      <c r="G29" s="278">
        <v>10.8</v>
      </c>
      <c r="H29" s="278">
        <v>10.8</v>
      </c>
      <c r="I29" s="1">
        <v>1</v>
      </c>
      <c r="J29" s="1"/>
      <c r="AE29" s="331"/>
      <c r="AF29" s="207">
        <f t="shared" si="7"/>
        <v>1.0999999999999996</v>
      </c>
      <c r="AG29" s="204">
        <f>'CC-car.1'!AD72</f>
        <v>10.1</v>
      </c>
      <c r="AH29" s="204">
        <f>'CC-car.1'!AE72</f>
        <v>0</v>
      </c>
      <c r="AI29" s="204">
        <f>'CC-car.1'!AF72</f>
        <v>0</v>
      </c>
      <c r="AJ29" s="331"/>
      <c r="AK29" s="207">
        <f t="shared" si="1"/>
        <v>1.0999999999999996</v>
      </c>
      <c r="AL29" s="204">
        <f>'CC-car.2'!AD72</f>
        <v>10.1</v>
      </c>
      <c r="AM29" s="204">
        <f>'CC-car.2'!AE72</f>
        <v>0</v>
      </c>
      <c r="AN29" s="204">
        <f>'CC-car.2'!AF72</f>
        <v>0</v>
      </c>
      <c r="AO29" s="331"/>
      <c r="AP29" s="207">
        <f t="shared" si="2"/>
        <v>1.0999999999999996</v>
      </c>
      <c r="AQ29" s="204">
        <f>'CC-car.3'!AD72</f>
        <v>10.1</v>
      </c>
      <c r="AR29" s="204">
        <f>'CC-car.3'!AE72</f>
        <v>0</v>
      </c>
      <c r="AS29" s="204">
        <f>'CC-car.3'!AF72</f>
        <v>0</v>
      </c>
      <c r="AT29" s="331"/>
      <c r="AU29" s="207">
        <f t="shared" si="3"/>
        <v>1.0999999999999996</v>
      </c>
      <c r="AV29" s="204">
        <f>'CC-car.4'!AD72</f>
        <v>10.1</v>
      </c>
      <c r="AW29" s="204">
        <f>'CC-car.4'!AE72</f>
        <v>0</v>
      </c>
      <c r="AX29" s="204">
        <f>'CC-car.4'!AF72</f>
        <v>0</v>
      </c>
      <c r="AY29" s="331"/>
      <c r="AZ29" s="207">
        <f t="shared" si="4"/>
        <v>1.0999999999999996</v>
      </c>
      <c r="BA29" s="204">
        <f>'CC-car.5'!AD72</f>
        <v>10.1</v>
      </c>
      <c r="BB29" s="204">
        <f>'CC-car.5'!AE72</f>
        <v>0</v>
      </c>
      <c r="BC29" s="204">
        <f>'CC-car.5'!AF72</f>
        <v>0</v>
      </c>
    </row>
    <row r="30" spans="1:56" x14ac:dyDescent="0.2">
      <c r="C30" s="12" t="s">
        <v>53</v>
      </c>
      <c r="D30" s="301" t="s">
        <v>446</v>
      </c>
      <c r="E30" s="278">
        <v>0</v>
      </c>
      <c r="F30" s="278">
        <v>0</v>
      </c>
      <c r="G30" s="278">
        <v>0</v>
      </c>
      <c r="H30" s="278">
        <v>0</v>
      </c>
      <c r="AE30" s="117"/>
      <c r="AF30" s="15"/>
      <c r="AG30" s="11"/>
      <c r="AH30" s="11"/>
      <c r="AI30" s="11"/>
      <c r="AJ30" s="52"/>
      <c r="AK30" s="15"/>
      <c r="AL30" s="11"/>
      <c r="AM30" s="11"/>
      <c r="AN30" s="11"/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">
      <c r="AE31" s="117"/>
      <c r="AF31" s="15"/>
      <c r="AG31" s="11"/>
      <c r="AH31" s="11"/>
      <c r="AI31" s="11"/>
      <c r="AJ31" s="52"/>
      <c r="AK31" s="15"/>
      <c r="AL31" s="11"/>
      <c r="AM31" s="11"/>
      <c r="AN31" s="11"/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x14ac:dyDescent="0.2">
      <c r="AE32" s="117"/>
      <c r="AF32" s="15"/>
      <c r="AG32" s="11"/>
      <c r="AH32" s="11"/>
      <c r="AI32" s="11"/>
      <c r="AJ32" s="52"/>
      <c r="AK32" s="15"/>
      <c r="AL32" s="11"/>
      <c r="AM32" s="11"/>
      <c r="AN32" s="11"/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3:55" x14ac:dyDescent="0.2">
      <c r="AE33" s="117"/>
      <c r="AF33" s="15"/>
      <c r="AG33" s="11"/>
      <c r="AH33" s="11"/>
      <c r="AI33" s="11"/>
      <c r="AJ33" s="52"/>
      <c r="AK33" s="15"/>
      <c r="AL33" s="11"/>
      <c r="AM33" s="11"/>
      <c r="AN33" s="11"/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3:55" ht="12" customHeight="1" x14ac:dyDescent="0.2">
      <c r="AE34" s="117"/>
      <c r="AF34" s="15"/>
      <c r="AG34" s="11"/>
      <c r="AH34" s="11"/>
      <c r="AI34" s="11"/>
      <c r="AJ34" s="53"/>
      <c r="AK34" s="15"/>
      <c r="AL34" s="11"/>
      <c r="AM34" s="11"/>
      <c r="AN34" s="11"/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3:55" ht="12" customHeight="1" x14ac:dyDescent="0.2"/>
    <row r="38" spans="23:55" ht="15" customHeight="1" x14ac:dyDescent="0.2">
      <c r="W38" s="333" t="s">
        <v>66</v>
      </c>
      <c r="X38" s="333"/>
      <c r="Y38" s="333"/>
      <c r="Z38" s="333"/>
      <c r="AA38" s="333"/>
      <c r="AB38" s="333"/>
      <c r="AC38" s="51"/>
      <c r="AD38" s="51"/>
    </row>
    <row r="39" spans="23:55" x14ac:dyDescent="0.2">
      <c r="W39" s="43" t="s">
        <v>8</v>
      </c>
      <c r="X39" s="43" t="s">
        <v>9</v>
      </c>
      <c r="Y39" s="43" t="s">
        <v>10</v>
      </c>
      <c r="Z39" s="43" t="s">
        <v>11</v>
      </c>
      <c r="AA39" s="43" t="s">
        <v>76</v>
      </c>
      <c r="AB39" s="43" t="s">
        <v>77</v>
      </c>
      <c r="AC39" s="3"/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3:55" x14ac:dyDescent="0.2">
      <c r="W40" s="336" t="s">
        <v>67</v>
      </c>
      <c r="X40" s="336"/>
      <c r="Y40" s="336"/>
      <c r="Z40" s="336"/>
      <c r="AA40" s="336"/>
      <c r="AB40" s="336"/>
      <c r="AC40" s="51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3:55" x14ac:dyDescent="0.2">
      <c r="W41" s="2" t="s">
        <v>49</v>
      </c>
      <c r="AC41" s="2"/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3:55" x14ac:dyDescent="0.2">
      <c r="W42" s="201">
        <f>AI7</f>
        <v>0</v>
      </c>
      <c r="X42" s="201">
        <f>AI8</f>
        <v>11.158000000000001</v>
      </c>
      <c r="Y42" s="201">
        <f>AI16</f>
        <v>-18.841999999999999</v>
      </c>
      <c r="Z42" s="201">
        <f>AI17</f>
        <v>25.495000000000001</v>
      </c>
      <c r="AA42" s="201">
        <f>AI25</f>
        <v>-17.705000000000002</v>
      </c>
      <c r="AB42" s="201">
        <f>AI26</f>
        <v>6.6000000000000005</v>
      </c>
      <c r="AC42" s="11"/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3:55" ht="12" customHeight="1" x14ac:dyDescent="0.2">
      <c r="W43" s="46"/>
      <c r="X43" s="46"/>
      <c r="Y43" s="46"/>
      <c r="Z43" s="46"/>
      <c r="AA43" s="46"/>
      <c r="AB43" s="46"/>
      <c r="AC43" s="3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3:55" ht="12" customHeight="1" x14ac:dyDescent="0.2">
      <c r="W44" s="2" t="s">
        <v>50</v>
      </c>
      <c r="X44" s="46"/>
      <c r="Y44" s="46"/>
      <c r="Z44" s="46"/>
      <c r="AA44" s="46"/>
      <c r="AB44" s="46"/>
      <c r="AC44" s="3"/>
      <c r="AD44" s="3"/>
    </row>
    <row r="45" spans="23:55" x14ac:dyDescent="0.2">
      <c r="W45" s="201">
        <f>AN7</f>
        <v>0</v>
      </c>
      <c r="X45" s="201">
        <f>AN8</f>
        <v>22.473733333333335</v>
      </c>
      <c r="Y45" s="201">
        <f>AN16</f>
        <v>-31.526266666666665</v>
      </c>
      <c r="Z45" s="201">
        <f>AN17</f>
        <v>16.024333333333331</v>
      </c>
      <c r="AA45" s="201">
        <f>AN25</f>
        <v>-7.9756666666666689</v>
      </c>
      <c r="AB45" s="201">
        <f>AN26</f>
        <v>11.880000000000003</v>
      </c>
      <c r="AC45" s="11"/>
      <c r="AD45" s="11"/>
    </row>
    <row r="46" spans="23:55" x14ac:dyDescent="0.2">
      <c r="W46" s="46"/>
      <c r="X46" s="46"/>
      <c r="Y46" s="46"/>
      <c r="Z46" s="46"/>
      <c r="AA46" s="46"/>
      <c r="AB46" s="46"/>
      <c r="AC46" s="3"/>
      <c r="AD46" s="3"/>
    </row>
    <row r="47" spans="23:55" x14ac:dyDescent="0.2">
      <c r="W47" s="2" t="s">
        <v>51</v>
      </c>
      <c r="X47" s="46"/>
      <c r="Y47" s="46"/>
      <c r="Z47" s="46"/>
      <c r="AA47" s="46"/>
      <c r="AB47" s="46"/>
      <c r="AC47" s="3"/>
      <c r="AD47" s="3"/>
    </row>
    <row r="48" spans="23:55" x14ac:dyDescent="0.2">
      <c r="W48" s="201">
        <f>AS7</f>
        <v>0</v>
      </c>
      <c r="X48" s="201">
        <f>AS8</f>
        <v>21.491333333333337</v>
      </c>
      <c r="Y48" s="201">
        <f>AS16</f>
        <v>-32.508666666666663</v>
      </c>
      <c r="Z48" s="201">
        <f>AS17</f>
        <v>27.578333333333333</v>
      </c>
      <c r="AA48" s="201">
        <f>AS25</f>
        <v>-15.62166666666667</v>
      </c>
      <c r="AB48" s="201">
        <f>AS26</f>
        <v>6.6000000000000005</v>
      </c>
      <c r="AC48" s="11"/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W49" s="46"/>
      <c r="X49" s="46"/>
      <c r="Y49" s="46"/>
      <c r="Z49" s="46"/>
      <c r="AA49" s="46"/>
      <c r="AB49" s="46"/>
      <c r="AC49" s="3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W50" s="2" t="s">
        <v>52</v>
      </c>
      <c r="X50" s="46"/>
      <c r="Y50" s="46"/>
      <c r="Z50" s="46"/>
      <c r="AA50" s="46"/>
      <c r="AB50" s="46"/>
      <c r="AC50" s="3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W51" s="201">
        <f>AX7</f>
        <v>0</v>
      </c>
      <c r="X51" s="201">
        <f>AX8</f>
        <v>11.287066666666668</v>
      </c>
      <c r="Y51" s="201">
        <f>AX16</f>
        <v>-18.712933333333332</v>
      </c>
      <c r="Z51" s="201">
        <f>AX17</f>
        <v>24.607666666666667</v>
      </c>
      <c r="AA51" s="201">
        <f>AX25</f>
        <v>-18.592333333333336</v>
      </c>
      <c r="AB51" s="201">
        <f>AX26</f>
        <v>11.880000000000003</v>
      </c>
      <c r="AC51" s="11"/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W52" s="46"/>
      <c r="X52" s="46"/>
      <c r="Y52" s="3"/>
      <c r="Z52" s="3"/>
      <c r="AA52" s="46"/>
      <c r="AB52" s="46"/>
      <c r="AC52" s="3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W53" s="2" t="s">
        <v>53</v>
      </c>
      <c r="X53" s="46"/>
      <c r="Y53" s="3"/>
      <c r="Z53" s="3"/>
      <c r="AA53" s="46"/>
      <c r="AB53" s="46"/>
      <c r="AC53" s="3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W54" s="201">
        <f>BC7</f>
        <v>0</v>
      </c>
      <c r="X54" s="201">
        <f>BC8</f>
        <v>0</v>
      </c>
      <c r="Y54" s="201">
        <f>BC16</f>
        <v>0</v>
      </c>
      <c r="Z54" s="201">
        <f>BC17</f>
        <v>0</v>
      </c>
      <c r="AA54" s="201">
        <f>BC25</f>
        <v>0</v>
      </c>
      <c r="AB54" s="201">
        <f>BC26</f>
        <v>0</v>
      </c>
      <c r="AC54" s="11"/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Y57" s="333" t="s">
        <v>68</v>
      </c>
      <c r="Z57" s="333"/>
      <c r="AA57" s="333"/>
      <c r="AB57" s="51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X58" s="46"/>
      <c r="Y58" s="43" t="s">
        <v>0</v>
      </c>
      <c r="Z58" s="43" t="s">
        <v>1</v>
      </c>
      <c r="AA58" s="43" t="s">
        <v>78</v>
      </c>
      <c r="AB58" s="3"/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Y59" s="334" t="s">
        <v>67</v>
      </c>
      <c r="Z59" s="334"/>
      <c r="AA59" s="334"/>
      <c r="AB59" s="51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X60" s="42" t="s">
        <v>49</v>
      </c>
      <c r="Y60" s="201">
        <f>'CC-car.1'!X32</f>
        <v>11.158000000000001</v>
      </c>
      <c r="Z60" s="201">
        <f>'CC-car.1'!Y32</f>
        <v>44.337000000000003</v>
      </c>
      <c r="AA60" s="201">
        <f>'CC-car.1'!Z32</f>
        <v>24.305000000000003</v>
      </c>
      <c r="AB60" s="11"/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X61" s="42" t="s">
        <v>50</v>
      </c>
      <c r="Y61" s="201">
        <f>'CC-car.2'!X32</f>
        <v>22.473733333333335</v>
      </c>
      <c r="Z61" s="201">
        <f>'CC-car.2'!Y32</f>
        <v>47.550599999999996</v>
      </c>
      <c r="AA61" s="201">
        <f>'CC-car.2'!Z32</f>
        <v>19.855666666666671</v>
      </c>
      <c r="AB61" s="11"/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X62" s="42" t="s">
        <v>51</v>
      </c>
      <c r="Y62" s="201">
        <f>'CC-car.3'!X32</f>
        <v>21.491333333333337</v>
      </c>
      <c r="Z62" s="201">
        <f>'CC-car.3'!Y32</f>
        <v>60.086999999999996</v>
      </c>
      <c r="AA62" s="201">
        <f>'CC-car.3'!Z32</f>
        <v>22.221666666666671</v>
      </c>
      <c r="AB62" s="11"/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X63" s="42" t="s">
        <v>52</v>
      </c>
      <c r="Y63" s="201">
        <f>'CC-car.4'!X32</f>
        <v>11.287066666666668</v>
      </c>
      <c r="Z63" s="201">
        <f>'CC-car.4'!Y32</f>
        <v>43.320599999999999</v>
      </c>
      <c r="AA63" s="201">
        <f>'CC-car.4'!Z32</f>
        <v>30.472333333333339</v>
      </c>
      <c r="AB63" s="11"/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X64" s="42" t="s">
        <v>53</v>
      </c>
      <c r="Y64" s="201">
        <f>'CC-car.5'!X32</f>
        <v>0</v>
      </c>
      <c r="Z64" s="201">
        <f>'CC-car.5'!Y32</f>
        <v>0</v>
      </c>
      <c r="AA64" s="201">
        <f>'CC-car.5'!Z32</f>
        <v>0</v>
      </c>
      <c r="AB64" s="11"/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5"/>
      <c r="C70" s="123" t="str">
        <f>E6</f>
        <v>ca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27" t="s">
        <v>31</v>
      </c>
      <c r="B74" s="328"/>
      <c r="C74" s="328"/>
      <c r="D74" s="328"/>
      <c r="E74" s="328"/>
      <c r="F74" s="328"/>
      <c r="G74" s="328"/>
      <c r="H74" s="328"/>
      <c r="I74" s="328"/>
      <c r="J74" s="329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6"/>
      <c r="B77" s="268">
        <v>1</v>
      </c>
      <c r="C77" s="282">
        <f>F19/10^8</f>
        <v>3.1250000000000002E-3</v>
      </c>
      <c r="D77" s="269">
        <f>B77*C77</f>
        <v>3.1250000000000002E-3</v>
      </c>
      <c r="E77" s="273"/>
      <c r="F77" s="273"/>
      <c r="G77" s="268">
        <v>1</v>
      </c>
      <c r="H77" s="282">
        <f>G19/10^8</f>
        <v>3.1250000000000002E-3</v>
      </c>
      <c r="I77" s="269">
        <f>G77*H77</f>
        <v>3.1250000000000002E-3</v>
      </c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1">
    <mergeCell ref="W38:AB38"/>
    <mergeCell ref="AJ17:AJ25"/>
    <mergeCell ref="AO17:AO25"/>
    <mergeCell ref="AT17:AT25"/>
    <mergeCell ref="E4:H4"/>
    <mergeCell ref="E6:H6"/>
    <mergeCell ref="E10:H10"/>
    <mergeCell ref="F16:G16"/>
    <mergeCell ref="A1:J1"/>
    <mergeCell ref="AE4:AE7"/>
    <mergeCell ref="AJ4:AJ7"/>
    <mergeCell ref="AO4:AO7"/>
    <mergeCell ref="AE8:AE16"/>
    <mergeCell ref="AJ8:AJ16"/>
    <mergeCell ref="AO8:AO16"/>
    <mergeCell ref="AY26:AY29"/>
    <mergeCell ref="AY17:AY25"/>
    <mergeCell ref="AT4:AT7"/>
    <mergeCell ref="AY4:AY7"/>
    <mergeCell ref="A74:J74"/>
    <mergeCell ref="AT8:AT16"/>
    <mergeCell ref="AY8:AY16"/>
    <mergeCell ref="AE26:AE29"/>
    <mergeCell ref="AJ26:AJ29"/>
    <mergeCell ref="AO26:AO29"/>
    <mergeCell ref="W40:AB40"/>
    <mergeCell ref="Y57:AA57"/>
    <mergeCell ref="E24:H24"/>
    <mergeCell ref="Y59:AA59"/>
    <mergeCell ref="AT26:AT29"/>
    <mergeCell ref="AE17:AE25"/>
  </mergeCells>
  <dataValidations count="10">
    <dataValidation type="custom" allowBlank="1" showInputMessage="1" showErrorMessage="1" sqref="E15" xr:uid="{00000000-0002-0000-0800-000000000000}">
      <formula1>IF(E14=A71,E15=0,E15&gt;0)</formula1>
    </dataValidation>
    <dataValidation type="custom" allowBlank="1" showInputMessage="1" showErrorMessage="1" sqref="H15" xr:uid="{00000000-0002-0000-0800-000001000000}">
      <formula1>IF(H14=A71,H15=0,H15&gt;0)</formula1>
    </dataValidation>
    <dataValidation type="list" allowBlank="1" showInputMessage="1" showErrorMessage="1" sqref="E6" xr:uid="{00000000-0002-0000-0800-000002000000}">
      <formula1>$I$69:$I$70</formula1>
    </dataValidation>
    <dataValidation type="list" allowBlank="1" showInputMessage="1" showErrorMessage="1" sqref="H16" xr:uid="{00000000-0002-0000-0800-000003000000}">
      <formula1>INDIRECT($H$14)</formula1>
    </dataValidation>
    <dataValidation type="list" allowBlank="1" showInputMessage="1" showErrorMessage="1" sqref="H17" xr:uid="{00000000-0002-0000-0800-000004000000}">
      <formula1>INDIRECT($H$16)</formula1>
    </dataValidation>
    <dataValidation type="list" allowBlank="1" showInputMessage="1" showErrorMessage="1" sqref="H14 E14" xr:uid="{00000000-0002-0000-0800-000005000000}">
      <formula1>$A$70:$A$71</formula1>
    </dataValidation>
    <dataValidation type="list" allowBlank="1" showInputMessage="1" showErrorMessage="1" sqref="F17:G17" xr:uid="{00000000-0002-0000-0800-000006000000}">
      <formula1>INDIRECT($E$6)</formula1>
    </dataValidation>
    <dataValidation type="list" allowBlank="1" showInputMessage="1" showErrorMessage="1" sqref="E17" xr:uid="{00000000-0002-0000-0800-000007000000}">
      <formula1>INDIRECT($E$16)</formula1>
    </dataValidation>
    <dataValidation type="custom" allowBlank="1" showInputMessage="1" showErrorMessage="1" sqref="F15:G15" xr:uid="{00000000-0002-0000-0800-000008000000}">
      <formula1>F15&gt;0</formula1>
    </dataValidation>
    <dataValidation type="list" allowBlank="1" showInputMessage="1" showErrorMessage="1" sqref="E16" xr:uid="{00000000-0002-0000-0800-000009000000}">
      <formula1>INDIRECT($E$14)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6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7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acro18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cro19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Macro20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Macro21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Macro10">
                <anchor moveWithCells="1" sizeWithCells="1">
                  <from>
                    <xdr:col>8</xdr:col>
                    <xdr:colOff>28575</xdr:colOff>
                    <xdr:row>0</xdr:row>
                    <xdr:rowOff>19050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Macro38">
                <anchor moveWithCells="1" sizeWithCells="1">
                  <from>
                    <xdr:col>4</xdr:col>
                    <xdr:colOff>19050</xdr:colOff>
                    <xdr:row>11</xdr:row>
                    <xdr:rowOff>9525</xdr:rowOff>
                  </from>
                  <to>
                    <xdr:col>4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Macro39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Button 17">
              <controlPr defaultSize="0" print="0" autoFill="0" autoPict="0" macro="[0]!Macro40">
                <anchor moveWithCells="1" sizeWithCells="1">
                  <from>
                    <xdr:col>4</xdr:col>
                    <xdr:colOff>38100</xdr:colOff>
                    <xdr:row>19</xdr:row>
                    <xdr:rowOff>9525</xdr:rowOff>
                  </from>
                  <to>
                    <xdr:col>4</xdr:col>
                    <xdr:colOff>600075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Macro41">
                <anchor moveWithCells="1" sizeWithCells="1">
                  <from>
                    <xdr:col>7</xdr:col>
                    <xdr:colOff>19050</xdr:colOff>
                    <xdr:row>19</xdr:row>
                    <xdr:rowOff>28575</xdr:rowOff>
                  </from>
                  <to>
                    <xdr:col>7</xdr:col>
                    <xdr:colOff>590550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Button 20">
              <controlPr defaultSize="0" print="0" autoFill="0" autoPict="0" macro="[0]!Sezionica">
                <anchor moveWithCells="1" sizeWithCells="1">
                  <from>
                    <xdr:col>8</xdr:col>
                    <xdr:colOff>47625</xdr:colOff>
                    <xdr:row>13</xdr:row>
                    <xdr:rowOff>9525</xdr:rowOff>
                  </from>
                  <to>
                    <xdr:col>9</xdr:col>
                    <xdr:colOff>514350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Button 21">
              <controlPr defaultSize="0" print="0" autoFill="0" autoPict="0" macro="[0]!Sezioneacciaiodadue">
                <anchor moveWithCells="1" sizeWithCells="1">
                  <from>
                    <xdr:col>8</xdr:col>
                    <xdr:colOff>47625</xdr:colOff>
                    <xdr:row>16</xdr:row>
                    <xdr:rowOff>38100</xdr:rowOff>
                  </from>
                  <to>
                    <xdr:col>9</xdr:col>
                    <xdr:colOff>514350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6"/>
  <dimension ref="A1:BD99"/>
  <sheetViews>
    <sheetView showGridLines="0" zoomScale="85" zoomScaleNormal="85" workbookViewId="0">
      <selection activeCell="G15" sqref="G15"/>
    </sheetView>
  </sheetViews>
  <sheetFormatPr defaultColWidth="9.140625" defaultRowHeight="12" x14ac:dyDescent="0.2"/>
  <cols>
    <col min="1" max="2" width="9.140625" style="1"/>
    <col min="3" max="3" width="8.28515625" style="1" bestFit="1" customWidth="1"/>
    <col min="4" max="7" width="9.140625" style="1"/>
    <col min="8" max="8" width="8.28515625" style="1" bestFit="1" customWidth="1"/>
    <col min="9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26" t="s">
        <v>467</v>
      </c>
      <c r="B1" s="326"/>
      <c r="C1" s="326"/>
      <c r="D1" s="326"/>
      <c r="E1" s="326"/>
      <c r="F1" s="326"/>
      <c r="G1" s="326"/>
      <c r="H1" s="326"/>
      <c r="I1" s="326"/>
      <c r="J1" s="326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E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x14ac:dyDescent="0.2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ht="12" customHeight="1" x14ac:dyDescent="0.2">
      <c r="D4" s="335" t="s">
        <v>465</v>
      </c>
      <c r="E4" s="335"/>
      <c r="F4" s="335"/>
      <c r="G4" s="335"/>
      <c r="H4" s="335"/>
      <c r="AE4" s="331" t="s">
        <v>56</v>
      </c>
      <c r="AF4" s="203">
        <f>AG4</f>
        <v>0</v>
      </c>
      <c r="AG4" s="203">
        <f>'CCC-car.1'!AD47</f>
        <v>0</v>
      </c>
      <c r="AH4" s="203">
        <f>'CCC-car.1'!AE47</f>
        <v>0</v>
      </c>
      <c r="AI4" s="203">
        <f>'CCC-car.1'!AF47</f>
        <v>0</v>
      </c>
      <c r="AJ4" s="331" t="s">
        <v>56</v>
      </c>
      <c r="AK4" s="203">
        <f>AF4</f>
        <v>0</v>
      </c>
      <c r="AL4" s="203">
        <f>'CCC-car.2'!AD47</f>
        <v>0</v>
      </c>
      <c r="AM4" s="203">
        <f>'CCC-car.2'!AE47</f>
        <v>0</v>
      </c>
      <c r="AN4" s="203">
        <f>'CCC-car.2'!AF47</f>
        <v>0</v>
      </c>
      <c r="AO4" s="331" t="s">
        <v>56</v>
      </c>
      <c r="AP4" s="203">
        <f>AF4</f>
        <v>0</v>
      </c>
      <c r="AQ4" s="203">
        <f>'CCC-car.3'!AD47</f>
        <v>0</v>
      </c>
      <c r="AR4" s="203">
        <f>'CCC-car.3'!AE47</f>
        <v>0</v>
      </c>
      <c r="AS4" s="203">
        <f>'CCC-car.3'!AF47</f>
        <v>0</v>
      </c>
      <c r="AT4" s="331" t="s">
        <v>56</v>
      </c>
      <c r="AU4" s="203">
        <f>AF4</f>
        <v>0</v>
      </c>
      <c r="AV4" s="203">
        <f>'CCC-car.4'!AD47</f>
        <v>0</v>
      </c>
      <c r="AW4" s="203">
        <f>'CCC-car.4'!AE47</f>
        <v>0</v>
      </c>
      <c r="AX4" s="203">
        <f>'CCC-car.4'!AF47</f>
        <v>0</v>
      </c>
      <c r="AY4" s="331" t="s">
        <v>56</v>
      </c>
      <c r="AZ4" s="203">
        <f>AF4</f>
        <v>0</v>
      </c>
      <c r="BA4" s="203">
        <f>'CCC-car.5'!AD47</f>
        <v>0</v>
      </c>
      <c r="BB4" s="203">
        <f>'CCC-car.5'!AE47</f>
        <v>0</v>
      </c>
      <c r="BC4" s="203">
        <f>'CCC-car.5'!AF47</f>
        <v>0</v>
      </c>
    </row>
    <row r="5" spans="1:56" x14ac:dyDescent="0.2">
      <c r="G5" s="3"/>
      <c r="AE5" s="331"/>
      <c r="AF5" s="201">
        <f t="shared" ref="AF5:AF7" si="0">AG5</f>
        <v>0</v>
      </c>
      <c r="AG5" s="201">
        <f>'CCC-car.1'!AD48</f>
        <v>0</v>
      </c>
      <c r="AH5" s="201">
        <f>'CCC-car.1'!AE48</f>
        <v>0</v>
      </c>
      <c r="AI5" s="201">
        <f>'CCC-car.1'!AF48</f>
        <v>0</v>
      </c>
      <c r="AJ5" s="331"/>
      <c r="AK5" s="201">
        <f t="shared" ref="AK5:AK38" si="1">AF5</f>
        <v>0</v>
      </c>
      <c r="AL5" s="201">
        <f>'CCC-car.2'!AD48</f>
        <v>0</v>
      </c>
      <c r="AM5" s="201">
        <f>'CCC-car.2'!AE48</f>
        <v>0</v>
      </c>
      <c r="AN5" s="201">
        <f>'CCC-car.2'!AF48</f>
        <v>0</v>
      </c>
      <c r="AO5" s="331"/>
      <c r="AP5" s="201">
        <f t="shared" ref="AP5:AP38" si="2">AF5</f>
        <v>0</v>
      </c>
      <c r="AQ5" s="201">
        <f>'CCC-car.3'!AD48</f>
        <v>0</v>
      </c>
      <c r="AR5" s="201">
        <f>'CCC-car.3'!AE48</f>
        <v>0</v>
      </c>
      <c r="AS5" s="201">
        <f>'CCC-car.3'!AF48</f>
        <v>0</v>
      </c>
      <c r="AT5" s="331"/>
      <c r="AU5" s="201">
        <f t="shared" ref="AU5:AU38" si="3">AF5</f>
        <v>0</v>
      </c>
      <c r="AV5" s="201">
        <f>'CCC-car.4'!AD48</f>
        <v>0</v>
      </c>
      <c r="AW5" s="201">
        <f>'CCC-car.4'!AE48</f>
        <v>0</v>
      </c>
      <c r="AX5" s="201">
        <f>'CCC-car.4'!AF48</f>
        <v>0</v>
      </c>
      <c r="AY5" s="331"/>
      <c r="AZ5" s="201">
        <f t="shared" ref="AZ5:AZ38" si="4">AF5</f>
        <v>0</v>
      </c>
      <c r="BA5" s="201">
        <f>'CCC-car.5'!AD48</f>
        <v>0</v>
      </c>
      <c r="BB5" s="201">
        <f>'CCC-car.5'!AE48</f>
        <v>0</v>
      </c>
      <c r="BC5" s="201">
        <f>'CCC-car.5'!AF48</f>
        <v>0</v>
      </c>
    </row>
    <row r="6" spans="1:56" x14ac:dyDescent="0.2">
      <c r="D6" s="332" t="s">
        <v>452</v>
      </c>
      <c r="E6" s="332"/>
      <c r="F6" s="332"/>
      <c r="G6" s="332"/>
      <c r="H6" s="332"/>
      <c r="AE6" s="331"/>
      <c r="AF6" s="201">
        <f t="shared" si="0"/>
        <v>0</v>
      </c>
      <c r="AG6" s="201">
        <f>'CCC-car.1'!AD49</f>
        <v>0</v>
      </c>
      <c r="AH6" s="201">
        <f>'CCC-car.1'!AE49</f>
        <v>0</v>
      </c>
      <c r="AI6" s="201">
        <f>'CCC-car.1'!AF49</f>
        <v>0</v>
      </c>
      <c r="AJ6" s="331"/>
      <c r="AK6" s="201">
        <f t="shared" si="1"/>
        <v>0</v>
      </c>
      <c r="AL6" s="201">
        <f>'CCC-car.2'!AD49</f>
        <v>0</v>
      </c>
      <c r="AM6" s="201">
        <f>'CCC-car.2'!AE49</f>
        <v>0</v>
      </c>
      <c r="AN6" s="201">
        <f>'CCC-car.2'!AF49</f>
        <v>0</v>
      </c>
      <c r="AO6" s="331"/>
      <c r="AP6" s="201">
        <f t="shared" si="2"/>
        <v>0</v>
      </c>
      <c r="AQ6" s="201">
        <f>'CCC-car.3'!AD49</f>
        <v>0</v>
      </c>
      <c r="AR6" s="201">
        <f>'CCC-car.3'!AE49</f>
        <v>0</v>
      </c>
      <c r="AS6" s="201">
        <f>'CCC-car.3'!AF49</f>
        <v>0</v>
      </c>
      <c r="AT6" s="331"/>
      <c r="AU6" s="201">
        <f t="shared" si="3"/>
        <v>0</v>
      </c>
      <c r="AV6" s="201">
        <f>'CCC-car.4'!AD49</f>
        <v>0</v>
      </c>
      <c r="AW6" s="201">
        <f>'CCC-car.4'!AE49</f>
        <v>0</v>
      </c>
      <c r="AX6" s="201">
        <f>'CCC-car.4'!AF49</f>
        <v>0</v>
      </c>
      <c r="AY6" s="331"/>
      <c r="AZ6" s="201">
        <f t="shared" si="4"/>
        <v>0</v>
      </c>
      <c r="BA6" s="201">
        <f>'CCC-car.5'!AD49</f>
        <v>0</v>
      </c>
      <c r="BB6" s="201">
        <f>'CCC-car.5'!AE49</f>
        <v>0</v>
      </c>
      <c r="BC6" s="201">
        <f>'CCC-car.5'!AF49</f>
        <v>0</v>
      </c>
    </row>
    <row r="7" spans="1:56" ht="12" customHeight="1" x14ac:dyDescent="0.2">
      <c r="AE7" s="331"/>
      <c r="AF7" s="204">
        <f t="shared" si="0"/>
        <v>0</v>
      </c>
      <c r="AG7" s="204">
        <f>'CCC-car.1'!AD50</f>
        <v>0</v>
      </c>
      <c r="AH7" s="204">
        <f>'CCC-car.1'!AE50</f>
        <v>0</v>
      </c>
      <c r="AI7" s="204">
        <f>'CCC-car.1'!AF50</f>
        <v>0</v>
      </c>
      <c r="AJ7" s="331"/>
      <c r="AK7" s="204">
        <f t="shared" si="1"/>
        <v>0</v>
      </c>
      <c r="AL7" s="204">
        <f>'CCC-car.2'!AD50</f>
        <v>0</v>
      </c>
      <c r="AM7" s="204">
        <f>'CCC-car.2'!AE50</f>
        <v>0</v>
      </c>
      <c r="AN7" s="204">
        <f>'CCC-car.2'!AF50</f>
        <v>0</v>
      </c>
      <c r="AO7" s="331"/>
      <c r="AP7" s="204">
        <f t="shared" si="2"/>
        <v>0</v>
      </c>
      <c r="AQ7" s="204">
        <f>'CCC-car.3'!AD50</f>
        <v>0</v>
      </c>
      <c r="AR7" s="204">
        <f>'CCC-car.3'!AE50</f>
        <v>0</v>
      </c>
      <c r="AS7" s="204">
        <f>'CCC-car.3'!AF50</f>
        <v>0</v>
      </c>
      <c r="AT7" s="331"/>
      <c r="AU7" s="204">
        <f t="shared" si="3"/>
        <v>0</v>
      </c>
      <c r="AV7" s="204">
        <f>'CCC-car.4'!AD50</f>
        <v>0</v>
      </c>
      <c r="AW7" s="204">
        <f>'CCC-car.4'!AE50</f>
        <v>0</v>
      </c>
      <c r="AX7" s="204">
        <f>'CCC-car.4'!AF50</f>
        <v>0</v>
      </c>
      <c r="AY7" s="331"/>
      <c r="AZ7" s="204">
        <f t="shared" si="4"/>
        <v>0</v>
      </c>
      <c r="BA7" s="204">
        <f>'CCC-car.5'!AD50</f>
        <v>0</v>
      </c>
      <c r="BB7" s="204">
        <f>'CCC-car.5'!AE50</f>
        <v>0</v>
      </c>
      <c r="BC7" s="204">
        <f>'CCC-car.5'!AF50</f>
        <v>0</v>
      </c>
    </row>
    <row r="8" spans="1:56" ht="12" customHeight="1" x14ac:dyDescent="0.2">
      <c r="AE8" s="330" t="s">
        <v>30</v>
      </c>
      <c r="AF8" s="203">
        <f t="shared" ref="AF8:AF16" si="5">AG8-$AG$7</f>
        <v>0</v>
      </c>
      <c r="AG8" s="203">
        <f>'CCC-car.1'!AD51</f>
        <v>0</v>
      </c>
      <c r="AH8" s="203">
        <f>'CCC-car.1'!AE51</f>
        <v>0</v>
      </c>
      <c r="AI8" s="203">
        <f>'CCC-car.1'!AF51</f>
        <v>0</v>
      </c>
      <c r="AJ8" s="330" t="s">
        <v>30</v>
      </c>
      <c r="AK8" s="203">
        <f t="shared" si="1"/>
        <v>0</v>
      </c>
      <c r="AL8" s="203">
        <f>'CCC-car.2'!AD51</f>
        <v>0</v>
      </c>
      <c r="AM8" s="203">
        <f>'CCC-car.2'!AE51</f>
        <v>0</v>
      </c>
      <c r="AN8" s="203">
        <f>'CCC-car.2'!AF51</f>
        <v>12.473076923076924</v>
      </c>
      <c r="AO8" s="330" t="s">
        <v>30</v>
      </c>
      <c r="AP8" s="203">
        <f t="shared" si="2"/>
        <v>0</v>
      </c>
      <c r="AQ8" s="203">
        <f>'CCC-car.3'!AD51</f>
        <v>0</v>
      </c>
      <c r="AR8" s="203">
        <f>'CCC-car.3'!AE51</f>
        <v>0</v>
      </c>
      <c r="AS8" s="203">
        <f>'CCC-car.3'!AF51</f>
        <v>0</v>
      </c>
      <c r="AT8" s="330" t="s">
        <v>30</v>
      </c>
      <c r="AU8" s="203">
        <f t="shared" si="3"/>
        <v>0</v>
      </c>
      <c r="AV8" s="203">
        <f>'CCC-car.4'!AD51</f>
        <v>0</v>
      </c>
      <c r="AW8" s="203">
        <f>'CCC-car.4'!AE51</f>
        <v>0</v>
      </c>
      <c r="AX8" s="203">
        <f>'CCC-car.4'!AF51</f>
        <v>0</v>
      </c>
      <c r="AY8" s="330" t="s">
        <v>30</v>
      </c>
      <c r="AZ8" s="203">
        <f t="shared" si="4"/>
        <v>0</v>
      </c>
      <c r="BA8" s="203">
        <f>'CCC-car.5'!AD51</f>
        <v>0</v>
      </c>
      <c r="BB8" s="203">
        <f>'CCC-car.5'!AE51</f>
        <v>0</v>
      </c>
      <c r="BC8" s="203">
        <f>'CCC-car.5'!AF51</f>
        <v>0</v>
      </c>
    </row>
    <row r="9" spans="1:56" x14ac:dyDescent="0.2">
      <c r="AE9" s="330"/>
      <c r="AF9" s="201">
        <f t="shared" si="5"/>
        <v>0.5</v>
      </c>
      <c r="AG9" s="201">
        <f>'CCC-car.1'!AD52</f>
        <v>0.5</v>
      </c>
      <c r="AH9" s="201">
        <f>'CCC-car.1'!AE52</f>
        <v>0</v>
      </c>
      <c r="AI9" s="201">
        <f>'CCC-car.1'!AF52</f>
        <v>0</v>
      </c>
      <c r="AJ9" s="330"/>
      <c r="AK9" s="201">
        <f t="shared" si="1"/>
        <v>0.5</v>
      </c>
      <c r="AL9" s="201">
        <f>'CCC-car.2'!AD52</f>
        <v>0.5</v>
      </c>
      <c r="AM9" s="201">
        <f>'CCC-car.2'!AE52</f>
        <v>5.0615384615384622</v>
      </c>
      <c r="AN9" s="201">
        <f>'CCC-car.2'!AF52</f>
        <v>7.7730769230769239</v>
      </c>
      <c r="AO9" s="330"/>
      <c r="AP9" s="201">
        <f t="shared" si="2"/>
        <v>0.5</v>
      </c>
      <c r="AQ9" s="201">
        <f>'CCC-car.3'!AD52</f>
        <v>0.5</v>
      </c>
      <c r="AR9" s="201">
        <f>'CCC-car.3'!AE52</f>
        <v>0</v>
      </c>
      <c r="AS9" s="201">
        <f>'CCC-car.3'!AF52</f>
        <v>0</v>
      </c>
      <c r="AT9" s="330"/>
      <c r="AU9" s="201">
        <f t="shared" si="3"/>
        <v>0.5</v>
      </c>
      <c r="AV9" s="201">
        <f>'CCC-car.4'!AD52</f>
        <v>0.5</v>
      </c>
      <c r="AW9" s="201">
        <f>'CCC-car.4'!AE52</f>
        <v>0</v>
      </c>
      <c r="AX9" s="201">
        <f>'CCC-car.4'!AF52</f>
        <v>0</v>
      </c>
      <c r="AY9" s="330"/>
      <c r="AZ9" s="201">
        <f t="shared" si="4"/>
        <v>0.5</v>
      </c>
      <c r="BA9" s="201">
        <f>'CCC-car.5'!AD52</f>
        <v>0.5</v>
      </c>
      <c r="BB9" s="201">
        <f>'CCC-car.5'!AE52</f>
        <v>0</v>
      </c>
      <c r="BC9" s="201">
        <f>'CCC-car.5'!AF52</f>
        <v>0</v>
      </c>
    </row>
    <row r="10" spans="1:56" x14ac:dyDescent="0.2">
      <c r="B10" s="286"/>
      <c r="C10" s="286"/>
      <c r="D10" s="335" t="s">
        <v>466</v>
      </c>
      <c r="E10" s="335"/>
      <c r="F10" s="335"/>
      <c r="G10" s="335"/>
      <c r="H10" s="335"/>
      <c r="AE10" s="330"/>
      <c r="AF10" s="201">
        <f t="shared" si="5"/>
        <v>1</v>
      </c>
      <c r="AG10" s="201">
        <f>'CCC-car.1'!AD53</f>
        <v>1</v>
      </c>
      <c r="AH10" s="201">
        <f>'CCC-car.1'!AE53</f>
        <v>0</v>
      </c>
      <c r="AI10" s="201">
        <f>'CCC-car.1'!AF53</f>
        <v>0</v>
      </c>
      <c r="AJ10" s="330"/>
      <c r="AK10" s="201">
        <f t="shared" si="1"/>
        <v>1</v>
      </c>
      <c r="AL10" s="201">
        <f>'CCC-car.2'!AD53</f>
        <v>1</v>
      </c>
      <c r="AM10" s="201">
        <f>'CCC-car.2'!AE53</f>
        <v>7.7730769230769239</v>
      </c>
      <c r="AN10" s="201">
        <f>'CCC-car.2'!AF53</f>
        <v>3.0730769230769237</v>
      </c>
      <c r="AO10" s="330"/>
      <c r="AP10" s="201">
        <f t="shared" si="2"/>
        <v>1</v>
      </c>
      <c r="AQ10" s="201">
        <f>'CCC-car.3'!AD53</f>
        <v>1</v>
      </c>
      <c r="AR10" s="201">
        <f>'CCC-car.3'!AE53</f>
        <v>0</v>
      </c>
      <c r="AS10" s="201">
        <f>'CCC-car.3'!AF53</f>
        <v>0</v>
      </c>
      <c r="AT10" s="330"/>
      <c r="AU10" s="201">
        <f t="shared" si="3"/>
        <v>1</v>
      </c>
      <c r="AV10" s="201">
        <f>'CCC-car.4'!AD53</f>
        <v>1</v>
      </c>
      <c r="AW10" s="201">
        <f>'CCC-car.4'!AE53</f>
        <v>0</v>
      </c>
      <c r="AX10" s="201">
        <f>'CCC-car.4'!AF53</f>
        <v>0</v>
      </c>
      <c r="AY10" s="330"/>
      <c r="AZ10" s="201">
        <f t="shared" si="4"/>
        <v>1</v>
      </c>
      <c r="BA10" s="201">
        <f>'CCC-car.5'!AD53</f>
        <v>1</v>
      </c>
      <c r="BB10" s="201">
        <f>'CCC-car.5'!AE53</f>
        <v>0</v>
      </c>
      <c r="BC10" s="201">
        <f>'CCC-car.5'!AF53</f>
        <v>0</v>
      </c>
    </row>
    <row r="11" spans="1:56" x14ac:dyDescent="0.2">
      <c r="B11" s="304"/>
      <c r="C11" s="304"/>
      <c r="D11" s="304"/>
      <c r="E11" s="304"/>
      <c r="F11" s="304"/>
      <c r="G11" s="304"/>
      <c r="H11" s="304"/>
      <c r="AE11" s="330"/>
      <c r="AF11" s="201">
        <f t="shared" si="5"/>
        <v>1.5</v>
      </c>
      <c r="AG11" s="201">
        <f>'CCC-car.1'!AD54</f>
        <v>1.5</v>
      </c>
      <c r="AH11" s="201">
        <f>'CCC-car.1'!AE54</f>
        <v>0</v>
      </c>
      <c r="AI11" s="201">
        <f>'CCC-car.1'!AF54</f>
        <v>0</v>
      </c>
      <c r="AJ11" s="330"/>
      <c r="AK11" s="201">
        <f t="shared" si="1"/>
        <v>1.5</v>
      </c>
      <c r="AL11" s="201">
        <f>'CCC-car.2'!AD54</f>
        <v>1.5</v>
      </c>
      <c r="AM11" s="201">
        <f>'CCC-car.2'!AE54</f>
        <v>8.134615384615385</v>
      </c>
      <c r="AN11" s="201">
        <f>'CCC-car.2'!AF54</f>
        <v>-1.6269230769230774</v>
      </c>
      <c r="AO11" s="330"/>
      <c r="AP11" s="201">
        <f t="shared" si="2"/>
        <v>1.5</v>
      </c>
      <c r="AQ11" s="201">
        <f>'CCC-car.3'!AD54</f>
        <v>1.5</v>
      </c>
      <c r="AR11" s="201">
        <f>'CCC-car.3'!AE54</f>
        <v>0</v>
      </c>
      <c r="AS11" s="201">
        <f>'CCC-car.3'!AF54</f>
        <v>0</v>
      </c>
      <c r="AT11" s="330"/>
      <c r="AU11" s="201">
        <f t="shared" si="3"/>
        <v>1.5</v>
      </c>
      <c r="AV11" s="201">
        <f>'CCC-car.4'!AD54</f>
        <v>1.5</v>
      </c>
      <c r="AW11" s="201">
        <f>'CCC-car.4'!AE54</f>
        <v>0</v>
      </c>
      <c r="AX11" s="201">
        <f>'CCC-car.4'!AF54</f>
        <v>0</v>
      </c>
      <c r="AY11" s="330"/>
      <c r="AZ11" s="201">
        <f t="shared" si="4"/>
        <v>1.5</v>
      </c>
      <c r="BA11" s="201">
        <f>'CCC-car.5'!AD54</f>
        <v>1.5</v>
      </c>
      <c r="BB11" s="201">
        <f>'CCC-car.5'!AE54</f>
        <v>0</v>
      </c>
      <c r="BC11" s="201">
        <f>'CCC-car.5'!AF54</f>
        <v>0</v>
      </c>
    </row>
    <row r="12" spans="1:56" x14ac:dyDescent="0.2">
      <c r="B12" s="303"/>
      <c r="C12" s="303"/>
      <c r="D12" s="303"/>
      <c r="E12" s="303"/>
      <c r="F12" s="303"/>
      <c r="G12" s="303"/>
      <c r="H12" s="280"/>
      <c r="AE12" s="330"/>
      <c r="AF12" s="201">
        <f t="shared" si="5"/>
        <v>2</v>
      </c>
      <c r="AG12" s="201">
        <f>'CCC-car.1'!AD55</f>
        <v>2</v>
      </c>
      <c r="AH12" s="201">
        <f>'CCC-car.1'!AE55</f>
        <v>0</v>
      </c>
      <c r="AI12" s="201">
        <f>'CCC-car.1'!AF55</f>
        <v>0</v>
      </c>
      <c r="AJ12" s="330"/>
      <c r="AK12" s="201">
        <f t="shared" si="1"/>
        <v>2</v>
      </c>
      <c r="AL12" s="201">
        <f>'CCC-car.2'!AD55</f>
        <v>2</v>
      </c>
      <c r="AM12" s="201">
        <f>'CCC-car.2'!AE55</f>
        <v>6.1461538461538474</v>
      </c>
      <c r="AN12" s="201">
        <f>'CCC-car.2'!AF55</f>
        <v>-6.3269230769230766</v>
      </c>
      <c r="AO12" s="330"/>
      <c r="AP12" s="201">
        <f t="shared" si="2"/>
        <v>2</v>
      </c>
      <c r="AQ12" s="201">
        <f>'CCC-car.3'!AD55</f>
        <v>2</v>
      </c>
      <c r="AR12" s="201">
        <f>'CCC-car.3'!AE55</f>
        <v>0</v>
      </c>
      <c r="AS12" s="201">
        <f>'CCC-car.3'!AF55</f>
        <v>0</v>
      </c>
      <c r="AT12" s="330"/>
      <c r="AU12" s="201">
        <f t="shared" si="3"/>
        <v>2</v>
      </c>
      <c r="AV12" s="201">
        <f>'CCC-car.4'!AD55</f>
        <v>2</v>
      </c>
      <c r="AW12" s="201">
        <f>'CCC-car.4'!AE55</f>
        <v>0</v>
      </c>
      <c r="AX12" s="201">
        <f>'CCC-car.4'!AF55</f>
        <v>0</v>
      </c>
      <c r="AY12" s="330"/>
      <c r="AZ12" s="201">
        <f t="shared" si="4"/>
        <v>2</v>
      </c>
      <c r="BA12" s="201">
        <f>'CCC-car.5'!AD55</f>
        <v>2</v>
      </c>
      <c r="BB12" s="201">
        <f>'CCC-car.5'!AE55</f>
        <v>0</v>
      </c>
      <c r="BC12" s="201">
        <f>'CCC-car.5'!AF55</f>
        <v>0</v>
      </c>
    </row>
    <row r="13" spans="1:56" x14ac:dyDescent="0.2">
      <c r="B13" s="252" t="s">
        <v>451</v>
      </c>
      <c r="C13" s="254"/>
      <c r="D13" s="257" t="s">
        <v>453</v>
      </c>
      <c r="E13" s="254" t="s">
        <v>454</v>
      </c>
      <c r="F13" s="254" t="s">
        <v>455</v>
      </c>
      <c r="G13" s="254" t="s">
        <v>456</v>
      </c>
      <c r="H13" s="257" t="s">
        <v>458</v>
      </c>
      <c r="AE13" s="330"/>
      <c r="AF13" s="201">
        <f t="shared" si="5"/>
        <v>2.5</v>
      </c>
      <c r="AG13" s="201">
        <f>'CCC-car.1'!AD56</f>
        <v>2.5</v>
      </c>
      <c r="AH13" s="201">
        <f>'CCC-car.1'!AE56</f>
        <v>0</v>
      </c>
      <c r="AI13" s="201">
        <f>'CCC-car.1'!AF56</f>
        <v>0</v>
      </c>
      <c r="AJ13" s="330"/>
      <c r="AK13" s="201">
        <f t="shared" si="1"/>
        <v>2.5</v>
      </c>
      <c r="AL13" s="201">
        <f>'CCC-car.2'!AD56</f>
        <v>2.5</v>
      </c>
      <c r="AM13" s="201">
        <f>'CCC-car.2'!AE56</f>
        <v>1.8076923076923102</v>
      </c>
      <c r="AN13" s="201">
        <f>'CCC-car.2'!AF56</f>
        <v>-11.026923076923076</v>
      </c>
      <c r="AO13" s="330"/>
      <c r="AP13" s="201">
        <f t="shared" si="2"/>
        <v>2.5</v>
      </c>
      <c r="AQ13" s="201">
        <f>'CCC-car.3'!AD56</f>
        <v>2.5</v>
      </c>
      <c r="AR13" s="201">
        <f>'CCC-car.3'!AE56</f>
        <v>0</v>
      </c>
      <c r="AS13" s="201">
        <f>'CCC-car.3'!AF56</f>
        <v>0</v>
      </c>
      <c r="AT13" s="330"/>
      <c r="AU13" s="201">
        <f t="shared" si="3"/>
        <v>2.5</v>
      </c>
      <c r="AV13" s="201">
        <f>'CCC-car.4'!AD56</f>
        <v>2.5</v>
      </c>
      <c r="AW13" s="201">
        <f>'CCC-car.4'!AE56</f>
        <v>0</v>
      </c>
      <c r="AX13" s="201">
        <f>'CCC-car.4'!AF56</f>
        <v>0</v>
      </c>
      <c r="AY13" s="330"/>
      <c r="AZ13" s="201">
        <f t="shared" si="4"/>
        <v>2.5</v>
      </c>
      <c r="BA13" s="201">
        <f>'CCC-car.5'!AD56</f>
        <v>2.5</v>
      </c>
      <c r="BB13" s="201">
        <f>'CCC-car.5'!AE56</f>
        <v>0</v>
      </c>
      <c r="BC13" s="201">
        <f>'CCC-car.5'!AF56</f>
        <v>0</v>
      </c>
    </row>
    <row r="14" spans="1:56" x14ac:dyDescent="0.2">
      <c r="D14" s="310" t="s">
        <v>464</v>
      </c>
      <c r="H14" s="310" t="s">
        <v>464</v>
      </c>
      <c r="AE14" s="330"/>
      <c r="AF14" s="201">
        <f t="shared" si="5"/>
        <v>3</v>
      </c>
      <c r="AG14" s="201">
        <f>'CCC-car.1'!AD57</f>
        <v>3</v>
      </c>
      <c r="AH14" s="201">
        <f>'CCC-car.1'!AE57</f>
        <v>0</v>
      </c>
      <c r="AI14" s="201">
        <f>'CCC-car.1'!AF57</f>
        <v>0</v>
      </c>
      <c r="AJ14" s="330"/>
      <c r="AK14" s="201">
        <f t="shared" si="1"/>
        <v>3</v>
      </c>
      <c r="AL14" s="201">
        <f>'CCC-car.2'!AD57</f>
        <v>3</v>
      </c>
      <c r="AM14" s="201">
        <f>'CCC-car.2'!AE57</f>
        <v>-4.8807692307692321</v>
      </c>
      <c r="AN14" s="201">
        <f>'CCC-car.2'!AF57</f>
        <v>-15.726923076923079</v>
      </c>
      <c r="AO14" s="330"/>
      <c r="AP14" s="201">
        <f t="shared" si="2"/>
        <v>3</v>
      </c>
      <c r="AQ14" s="201">
        <f>'CCC-car.3'!AD57</f>
        <v>3</v>
      </c>
      <c r="AR14" s="201">
        <f>'CCC-car.3'!AE57</f>
        <v>0</v>
      </c>
      <c r="AS14" s="201">
        <f>'CCC-car.3'!AF57</f>
        <v>0</v>
      </c>
      <c r="AT14" s="330"/>
      <c r="AU14" s="201">
        <f t="shared" si="3"/>
        <v>3</v>
      </c>
      <c r="AV14" s="201">
        <f>'CCC-car.4'!AD57</f>
        <v>3</v>
      </c>
      <c r="AW14" s="201">
        <f>'CCC-car.4'!AE57</f>
        <v>0</v>
      </c>
      <c r="AX14" s="201">
        <f>'CCC-car.4'!AF57</f>
        <v>0</v>
      </c>
      <c r="AY14" s="330"/>
      <c r="AZ14" s="201">
        <f t="shared" si="4"/>
        <v>3</v>
      </c>
      <c r="BA14" s="201">
        <f>'CCC-car.5'!AD57</f>
        <v>3</v>
      </c>
      <c r="BB14" s="201">
        <f>'CCC-car.5'!AE57</f>
        <v>0</v>
      </c>
      <c r="BC14" s="201">
        <f>'CCC-car.5'!AF57</f>
        <v>0</v>
      </c>
    </row>
    <row r="15" spans="1:56" x14ac:dyDescent="0.2">
      <c r="B15" s="252" t="s">
        <v>447</v>
      </c>
      <c r="C15" s="272" t="s">
        <v>449</v>
      </c>
      <c r="D15" s="278">
        <v>0</v>
      </c>
      <c r="E15" s="278">
        <v>4</v>
      </c>
      <c r="F15" s="278">
        <v>6</v>
      </c>
      <c r="G15" s="278">
        <v>4</v>
      </c>
      <c r="H15" s="278">
        <v>0</v>
      </c>
      <c r="AE15" s="330"/>
      <c r="AF15" s="201">
        <f t="shared" si="5"/>
        <v>3.5</v>
      </c>
      <c r="AG15" s="201">
        <f>'CCC-car.1'!AD58</f>
        <v>3.5</v>
      </c>
      <c r="AH15" s="201">
        <f>'CCC-car.1'!AE58</f>
        <v>0</v>
      </c>
      <c r="AI15" s="201">
        <f>'CCC-car.1'!AF58</f>
        <v>0</v>
      </c>
      <c r="AJ15" s="330"/>
      <c r="AK15" s="201">
        <f t="shared" si="1"/>
        <v>3.5</v>
      </c>
      <c r="AL15" s="201">
        <f>'CCC-car.2'!AD58</f>
        <v>3.5</v>
      </c>
      <c r="AM15" s="201">
        <f>'CCC-car.2'!AE58</f>
        <v>-13.919230769230765</v>
      </c>
      <c r="AN15" s="201">
        <f>'CCC-car.2'!AF58</f>
        <v>-20.426923076923075</v>
      </c>
      <c r="AO15" s="330"/>
      <c r="AP15" s="201">
        <f t="shared" si="2"/>
        <v>3.5</v>
      </c>
      <c r="AQ15" s="201">
        <f>'CCC-car.3'!AD58</f>
        <v>3.5</v>
      </c>
      <c r="AR15" s="201">
        <f>'CCC-car.3'!AE58</f>
        <v>0</v>
      </c>
      <c r="AS15" s="201">
        <f>'CCC-car.3'!AF58</f>
        <v>0</v>
      </c>
      <c r="AT15" s="330"/>
      <c r="AU15" s="201">
        <f t="shared" si="3"/>
        <v>3.5</v>
      </c>
      <c r="AV15" s="201">
        <f>'CCC-car.4'!AD58</f>
        <v>3.5</v>
      </c>
      <c r="AW15" s="201">
        <f>'CCC-car.4'!AE58</f>
        <v>0</v>
      </c>
      <c r="AX15" s="201">
        <f>'CCC-car.4'!AF58</f>
        <v>0</v>
      </c>
      <c r="AY15" s="330"/>
      <c r="AZ15" s="201">
        <f t="shared" si="4"/>
        <v>3.5</v>
      </c>
      <c r="BA15" s="201">
        <f>'CCC-car.5'!AD58</f>
        <v>3.5</v>
      </c>
      <c r="BB15" s="201">
        <f>'CCC-car.5'!AE58</f>
        <v>0</v>
      </c>
      <c r="BC15" s="201">
        <f>'CCC-car.5'!AF58</f>
        <v>0</v>
      </c>
    </row>
    <row r="16" spans="1:56" s="46" customFormat="1" ht="13.5" customHeight="1" x14ac:dyDescent="0.2">
      <c r="B16" s="252" t="s">
        <v>450</v>
      </c>
      <c r="C16" s="42"/>
      <c r="D16" s="279" t="s">
        <v>448</v>
      </c>
      <c r="E16" s="338" t="str">
        <f>D6</f>
        <v>ca</v>
      </c>
      <c r="F16" s="338"/>
      <c r="G16" s="338"/>
      <c r="H16" s="279" t="s">
        <v>448</v>
      </c>
      <c r="U16" s="18"/>
      <c r="AE16" s="330"/>
      <c r="AF16" s="204">
        <f t="shared" si="5"/>
        <v>4</v>
      </c>
      <c r="AG16" s="204">
        <f>'CCC-car.1'!AD59</f>
        <v>4</v>
      </c>
      <c r="AH16" s="204">
        <f>'CCC-car.1'!AE59</f>
        <v>0</v>
      </c>
      <c r="AI16" s="204">
        <f>'CCC-car.1'!AF59</f>
        <v>0</v>
      </c>
      <c r="AJ16" s="330"/>
      <c r="AK16" s="204">
        <f t="shared" si="1"/>
        <v>4</v>
      </c>
      <c r="AL16" s="204">
        <f>'CCC-car.2'!AD59</f>
        <v>4</v>
      </c>
      <c r="AM16" s="204">
        <f>'CCC-car.2'!AE59</f>
        <v>-25.307692307692307</v>
      </c>
      <c r="AN16" s="204">
        <f>'CCC-car.2'!AF59</f>
        <v>-25.126923076923077</v>
      </c>
      <c r="AO16" s="330"/>
      <c r="AP16" s="204">
        <f t="shared" si="2"/>
        <v>4</v>
      </c>
      <c r="AQ16" s="204">
        <f>'CCC-car.3'!AD59</f>
        <v>4</v>
      </c>
      <c r="AR16" s="204">
        <f>'CCC-car.3'!AE59</f>
        <v>0</v>
      </c>
      <c r="AS16" s="204">
        <f>'CCC-car.3'!AF59</f>
        <v>0</v>
      </c>
      <c r="AT16" s="330"/>
      <c r="AU16" s="204">
        <f t="shared" si="3"/>
        <v>4</v>
      </c>
      <c r="AV16" s="204">
        <f>'CCC-car.4'!AD59</f>
        <v>4</v>
      </c>
      <c r="AW16" s="204">
        <f>'CCC-car.4'!AE59</f>
        <v>0</v>
      </c>
      <c r="AX16" s="204">
        <f>'CCC-car.4'!AF59</f>
        <v>0</v>
      </c>
      <c r="AY16" s="330"/>
      <c r="AZ16" s="204">
        <f t="shared" si="4"/>
        <v>4</v>
      </c>
      <c r="BA16" s="204">
        <f>'CCC-car.5'!AD59</f>
        <v>4</v>
      </c>
      <c r="BB16" s="204">
        <f>'CCC-car.5'!AE59</f>
        <v>0</v>
      </c>
      <c r="BC16" s="204">
        <f>'CCC-car.5'!AF59</f>
        <v>0</v>
      </c>
      <c r="BD16" s="1"/>
    </row>
    <row r="17" spans="2:56" s="46" customFormat="1" ht="12" customHeight="1" x14ac:dyDescent="0.2">
      <c r="B17" s="252" t="s">
        <v>127</v>
      </c>
      <c r="C17" s="42"/>
      <c r="D17" s="309" t="s">
        <v>464</v>
      </c>
      <c r="E17" s="276" t="s">
        <v>475</v>
      </c>
      <c r="F17" s="276" t="s">
        <v>475</v>
      </c>
      <c r="G17" s="276" t="s">
        <v>475</v>
      </c>
      <c r="H17" s="310"/>
      <c r="AE17" s="331" t="s">
        <v>72</v>
      </c>
      <c r="AF17" s="205">
        <f t="shared" ref="AF17:AF25" si="6">AG17-$AG$16</f>
        <v>0</v>
      </c>
      <c r="AG17" s="203">
        <f>'CCC-car.1'!AD60</f>
        <v>4</v>
      </c>
      <c r="AH17" s="203">
        <f>'CCC-car.1'!AE60</f>
        <v>0</v>
      </c>
      <c r="AI17" s="203">
        <f>'CCC-car.1'!AF60</f>
        <v>0</v>
      </c>
      <c r="AJ17" s="331" t="s">
        <v>72</v>
      </c>
      <c r="AK17" s="205">
        <f t="shared" si="1"/>
        <v>0</v>
      </c>
      <c r="AL17" s="203">
        <f>'CCC-car.2'!AD60</f>
        <v>4</v>
      </c>
      <c r="AM17" s="203">
        <f>'CCC-car.2'!AE60</f>
        <v>-25.307692307692314</v>
      </c>
      <c r="AN17" s="203">
        <f>'CCC-car.2'!AF60</f>
        <v>28.200000000000003</v>
      </c>
      <c r="AO17" s="331" t="s">
        <v>72</v>
      </c>
      <c r="AP17" s="205">
        <f t="shared" si="2"/>
        <v>0</v>
      </c>
      <c r="AQ17" s="203">
        <f>'CCC-car.3'!AD60</f>
        <v>4</v>
      </c>
      <c r="AR17" s="203">
        <f>'CCC-car.3'!AE60</f>
        <v>0</v>
      </c>
      <c r="AS17" s="203">
        <f>'CCC-car.3'!AF60</f>
        <v>0</v>
      </c>
      <c r="AT17" s="331" t="s">
        <v>72</v>
      </c>
      <c r="AU17" s="205">
        <f t="shared" si="3"/>
        <v>0</v>
      </c>
      <c r="AV17" s="203">
        <f>'CCC-car.4'!AD60</f>
        <v>4</v>
      </c>
      <c r="AW17" s="203">
        <f>'CCC-car.4'!AE60</f>
        <v>0</v>
      </c>
      <c r="AX17" s="203">
        <f>'CCC-car.4'!AF60</f>
        <v>0</v>
      </c>
      <c r="AY17" s="331" t="s">
        <v>72</v>
      </c>
      <c r="AZ17" s="205">
        <f t="shared" si="4"/>
        <v>0</v>
      </c>
      <c r="BA17" s="203">
        <f>'CCC-car.5'!AD60</f>
        <v>4</v>
      </c>
      <c r="BB17" s="203">
        <f>'CCC-car.5'!AE60</f>
        <v>0</v>
      </c>
      <c r="BC17" s="203">
        <f>'CCC-car.5'!AF60</f>
        <v>0</v>
      </c>
      <c r="BD17" s="1"/>
    </row>
    <row r="18" spans="2:56" s="46" customFormat="1" x14ac:dyDescent="0.2">
      <c r="B18" s="252" t="s">
        <v>460</v>
      </c>
      <c r="C18" s="272" t="s">
        <v>446</v>
      </c>
      <c r="D18" s="201" t="str">
        <f>IF($D16=$I$69,VLOOKUP($D17,matca,2,0),IF($D16=$I$70,VLOOKUP($D17,matacciaio,3,0),""))</f>
        <v/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31"/>
      <c r="AF18" s="206">
        <f t="shared" si="6"/>
        <v>0.75</v>
      </c>
      <c r="AG18" s="201">
        <f>'CCC-car.1'!AD61</f>
        <v>4.75</v>
      </c>
      <c r="AH18" s="201">
        <f>'CCC-car.1'!AE61</f>
        <v>0</v>
      </c>
      <c r="AI18" s="201">
        <f>'CCC-car.1'!AF61</f>
        <v>0</v>
      </c>
      <c r="AJ18" s="331"/>
      <c r="AK18" s="206">
        <f t="shared" si="1"/>
        <v>0.75</v>
      </c>
      <c r="AL18" s="201">
        <f>'CCC-car.2'!AD61</f>
        <v>4.75</v>
      </c>
      <c r="AM18" s="201">
        <f>'CCC-car.2'!AE61</f>
        <v>-6.8014423076923123</v>
      </c>
      <c r="AN18" s="201">
        <f>'CCC-car.2'!AF61</f>
        <v>21.150000000000002</v>
      </c>
      <c r="AO18" s="331"/>
      <c r="AP18" s="206">
        <f t="shared" si="2"/>
        <v>0.75</v>
      </c>
      <c r="AQ18" s="201">
        <f>'CCC-car.3'!AD61</f>
        <v>4.75</v>
      </c>
      <c r="AR18" s="201">
        <f>'CCC-car.3'!AE61</f>
        <v>0</v>
      </c>
      <c r="AS18" s="201">
        <f>'CCC-car.3'!AF61</f>
        <v>0</v>
      </c>
      <c r="AT18" s="331"/>
      <c r="AU18" s="206">
        <f t="shared" si="3"/>
        <v>0.75</v>
      </c>
      <c r="AV18" s="201">
        <f>'CCC-car.4'!AD61</f>
        <v>4.75</v>
      </c>
      <c r="AW18" s="201">
        <f>'CCC-car.4'!AE61</f>
        <v>0</v>
      </c>
      <c r="AX18" s="201">
        <f>'CCC-car.4'!AF61</f>
        <v>0</v>
      </c>
      <c r="AY18" s="331"/>
      <c r="AZ18" s="206">
        <f t="shared" si="4"/>
        <v>0.75</v>
      </c>
      <c r="BA18" s="201">
        <f>'CCC-car.5'!AD61</f>
        <v>4.75</v>
      </c>
      <c r="BB18" s="201">
        <f>'CCC-car.5'!AE61</f>
        <v>0</v>
      </c>
      <c r="BC18" s="201">
        <f>'CCC-car.5'!AF61</f>
        <v>0</v>
      </c>
      <c r="BD18" s="1"/>
    </row>
    <row r="19" spans="2:56" s="46" customFormat="1" x14ac:dyDescent="0.2">
      <c r="B19" s="252" t="s">
        <v>461</v>
      </c>
      <c r="C19" s="272" t="s">
        <v>140</v>
      </c>
      <c r="D19" s="306" t="str">
        <f>IF($D16=$I$69,VLOOKUP($D17,matca,4,0),IF($D16=$I$70,VLOOKUP($D17,matacciaio,5,0),""))</f>
        <v/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1"/>
      <c r="AF19" s="206">
        <f t="shared" si="6"/>
        <v>1.5</v>
      </c>
      <c r="AG19" s="201">
        <f>'CCC-car.1'!AD62</f>
        <v>5.5</v>
      </c>
      <c r="AH19" s="201">
        <f>'CCC-car.1'!AE62</f>
        <v>0</v>
      </c>
      <c r="AI19" s="201">
        <f>'CCC-car.1'!AF62</f>
        <v>0</v>
      </c>
      <c r="AJ19" s="331"/>
      <c r="AK19" s="206">
        <f t="shared" si="1"/>
        <v>1.5</v>
      </c>
      <c r="AL19" s="201">
        <f>'CCC-car.2'!AD62</f>
        <v>5.5</v>
      </c>
      <c r="AM19" s="201">
        <f>'CCC-car.2'!AE62</f>
        <v>6.4173076923076877</v>
      </c>
      <c r="AN19" s="201">
        <f>'CCC-car.2'!AF62</f>
        <v>14.100000000000001</v>
      </c>
      <c r="AO19" s="331"/>
      <c r="AP19" s="206">
        <f t="shared" si="2"/>
        <v>1.5</v>
      </c>
      <c r="AQ19" s="201">
        <f>'CCC-car.3'!AD62</f>
        <v>5.5</v>
      </c>
      <c r="AR19" s="201">
        <f>'CCC-car.3'!AE62</f>
        <v>0</v>
      </c>
      <c r="AS19" s="201">
        <f>'CCC-car.3'!AF62</f>
        <v>0</v>
      </c>
      <c r="AT19" s="331"/>
      <c r="AU19" s="206">
        <f t="shared" si="3"/>
        <v>1.5</v>
      </c>
      <c r="AV19" s="201">
        <f>'CCC-car.4'!AD62</f>
        <v>5.5</v>
      </c>
      <c r="AW19" s="201">
        <f>'CCC-car.4'!AE62</f>
        <v>0</v>
      </c>
      <c r="AX19" s="201">
        <f>'CCC-car.4'!AF62</f>
        <v>0</v>
      </c>
      <c r="AY19" s="331"/>
      <c r="AZ19" s="206">
        <f t="shared" si="4"/>
        <v>1.5</v>
      </c>
      <c r="BA19" s="201">
        <f>'CCC-car.5'!AD62</f>
        <v>5.5</v>
      </c>
      <c r="BB19" s="201">
        <f>'CCC-car.5'!AE62</f>
        <v>0</v>
      </c>
      <c r="BC19" s="201">
        <f>'CCC-car.5'!AF62</f>
        <v>0</v>
      </c>
    </row>
    <row r="20" spans="2:56" s="46" customFormat="1" x14ac:dyDescent="0.2">
      <c r="B20" s="271"/>
      <c r="C20" s="271"/>
      <c r="D20" s="271"/>
      <c r="E20" s="271"/>
      <c r="F20" s="271"/>
      <c r="G20" s="271"/>
      <c r="H20" s="271"/>
      <c r="AE20" s="331"/>
      <c r="AF20" s="206">
        <f t="shared" si="6"/>
        <v>2.25</v>
      </c>
      <c r="AG20" s="201">
        <f>'CCC-car.1'!AD63</f>
        <v>6.25</v>
      </c>
      <c r="AH20" s="201">
        <f>'CCC-car.1'!AE63</f>
        <v>0</v>
      </c>
      <c r="AI20" s="201">
        <f>'CCC-car.1'!AF63</f>
        <v>0</v>
      </c>
      <c r="AJ20" s="331"/>
      <c r="AK20" s="206">
        <f t="shared" si="1"/>
        <v>2.25</v>
      </c>
      <c r="AL20" s="201">
        <f>'CCC-car.2'!AD63</f>
        <v>6.25</v>
      </c>
      <c r="AM20" s="201">
        <f>'CCC-car.2'!AE63</f>
        <v>14.348557692307693</v>
      </c>
      <c r="AN20" s="201">
        <f>'CCC-car.2'!AF63</f>
        <v>7.0500000000000007</v>
      </c>
      <c r="AO20" s="331"/>
      <c r="AP20" s="206">
        <f t="shared" si="2"/>
        <v>2.25</v>
      </c>
      <c r="AQ20" s="201">
        <f>'CCC-car.3'!AD63</f>
        <v>6.25</v>
      </c>
      <c r="AR20" s="201">
        <f>'CCC-car.3'!AE63</f>
        <v>0</v>
      </c>
      <c r="AS20" s="201">
        <f>'CCC-car.3'!AF63</f>
        <v>0</v>
      </c>
      <c r="AT20" s="331"/>
      <c r="AU20" s="206">
        <f t="shared" si="3"/>
        <v>2.25</v>
      </c>
      <c r="AV20" s="201">
        <f>'CCC-car.4'!AD63</f>
        <v>6.25</v>
      </c>
      <c r="AW20" s="201">
        <f>'CCC-car.4'!AE63</f>
        <v>0</v>
      </c>
      <c r="AX20" s="201">
        <f>'CCC-car.4'!AF63</f>
        <v>0</v>
      </c>
      <c r="AY20" s="331"/>
      <c r="AZ20" s="206">
        <f t="shared" si="4"/>
        <v>2.25</v>
      </c>
      <c r="BA20" s="201">
        <f>'CCC-car.5'!AD63</f>
        <v>6.25</v>
      </c>
      <c r="BB20" s="201">
        <f>'CCC-car.5'!AE63</f>
        <v>0</v>
      </c>
      <c r="BC20" s="201">
        <f>'CCC-car.5'!AF63</f>
        <v>0</v>
      </c>
    </row>
    <row r="21" spans="2:56" x14ac:dyDescent="0.2">
      <c r="AE21" s="331"/>
      <c r="AF21" s="206">
        <f t="shared" si="6"/>
        <v>3</v>
      </c>
      <c r="AG21" s="201">
        <f>'CCC-car.1'!AD64</f>
        <v>7</v>
      </c>
      <c r="AH21" s="201">
        <f>'CCC-car.1'!AE64</f>
        <v>0</v>
      </c>
      <c r="AI21" s="201">
        <f>'CCC-car.1'!AF64</f>
        <v>0</v>
      </c>
      <c r="AJ21" s="331"/>
      <c r="AK21" s="206">
        <f t="shared" si="1"/>
        <v>3</v>
      </c>
      <c r="AL21" s="201">
        <f>'CCC-car.2'!AD64</f>
        <v>7</v>
      </c>
      <c r="AM21" s="201">
        <f>'CCC-car.2'!AE64</f>
        <v>16.992307692307691</v>
      </c>
      <c r="AN21" s="201">
        <f>'CCC-car.2'!AF64</f>
        <v>0</v>
      </c>
      <c r="AO21" s="331"/>
      <c r="AP21" s="206">
        <f t="shared" si="2"/>
        <v>3</v>
      </c>
      <c r="AQ21" s="201">
        <f>'CCC-car.3'!AD64</f>
        <v>7</v>
      </c>
      <c r="AR21" s="201">
        <f>'CCC-car.3'!AE64</f>
        <v>0</v>
      </c>
      <c r="AS21" s="201">
        <f>'CCC-car.3'!AF64</f>
        <v>0</v>
      </c>
      <c r="AT21" s="331"/>
      <c r="AU21" s="206">
        <f t="shared" si="3"/>
        <v>3</v>
      </c>
      <c r="AV21" s="201">
        <f>'CCC-car.4'!AD64</f>
        <v>7</v>
      </c>
      <c r="AW21" s="201">
        <f>'CCC-car.4'!AE64</f>
        <v>0</v>
      </c>
      <c r="AX21" s="201">
        <f>'CCC-car.4'!AF64</f>
        <v>0</v>
      </c>
      <c r="AY21" s="331"/>
      <c r="AZ21" s="206">
        <f t="shared" si="4"/>
        <v>3</v>
      </c>
      <c r="BA21" s="201">
        <f>'CCC-car.5'!AD64</f>
        <v>7</v>
      </c>
      <c r="BB21" s="201">
        <f>'CCC-car.5'!AE64</f>
        <v>0</v>
      </c>
      <c r="BC21" s="201">
        <f>'CCC-car.5'!AF64</f>
        <v>0</v>
      </c>
    </row>
    <row r="22" spans="2:56" x14ac:dyDescent="0.2">
      <c r="I22" s="1" t="s">
        <v>464</v>
      </c>
      <c r="AE22" s="331"/>
      <c r="AF22" s="206">
        <f t="shared" si="6"/>
        <v>3.75</v>
      </c>
      <c r="AG22" s="201">
        <f>'CCC-car.1'!AD65</f>
        <v>7.75</v>
      </c>
      <c r="AH22" s="201">
        <f>'CCC-car.1'!AE65</f>
        <v>0</v>
      </c>
      <c r="AI22" s="201">
        <f>'CCC-car.1'!AF65</f>
        <v>0</v>
      </c>
      <c r="AJ22" s="331"/>
      <c r="AK22" s="206">
        <f t="shared" si="1"/>
        <v>3.75</v>
      </c>
      <c r="AL22" s="201">
        <f>'CCC-car.2'!AD65</f>
        <v>7.75</v>
      </c>
      <c r="AM22" s="201">
        <f>'CCC-car.2'!AE65</f>
        <v>14.348557692307693</v>
      </c>
      <c r="AN22" s="201">
        <f>'CCC-car.2'!AF65</f>
        <v>-7.0499999999999972</v>
      </c>
      <c r="AO22" s="331"/>
      <c r="AP22" s="206">
        <f t="shared" si="2"/>
        <v>3.75</v>
      </c>
      <c r="AQ22" s="201">
        <f>'CCC-car.3'!AD65</f>
        <v>7.75</v>
      </c>
      <c r="AR22" s="201">
        <f>'CCC-car.3'!AE65</f>
        <v>0</v>
      </c>
      <c r="AS22" s="201">
        <f>'CCC-car.3'!AF65</f>
        <v>0</v>
      </c>
      <c r="AT22" s="331"/>
      <c r="AU22" s="206">
        <f t="shared" si="3"/>
        <v>3.75</v>
      </c>
      <c r="AV22" s="201">
        <f>'CCC-car.4'!AD65</f>
        <v>7.75</v>
      </c>
      <c r="AW22" s="201">
        <f>'CCC-car.4'!AE65</f>
        <v>0</v>
      </c>
      <c r="AX22" s="201">
        <f>'CCC-car.4'!AF65</f>
        <v>0</v>
      </c>
      <c r="AY22" s="331"/>
      <c r="AZ22" s="206">
        <f t="shared" si="4"/>
        <v>3.75</v>
      </c>
      <c r="BA22" s="201">
        <f>'CCC-car.5'!AD65</f>
        <v>7.75</v>
      </c>
      <c r="BB22" s="201">
        <f>'CCC-car.5'!AE65</f>
        <v>0</v>
      </c>
      <c r="BC22" s="201">
        <f>'CCC-car.5'!AF65</f>
        <v>0</v>
      </c>
    </row>
    <row r="23" spans="2:56" x14ac:dyDescent="0.2">
      <c r="AE23" s="331"/>
      <c r="AF23" s="206">
        <f t="shared" si="6"/>
        <v>4.5</v>
      </c>
      <c r="AG23" s="201">
        <f>'CCC-car.1'!AD66</f>
        <v>8.5</v>
      </c>
      <c r="AH23" s="201">
        <f>'CCC-car.1'!AE66</f>
        <v>0</v>
      </c>
      <c r="AI23" s="201">
        <f>'CCC-car.1'!AF66</f>
        <v>0</v>
      </c>
      <c r="AJ23" s="331"/>
      <c r="AK23" s="206">
        <f t="shared" si="1"/>
        <v>4.5</v>
      </c>
      <c r="AL23" s="201">
        <f>'CCC-car.2'!AD66</f>
        <v>8.5</v>
      </c>
      <c r="AM23" s="201">
        <f>'CCC-car.2'!AE66</f>
        <v>6.4173076923077019</v>
      </c>
      <c r="AN23" s="201">
        <f>'CCC-car.2'!AF66</f>
        <v>-14.100000000000001</v>
      </c>
      <c r="AO23" s="331"/>
      <c r="AP23" s="206">
        <f t="shared" si="2"/>
        <v>4.5</v>
      </c>
      <c r="AQ23" s="201">
        <f>'CCC-car.3'!AD66</f>
        <v>8.5</v>
      </c>
      <c r="AR23" s="201">
        <f>'CCC-car.3'!AE66</f>
        <v>0</v>
      </c>
      <c r="AS23" s="201">
        <f>'CCC-car.3'!AF66</f>
        <v>0</v>
      </c>
      <c r="AT23" s="331"/>
      <c r="AU23" s="206">
        <f t="shared" si="3"/>
        <v>4.5</v>
      </c>
      <c r="AV23" s="201">
        <f>'CCC-car.4'!AD66</f>
        <v>8.5</v>
      </c>
      <c r="AW23" s="201">
        <f>'CCC-car.4'!AE66</f>
        <v>0</v>
      </c>
      <c r="AX23" s="201">
        <f>'CCC-car.4'!AF66</f>
        <v>0</v>
      </c>
      <c r="AY23" s="331"/>
      <c r="AZ23" s="206">
        <f t="shared" si="4"/>
        <v>4.5</v>
      </c>
      <c r="BA23" s="201">
        <f>'CCC-car.5'!AD66</f>
        <v>8.5</v>
      </c>
      <c r="BB23" s="201">
        <f>'CCC-car.5'!AE66</f>
        <v>0</v>
      </c>
      <c r="BC23" s="201">
        <f>'CCC-car.5'!AF66</f>
        <v>0</v>
      </c>
    </row>
    <row r="24" spans="2:56" x14ac:dyDescent="0.2">
      <c r="B24" s="286"/>
      <c r="C24" s="286"/>
      <c r="D24" s="335" t="s">
        <v>473</v>
      </c>
      <c r="E24" s="335"/>
      <c r="F24" s="335"/>
      <c r="G24" s="335"/>
      <c r="H24" s="335"/>
      <c r="AE24" s="331"/>
      <c r="AF24" s="206">
        <f t="shared" si="6"/>
        <v>5.25</v>
      </c>
      <c r="AG24" s="201">
        <f>'CCC-car.1'!AD67</f>
        <v>9.25</v>
      </c>
      <c r="AH24" s="201">
        <f>'CCC-car.1'!AE67</f>
        <v>0</v>
      </c>
      <c r="AI24" s="201">
        <f>'CCC-car.1'!AF67</f>
        <v>0</v>
      </c>
      <c r="AJ24" s="331"/>
      <c r="AK24" s="206">
        <f t="shared" si="1"/>
        <v>5.25</v>
      </c>
      <c r="AL24" s="201">
        <f>'CCC-car.2'!AD67</f>
        <v>9.25</v>
      </c>
      <c r="AM24" s="201">
        <f>'CCC-car.2'!AE67</f>
        <v>-6.8014423076923265</v>
      </c>
      <c r="AN24" s="201">
        <f>'CCC-car.2'!AF67</f>
        <v>-21.15</v>
      </c>
      <c r="AO24" s="331"/>
      <c r="AP24" s="206">
        <f t="shared" si="2"/>
        <v>5.25</v>
      </c>
      <c r="AQ24" s="201">
        <f>'CCC-car.3'!AD67</f>
        <v>9.25</v>
      </c>
      <c r="AR24" s="201">
        <f>'CCC-car.3'!AE67</f>
        <v>0</v>
      </c>
      <c r="AS24" s="201">
        <f>'CCC-car.3'!AF67</f>
        <v>0</v>
      </c>
      <c r="AT24" s="331"/>
      <c r="AU24" s="206">
        <f t="shared" si="3"/>
        <v>5.25</v>
      </c>
      <c r="AV24" s="201">
        <f>'CCC-car.4'!AD67</f>
        <v>9.25</v>
      </c>
      <c r="AW24" s="201">
        <f>'CCC-car.4'!AE67</f>
        <v>0</v>
      </c>
      <c r="AX24" s="201">
        <f>'CCC-car.4'!AF67</f>
        <v>0</v>
      </c>
      <c r="AY24" s="331"/>
      <c r="AZ24" s="206">
        <f t="shared" si="4"/>
        <v>5.25</v>
      </c>
      <c r="BA24" s="201">
        <f>'CCC-car.5'!AD67</f>
        <v>9.25</v>
      </c>
      <c r="BB24" s="201">
        <f>'CCC-car.5'!AE67</f>
        <v>0</v>
      </c>
      <c r="BC24" s="201">
        <f>'CCC-car.5'!AF67</f>
        <v>0</v>
      </c>
    </row>
    <row r="25" spans="2:56" ht="12" customHeight="1" x14ac:dyDescent="0.2">
      <c r="B25" s="46"/>
      <c r="C25" s="46"/>
      <c r="D25" s="46"/>
      <c r="E25" s="46"/>
      <c r="G25" s="46"/>
      <c r="H25" s="46"/>
      <c r="I25" s="46"/>
      <c r="J25" s="46"/>
      <c r="AE25" s="331"/>
      <c r="AF25" s="207">
        <f t="shared" si="6"/>
        <v>6</v>
      </c>
      <c r="AG25" s="204">
        <f>'CCC-car.1'!AD68</f>
        <v>10</v>
      </c>
      <c r="AH25" s="204">
        <f>'CCC-car.1'!AE68</f>
        <v>0</v>
      </c>
      <c r="AI25" s="204">
        <f>'CCC-car.1'!AF68</f>
        <v>0</v>
      </c>
      <c r="AJ25" s="331"/>
      <c r="AK25" s="207">
        <f t="shared" si="1"/>
        <v>6</v>
      </c>
      <c r="AL25" s="204">
        <f>'CCC-car.2'!AD68</f>
        <v>10</v>
      </c>
      <c r="AM25" s="204">
        <f>'CCC-car.2'!AE68</f>
        <v>-25.307692307692321</v>
      </c>
      <c r="AN25" s="204">
        <f>'CCC-car.2'!AF68</f>
        <v>-28.200000000000003</v>
      </c>
      <c r="AO25" s="331"/>
      <c r="AP25" s="207">
        <f t="shared" si="2"/>
        <v>6</v>
      </c>
      <c r="AQ25" s="204">
        <f>'CCC-car.3'!AD68</f>
        <v>10</v>
      </c>
      <c r="AR25" s="204">
        <f>'CCC-car.3'!AE68</f>
        <v>0</v>
      </c>
      <c r="AS25" s="204">
        <f>'CCC-car.3'!AF68</f>
        <v>0</v>
      </c>
      <c r="AT25" s="331"/>
      <c r="AU25" s="207">
        <f t="shared" si="3"/>
        <v>6</v>
      </c>
      <c r="AV25" s="204">
        <f>'CCC-car.4'!AD68</f>
        <v>10</v>
      </c>
      <c r="AW25" s="204">
        <f>'CCC-car.4'!AE68</f>
        <v>0</v>
      </c>
      <c r="AX25" s="204">
        <f>'CCC-car.4'!AF68</f>
        <v>0</v>
      </c>
      <c r="AY25" s="331"/>
      <c r="AZ25" s="207">
        <f t="shared" si="4"/>
        <v>6</v>
      </c>
      <c r="BA25" s="204">
        <f>'CCC-car.5'!AD68</f>
        <v>10</v>
      </c>
      <c r="BB25" s="204">
        <f>'CCC-car.5'!AE68</f>
        <v>0</v>
      </c>
      <c r="BC25" s="204">
        <f>'CCC-car.5'!AF68</f>
        <v>0</v>
      </c>
    </row>
    <row r="26" spans="2:56" ht="12" customHeight="1" x14ac:dyDescent="0.2">
      <c r="B26" s="12" t="s">
        <v>477</v>
      </c>
      <c r="C26" s="301" t="s">
        <v>446</v>
      </c>
      <c r="D26" s="278">
        <v>0</v>
      </c>
      <c r="E26" s="278">
        <v>0</v>
      </c>
      <c r="F26" s="278">
        <v>0</v>
      </c>
      <c r="G26" s="278">
        <v>0</v>
      </c>
      <c r="H26" s="278">
        <v>0</v>
      </c>
      <c r="AE26" s="330" t="s">
        <v>88</v>
      </c>
      <c r="AF26" s="205">
        <f t="shared" ref="AF26:AF34" si="7">AG26-$AG$25</f>
        <v>0</v>
      </c>
      <c r="AG26" s="203">
        <f>'CCC-car.1'!AD69</f>
        <v>10</v>
      </c>
      <c r="AH26" s="203">
        <f>'CCC-car.1'!AE69</f>
        <v>0</v>
      </c>
      <c r="AI26" s="203">
        <f>'CCC-car.1'!AF69</f>
        <v>0</v>
      </c>
      <c r="AJ26" s="330" t="s">
        <v>88</v>
      </c>
      <c r="AK26" s="205">
        <f t="shared" si="1"/>
        <v>0</v>
      </c>
      <c r="AL26" s="203">
        <f>'CCC-car.2'!AD69</f>
        <v>10</v>
      </c>
      <c r="AM26" s="203">
        <f>'CCC-car.2'!AE69</f>
        <v>-25.307692307692307</v>
      </c>
      <c r="AN26" s="203">
        <f>'CCC-car.2'!AF69</f>
        <v>25.126923076923077</v>
      </c>
      <c r="AO26" s="330" t="s">
        <v>88</v>
      </c>
      <c r="AP26" s="205">
        <f t="shared" si="2"/>
        <v>0</v>
      </c>
      <c r="AQ26" s="203">
        <f>'CCC-car.3'!AD69</f>
        <v>10</v>
      </c>
      <c r="AR26" s="203">
        <f>'CCC-car.3'!AE69</f>
        <v>0</v>
      </c>
      <c r="AS26" s="203">
        <f>'CCC-car.3'!AF69</f>
        <v>0</v>
      </c>
      <c r="AT26" s="330" t="s">
        <v>88</v>
      </c>
      <c r="AU26" s="205">
        <f t="shared" si="3"/>
        <v>0</v>
      </c>
      <c r="AV26" s="203">
        <f>'CCC-car.4'!AD69</f>
        <v>10</v>
      </c>
      <c r="AW26" s="203">
        <f>'CCC-car.4'!AE69</f>
        <v>0</v>
      </c>
      <c r="AX26" s="203">
        <f>'CCC-car.4'!AF69</f>
        <v>0</v>
      </c>
      <c r="AY26" s="330" t="s">
        <v>88</v>
      </c>
      <c r="AZ26" s="205">
        <f t="shared" si="4"/>
        <v>0</v>
      </c>
      <c r="BA26" s="203">
        <f>'CCC-car.5'!AD69</f>
        <v>10</v>
      </c>
      <c r="BB26" s="203">
        <f>'CCC-car.5'!AE69</f>
        <v>0</v>
      </c>
      <c r="BC26" s="203">
        <f>'CCC-car.5'!AF69</f>
        <v>0</v>
      </c>
    </row>
    <row r="27" spans="2:56" x14ac:dyDescent="0.2">
      <c r="B27" s="12" t="s">
        <v>478</v>
      </c>
      <c r="C27" s="301" t="s">
        <v>446</v>
      </c>
      <c r="D27" s="278">
        <v>0</v>
      </c>
      <c r="E27" s="278">
        <v>9.4</v>
      </c>
      <c r="F27" s="278">
        <v>9.4</v>
      </c>
      <c r="G27" s="278">
        <v>9.4</v>
      </c>
      <c r="H27" s="278">
        <v>0</v>
      </c>
      <c r="AE27" s="330"/>
      <c r="AF27" s="206">
        <f t="shared" si="7"/>
        <v>0.5</v>
      </c>
      <c r="AG27" s="201">
        <f>'CCC-car.1'!AD70</f>
        <v>10.5</v>
      </c>
      <c r="AH27" s="201">
        <f>'CCC-car.1'!AE70</f>
        <v>0</v>
      </c>
      <c r="AI27" s="201">
        <f>'CCC-car.1'!AF70</f>
        <v>0</v>
      </c>
      <c r="AJ27" s="330"/>
      <c r="AK27" s="206">
        <f t="shared" si="1"/>
        <v>0.5</v>
      </c>
      <c r="AL27" s="201">
        <f>'CCC-car.2'!AD70</f>
        <v>10.5</v>
      </c>
      <c r="AM27" s="201">
        <f>'CCC-car.2'!AE70</f>
        <v>-13.919230769230769</v>
      </c>
      <c r="AN27" s="201">
        <f>'CCC-car.2'!AF70</f>
        <v>20.426923076923078</v>
      </c>
      <c r="AO27" s="330"/>
      <c r="AP27" s="206">
        <f t="shared" si="2"/>
        <v>0.5</v>
      </c>
      <c r="AQ27" s="201">
        <f>'CCC-car.3'!AD70</f>
        <v>10.5</v>
      </c>
      <c r="AR27" s="201">
        <f>'CCC-car.3'!AE70</f>
        <v>0</v>
      </c>
      <c r="AS27" s="201">
        <f>'CCC-car.3'!AF70</f>
        <v>0</v>
      </c>
      <c r="AT27" s="330"/>
      <c r="AU27" s="206">
        <f t="shared" si="3"/>
        <v>0.5</v>
      </c>
      <c r="AV27" s="201">
        <f>'CCC-car.4'!AD70</f>
        <v>10.5</v>
      </c>
      <c r="AW27" s="201">
        <f>'CCC-car.4'!AE70</f>
        <v>0</v>
      </c>
      <c r="AX27" s="201">
        <f>'CCC-car.4'!AF70</f>
        <v>0</v>
      </c>
      <c r="AY27" s="330"/>
      <c r="AZ27" s="206">
        <f t="shared" si="4"/>
        <v>0.5</v>
      </c>
      <c r="BA27" s="201">
        <f>'CCC-car.5'!AD70</f>
        <v>10.5</v>
      </c>
      <c r="BB27" s="201">
        <f>'CCC-car.5'!AE70</f>
        <v>0</v>
      </c>
      <c r="BC27" s="201">
        <f>'CCC-car.5'!AF70</f>
        <v>0</v>
      </c>
    </row>
    <row r="28" spans="2:56" s="46" customFormat="1" x14ac:dyDescent="0.2">
      <c r="B28" s="12" t="s">
        <v>476</v>
      </c>
      <c r="C28" s="301" t="s">
        <v>446</v>
      </c>
      <c r="D28" s="278">
        <v>0</v>
      </c>
      <c r="E28" s="278">
        <v>0</v>
      </c>
      <c r="F28" s="278">
        <v>0</v>
      </c>
      <c r="G28" s="278">
        <v>0</v>
      </c>
      <c r="H28" s="278">
        <v>0</v>
      </c>
      <c r="I28" s="1"/>
      <c r="J28" s="1"/>
      <c r="AE28" s="330"/>
      <c r="AF28" s="206">
        <f t="shared" si="7"/>
        <v>1</v>
      </c>
      <c r="AG28" s="201">
        <f>'CCC-car.1'!AD71</f>
        <v>11</v>
      </c>
      <c r="AH28" s="201">
        <f>'CCC-car.1'!AE71</f>
        <v>0</v>
      </c>
      <c r="AI28" s="201">
        <f>'CCC-car.1'!AF71</f>
        <v>0</v>
      </c>
      <c r="AJ28" s="330"/>
      <c r="AK28" s="206">
        <f t="shared" si="1"/>
        <v>1</v>
      </c>
      <c r="AL28" s="201">
        <f>'CCC-car.2'!AD71</f>
        <v>11</v>
      </c>
      <c r="AM28" s="201">
        <f>'CCC-car.2'!AE71</f>
        <v>-4.8807692307692285</v>
      </c>
      <c r="AN28" s="201">
        <f>'CCC-car.2'!AF71</f>
        <v>15.726923076923077</v>
      </c>
      <c r="AO28" s="330"/>
      <c r="AP28" s="206">
        <f t="shared" si="2"/>
        <v>1</v>
      </c>
      <c r="AQ28" s="201">
        <f>'CCC-car.3'!AD71</f>
        <v>11</v>
      </c>
      <c r="AR28" s="201">
        <f>'CCC-car.3'!AE71</f>
        <v>0</v>
      </c>
      <c r="AS28" s="201">
        <f>'CCC-car.3'!AF71</f>
        <v>0</v>
      </c>
      <c r="AT28" s="330"/>
      <c r="AU28" s="206">
        <f t="shared" si="3"/>
        <v>1</v>
      </c>
      <c r="AV28" s="201">
        <f>'CCC-car.4'!AD71</f>
        <v>11</v>
      </c>
      <c r="AW28" s="201">
        <f>'CCC-car.4'!AE71</f>
        <v>0</v>
      </c>
      <c r="AX28" s="201">
        <f>'CCC-car.4'!AF71</f>
        <v>0</v>
      </c>
      <c r="AY28" s="330"/>
      <c r="AZ28" s="206">
        <f t="shared" si="4"/>
        <v>1</v>
      </c>
      <c r="BA28" s="201">
        <f>'CCC-car.5'!AD71</f>
        <v>11</v>
      </c>
      <c r="BB28" s="201">
        <f>'CCC-car.5'!AE71</f>
        <v>0</v>
      </c>
      <c r="BC28" s="201">
        <f>'CCC-car.5'!AF71</f>
        <v>0</v>
      </c>
    </row>
    <row r="29" spans="2:56" s="46" customFormat="1" x14ac:dyDescent="0.2">
      <c r="B29" s="12" t="s">
        <v>52</v>
      </c>
      <c r="C29" s="301" t="s">
        <v>446</v>
      </c>
      <c r="D29" s="278">
        <v>0</v>
      </c>
      <c r="E29" s="278">
        <v>0</v>
      </c>
      <c r="F29" s="278">
        <v>0</v>
      </c>
      <c r="G29" s="278">
        <v>0</v>
      </c>
      <c r="H29" s="278">
        <v>0</v>
      </c>
      <c r="I29" s="1">
        <v>1</v>
      </c>
      <c r="J29" s="1"/>
      <c r="AE29" s="330"/>
      <c r="AF29" s="206">
        <f t="shared" si="7"/>
        <v>1.5</v>
      </c>
      <c r="AG29" s="201">
        <f>'CCC-car.1'!AD72</f>
        <v>11.5</v>
      </c>
      <c r="AH29" s="201">
        <f>'CCC-car.1'!AE72</f>
        <v>0</v>
      </c>
      <c r="AI29" s="201">
        <f>'CCC-car.1'!AF72</f>
        <v>0</v>
      </c>
      <c r="AJ29" s="330"/>
      <c r="AK29" s="206">
        <f t="shared" si="1"/>
        <v>1.5</v>
      </c>
      <c r="AL29" s="201">
        <f>'CCC-car.2'!AD72</f>
        <v>11.5</v>
      </c>
      <c r="AM29" s="201">
        <f>'CCC-car.2'!AE72</f>
        <v>1.8076923076923066</v>
      </c>
      <c r="AN29" s="201">
        <f>'CCC-car.2'!AF72</f>
        <v>11.026923076923076</v>
      </c>
      <c r="AO29" s="330"/>
      <c r="AP29" s="206">
        <f t="shared" si="2"/>
        <v>1.5</v>
      </c>
      <c r="AQ29" s="201">
        <f>'CCC-car.3'!AD72</f>
        <v>11.5</v>
      </c>
      <c r="AR29" s="201">
        <f>'CCC-car.3'!AE72</f>
        <v>0</v>
      </c>
      <c r="AS29" s="201">
        <f>'CCC-car.3'!AF72</f>
        <v>0</v>
      </c>
      <c r="AT29" s="330"/>
      <c r="AU29" s="206">
        <f t="shared" si="3"/>
        <v>1.5</v>
      </c>
      <c r="AV29" s="201">
        <f>'CCC-car.4'!AD72</f>
        <v>11.5</v>
      </c>
      <c r="AW29" s="201">
        <f>'CCC-car.4'!AE72</f>
        <v>0</v>
      </c>
      <c r="AX29" s="201">
        <f>'CCC-car.4'!AF72</f>
        <v>0</v>
      </c>
      <c r="AY29" s="330"/>
      <c r="AZ29" s="206">
        <f t="shared" si="4"/>
        <v>1.5</v>
      </c>
      <c r="BA29" s="201">
        <f>'CCC-car.5'!AD72</f>
        <v>11.5</v>
      </c>
      <c r="BB29" s="201">
        <f>'CCC-car.5'!AE72</f>
        <v>0</v>
      </c>
      <c r="BC29" s="201">
        <f>'CCC-car.5'!AF72</f>
        <v>0</v>
      </c>
    </row>
    <row r="30" spans="2:56" x14ac:dyDescent="0.2">
      <c r="B30" s="12" t="s">
        <v>53</v>
      </c>
      <c r="C30" s="301" t="s">
        <v>446</v>
      </c>
      <c r="D30" s="278">
        <v>0</v>
      </c>
      <c r="E30" s="278">
        <v>0</v>
      </c>
      <c r="F30" s="278">
        <v>0</v>
      </c>
      <c r="G30" s="278">
        <v>0</v>
      </c>
      <c r="H30" s="278">
        <v>0</v>
      </c>
      <c r="AE30" s="330"/>
      <c r="AF30" s="206">
        <f t="shared" si="7"/>
        <v>2</v>
      </c>
      <c r="AG30" s="201">
        <f>'CCC-car.1'!AD73</f>
        <v>12</v>
      </c>
      <c r="AH30" s="201">
        <f>'CCC-car.1'!AE73</f>
        <v>0</v>
      </c>
      <c r="AI30" s="201">
        <f>'CCC-car.1'!AF73</f>
        <v>0</v>
      </c>
      <c r="AJ30" s="330"/>
      <c r="AK30" s="206">
        <f t="shared" si="1"/>
        <v>2</v>
      </c>
      <c r="AL30" s="201">
        <f>'CCC-car.2'!AD73</f>
        <v>12</v>
      </c>
      <c r="AM30" s="201">
        <f>'CCC-car.2'!AE73</f>
        <v>6.146153846153851</v>
      </c>
      <c r="AN30" s="201">
        <f>'CCC-car.2'!AF73</f>
        <v>6.3269230769230766</v>
      </c>
      <c r="AO30" s="330"/>
      <c r="AP30" s="206">
        <f t="shared" si="2"/>
        <v>2</v>
      </c>
      <c r="AQ30" s="201">
        <f>'CCC-car.3'!AD73</f>
        <v>12</v>
      </c>
      <c r="AR30" s="201">
        <f>'CCC-car.3'!AE73</f>
        <v>0</v>
      </c>
      <c r="AS30" s="201">
        <f>'CCC-car.3'!AF73</f>
        <v>0</v>
      </c>
      <c r="AT30" s="330"/>
      <c r="AU30" s="206">
        <f t="shared" si="3"/>
        <v>2</v>
      </c>
      <c r="AV30" s="201">
        <f>'CCC-car.4'!AD73</f>
        <v>12</v>
      </c>
      <c r="AW30" s="201">
        <f>'CCC-car.4'!AE73</f>
        <v>0</v>
      </c>
      <c r="AX30" s="201">
        <f>'CCC-car.4'!AF73</f>
        <v>0</v>
      </c>
      <c r="AY30" s="330"/>
      <c r="AZ30" s="206">
        <f t="shared" si="4"/>
        <v>2</v>
      </c>
      <c r="BA30" s="201">
        <f>'CCC-car.5'!AD73</f>
        <v>12</v>
      </c>
      <c r="BB30" s="201">
        <f>'CCC-car.5'!AE73</f>
        <v>0</v>
      </c>
      <c r="BC30" s="201">
        <f>'CCC-car.5'!AF73</f>
        <v>0</v>
      </c>
    </row>
    <row r="31" spans="2:56" x14ac:dyDescent="0.2">
      <c r="AE31" s="330"/>
      <c r="AF31" s="206">
        <f t="shared" si="7"/>
        <v>2.5</v>
      </c>
      <c r="AG31" s="201">
        <f>'CCC-car.1'!AD74</f>
        <v>12.5</v>
      </c>
      <c r="AH31" s="201">
        <f>'CCC-car.1'!AE74</f>
        <v>0</v>
      </c>
      <c r="AI31" s="201">
        <f>'CCC-car.1'!AF74</f>
        <v>0</v>
      </c>
      <c r="AJ31" s="330"/>
      <c r="AK31" s="206">
        <f t="shared" si="1"/>
        <v>2.5</v>
      </c>
      <c r="AL31" s="201">
        <f>'CCC-car.2'!AD74</f>
        <v>12.5</v>
      </c>
      <c r="AM31" s="201">
        <f>'CCC-car.2'!AE74</f>
        <v>8.1346153846153868</v>
      </c>
      <c r="AN31" s="201">
        <f>'CCC-car.2'!AF74</f>
        <v>1.6269230769230774</v>
      </c>
      <c r="AO31" s="330"/>
      <c r="AP31" s="206">
        <f t="shared" si="2"/>
        <v>2.5</v>
      </c>
      <c r="AQ31" s="201">
        <f>'CCC-car.3'!AD74</f>
        <v>12.5</v>
      </c>
      <c r="AR31" s="201">
        <f>'CCC-car.3'!AE74</f>
        <v>0</v>
      </c>
      <c r="AS31" s="201">
        <f>'CCC-car.3'!AF74</f>
        <v>0</v>
      </c>
      <c r="AT31" s="330"/>
      <c r="AU31" s="206">
        <f t="shared" si="3"/>
        <v>2.5</v>
      </c>
      <c r="AV31" s="201">
        <f>'CCC-car.4'!AD74</f>
        <v>12.5</v>
      </c>
      <c r="AW31" s="201">
        <f>'CCC-car.4'!AE74</f>
        <v>0</v>
      </c>
      <c r="AX31" s="201">
        <f>'CCC-car.4'!AF74</f>
        <v>0</v>
      </c>
      <c r="AY31" s="330"/>
      <c r="AZ31" s="206">
        <f t="shared" si="4"/>
        <v>2.5</v>
      </c>
      <c r="BA31" s="201">
        <f>'CCC-car.5'!AD74</f>
        <v>12.5</v>
      </c>
      <c r="BB31" s="201">
        <f>'CCC-car.5'!AE74</f>
        <v>0</v>
      </c>
      <c r="BC31" s="201">
        <f>'CCC-car.5'!AF74</f>
        <v>0</v>
      </c>
    </row>
    <row r="32" spans="2:56" x14ac:dyDescent="0.2">
      <c r="AE32" s="330"/>
      <c r="AF32" s="206">
        <f t="shared" si="7"/>
        <v>3</v>
      </c>
      <c r="AG32" s="201">
        <f>'CCC-car.1'!AD75</f>
        <v>13</v>
      </c>
      <c r="AH32" s="201">
        <f>'CCC-car.1'!AE75</f>
        <v>0</v>
      </c>
      <c r="AI32" s="201">
        <f>'CCC-car.1'!AF75</f>
        <v>0</v>
      </c>
      <c r="AJ32" s="330"/>
      <c r="AK32" s="206">
        <f t="shared" si="1"/>
        <v>3</v>
      </c>
      <c r="AL32" s="201">
        <f>'CCC-car.2'!AD75</f>
        <v>13</v>
      </c>
      <c r="AM32" s="201">
        <f>'CCC-car.2'!AE75</f>
        <v>7.7730769230769283</v>
      </c>
      <c r="AN32" s="201">
        <f>'CCC-car.2'!AF75</f>
        <v>-3.0730769230769255</v>
      </c>
      <c r="AO32" s="330"/>
      <c r="AP32" s="206">
        <f t="shared" si="2"/>
        <v>3</v>
      </c>
      <c r="AQ32" s="201">
        <f>'CCC-car.3'!AD75</f>
        <v>13</v>
      </c>
      <c r="AR32" s="201">
        <f>'CCC-car.3'!AE75</f>
        <v>0</v>
      </c>
      <c r="AS32" s="201">
        <f>'CCC-car.3'!AF75</f>
        <v>0</v>
      </c>
      <c r="AT32" s="330"/>
      <c r="AU32" s="206">
        <f t="shared" si="3"/>
        <v>3</v>
      </c>
      <c r="AV32" s="201">
        <f>'CCC-car.4'!AD75</f>
        <v>13</v>
      </c>
      <c r="AW32" s="201">
        <f>'CCC-car.4'!AE75</f>
        <v>0</v>
      </c>
      <c r="AX32" s="201">
        <f>'CCC-car.4'!AF75</f>
        <v>0</v>
      </c>
      <c r="AY32" s="330"/>
      <c r="AZ32" s="206">
        <f t="shared" si="4"/>
        <v>3</v>
      </c>
      <c r="BA32" s="201">
        <f>'CCC-car.5'!AD75</f>
        <v>13</v>
      </c>
      <c r="BB32" s="201">
        <f>'CCC-car.5'!AE75</f>
        <v>0</v>
      </c>
      <c r="BC32" s="201">
        <f>'CCC-car.5'!AF75</f>
        <v>0</v>
      </c>
    </row>
    <row r="33" spans="22:55" x14ac:dyDescent="0.2">
      <c r="AE33" s="330"/>
      <c r="AF33" s="206">
        <f t="shared" si="7"/>
        <v>3.5</v>
      </c>
      <c r="AG33" s="201">
        <f>'CCC-car.1'!AD76</f>
        <v>13.5</v>
      </c>
      <c r="AH33" s="201">
        <f>'CCC-car.1'!AE76</f>
        <v>0</v>
      </c>
      <c r="AI33" s="201">
        <f>'CCC-car.1'!AF76</f>
        <v>0</v>
      </c>
      <c r="AJ33" s="330"/>
      <c r="AK33" s="206">
        <f t="shared" si="1"/>
        <v>3.5</v>
      </c>
      <c r="AL33" s="201">
        <f>'CCC-car.2'!AD76</f>
        <v>13.5</v>
      </c>
      <c r="AM33" s="201">
        <f>'CCC-car.2'!AE76</f>
        <v>5.0615384615384613</v>
      </c>
      <c r="AN33" s="201">
        <f>'CCC-car.2'!AF76</f>
        <v>-7.7730769230769212</v>
      </c>
      <c r="AO33" s="330"/>
      <c r="AP33" s="206">
        <f t="shared" si="2"/>
        <v>3.5</v>
      </c>
      <c r="AQ33" s="201">
        <f>'CCC-car.3'!AD76</f>
        <v>13.5</v>
      </c>
      <c r="AR33" s="201">
        <f>'CCC-car.3'!AE76</f>
        <v>0</v>
      </c>
      <c r="AS33" s="201">
        <f>'CCC-car.3'!AF76</f>
        <v>0</v>
      </c>
      <c r="AT33" s="330"/>
      <c r="AU33" s="206">
        <f t="shared" si="3"/>
        <v>3.5</v>
      </c>
      <c r="AV33" s="201">
        <f>'CCC-car.4'!AD76</f>
        <v>13.5</v>
      </c>
      <c r="AW33" s="201">
        <f>'CCC-car.4'!AE76</f>
        <v>0</v>
      </c>
      <c r="AX33" s="201">
        <f>'CCC-car.4'!AF76</f>
        <v>0</v>
      </c>
      <c r="AY33" s="330"/>
      <c r="AZ33" s="206">
        <f t="shared" si="4"/>
        <v>3.5</v>
      </c>
      <c r="BA33" s="201">
        <f>'CCC-car.5'!AD76</f>
        <v>13.5</v>
      </c>
      <c r="BB33" s="201">
        <f>'CCC-car.5'!AE76</f>
        <v>0</v>
      </c>
      <c r="BC33" s="201">
        <f>'CCC-car.5'!AF76</f>
        <v>0</v>
      </c>
    </row>
    <row r="34" spans="22:55" ht="12" customHeight="1" x14ac:dyDescent="0.2">
      <c r="AE34" s="330"/>
      <c r="AF34" s="208">
        <f t="shared" si="7"/>
        <v>4</v>
      </c>
      <c r="AG34" s="209">
        <f>'CCC-car.1'!AD77</f>
        <v>14</v>
      </c>
      <c r="AH34" s="209">
        <f>'CCC-car.1'!AE77</f>
        <v>0</v>
      </c>
      <c r="AI34" s="209">
        <f>'CCC-car.1'!AF77</f>
        <v>0</v>
      </c>
      <c r="AJ34" s="330"/>
      <c r="AK34" s="208">
        <f t="shared" si="1"/>
        <v>4</v>
      </c>
      <c r="AL34" s="209">
        <f>'CCC-car.2'!AD77</f>
        <v>14</v>
      </c>
      <c r="AM34" s="209">
        <f>'CCC-car.2'!AE77</f>
        <v>0</v>
      </c>
      <c r="AN34" s="209">
        <f>'CCC-car.2'!AF77</f>
        <v>-12.473076923076924</v>
      </c>
      <c r="AO34" s="330"/>
      <c r="AP34" s="208">
        <f t="shared" si="2"/>
        <v>4</v>
      </c>
      <c r="AQ34" s="209">
        <f>'CCC-car.3'!AD77</f>
        <v>14</v>
      </c>
      <c r="AR34" s="209">
        <f>'CCC-car.3'!AE77</f>
        <v>0</v>
      </c>
      <c r="AS34" s="209">
        <f>'CCC-car.3'!AF77</f>
        <v>0</v>
      </c>
      <c r="AT34" s="330"/>
      <c r="AU34" s="208">
        <f t="shared" si="3"/>
        <v>4</v>
      </c>
      <c r="AV34" s="209">
        <f>'CCC-car.4'!AD77</f>
        <v>14</v>
      </c>
      <c r="AW34" s="209">
        <f>'CCC-car.4'!AE77</f>
        <v>0</v>
      </c>
      <c r="AX34" s="209">
        <f>'CCC-car.4'!AF77</f>
        <v>0</v>
      </c>
      <c r="AY34" s="330"/>
      <c r="AZ34" s="208">
        <f t="shared" si="4"/>
        <v>4</v>
      </c>
      <c r="BA34" s="209">
        <f>'CCC-car.5'!AD77</f>
        <v>14</v>
      </c>
      <c r="BB34" s="209">
        <f>'CCC-car.5'!AE77</f>
        <v>0</v>
      </c>
      <c r="BC34" s="209">
        <f>'CCC-car.5'!AF77</f>
        <v>0</v>
      </c>
    </row>
    <row r="35" spans="22:55" ht="12" customHeight="1" x14ac:dyDescent="0.2">
      <c r="AE35" s="331" t="s">
        <v>57</v>
      </c>
      <c r="AF35" s="205">
        <f>AG35-$AG$34</f>
        <v>0</v>
      </c>
      <c r="AG35" s="203">
        <f>'CCC-car.1'!AD78</f>
        <v>14</v>
      </c>
      <c r="AH35" s="203">
        <f>'CCC-car.1'!AE78</f>
        <v>0</v>
      </c>
      <c r="AI35" s="203">
        <f>'CCC-car.1'!AF78</f>
        <v>0</v>
      </c>
      <c r="AJ35" s="331" t="s">
        <v>57</v>
      </c>
      <c r="AK35" s="205">
        <f t="shared" si="1"/>
        <v>0</v>
      </c>
      <c r="AL35" s="203">
        <f>'CCC-car.2'!AD78</f>
        <v>14</v>
      </c>
      <c r="AM35" s="203">
        <f>'CCC-car.2'!AE78</f>
        <v>0</v>
      </c>
      <c r="AN35" s="203">
        <f>'CCC-car.2'!AF78</f>
        <v>0</v>
      </c>
      <c r="AO35" s="331" t="s">
        <v>57</v>
      </c>
      <c r="AP35" s="205">
        <f t="shared" si="2"/>
        <v>0</v>
      </c>
      <c r="AQ35" s="203">
        <f>'CCC-car.3'!AD78</f>
        <v>14</v>
      </c>
      <c r="AR35" s="203">
        <f>'CCC-car.3'!AE78</f>
        <v>0</v>
      </c>
      <c r="AS35" s="203">
        <f>'CCC-car.3'!AF78</f>
        <v>0</v>
      </c>
      <c r="AT35" s="331" t="s">
        <v>57</v>
      </c>
      <c r="AU35" s="205">
        <f t="shared" si="3"/>
        <v>0</v>
      </c>
      <c r="AV35" s="203">
        <f>'CCC-car.4'!AD78</f>
        <v>14</v>
      </c>
      <c r="AW35" s="203">
        <f>'CCC-car.4'!AE78</f>
        <v>0</v>
      </c>
      <c r="AX35" s="203">
        <f>'CCC-car.4'!AF78</f>
        <v>0</v>
      </c>
      <c r="AY35" s="331" t="s">
        <v>57</v>
      </c>
      <c r="AZ35" s="205">
        <f t="shared" si="4"/>
        <v>0</v>
      </c>
      <c r="BA35" s="203">
        <f>'CCC-car.5'!AD78</f>
        <v>14</v>
      </c>
      <c r="BB35" s="203">
        <f>'CCC-car.5'!AE78</f>
        <v>0</v>
      </c>
      <c r="BC35" s="203">
        <f>'CCC-car.5'!AF78</f>
        <v>0</v>
      </c>
    </row>
    <row r="36" spans="22:55" x14ac:dyDescent="0.2">
      <c r="AE36" s="331"/>
      <c r="AF36" s="206">
        <f t="shared" ref="AF36:AF38" si="8">AG36-$AG$34</f>
        <v>0</v>
      </c>
      <c r="AG36" s="201">
        <f>'CCC-car.1'!AD79</f>
        <v>14</v>
      </c>
      <c r="AH36" s="201">
        <f>'CCC-car.1'!AE79</f>
        <v>0</v>
      </c>
      <c r="AI36" s="201">
        <f>'CCC-car.1'!AF79</f>
        <v>0</v>
      </c>
      <c r="AJ36" s="331"/>
      <c r="AK36" s="206">
        <f t="shared" si="1"/>
        <v>0</v>
      </c>
      <c r="AL36" s="201">
        <f>'CCC-car.2'!AD79</f>
        <v>14</v>
      </c>
      <c r="AM36" s="201">
        <f>'CCC-car.2'!AE79</f>
        <v>0</v>
      </c>
      <c r="AN36" s="201">
        <f>'CCC-car.2'!AF79</f>
        <v>0</v>
      </c>
      <c r="AO36" s="331"/>
      <c r="AP36" s="206">
        <f t="shared" si="2"/>
        <v>0</v>
      </c>
      <c r="AQ36" s="201">
        <f>'CCC-car.3'!AD79</f>
        <v>14</v>
      </c>
      <c r="AR36" s="201">
        <f>'CCC-car.3'!AE79</f>
        <v>0</v>
      </c>
      <c r="AS36" s="201">
        <f>'CCC-car.3'!AF79</f>
        <v>0</v>
      </c>
      <c r="AT36" s="331"/>
      <c r="AU36" s="206">
        <f t="shared" si="3"/>
        <v>0</v>
      </c>
      <c r="AV36" s="201">
        <f>'CCC-car.4'!AD79</f>
        <v>14</v>
      </c>
      <c r="AW36" s="201">
        <f>'CCC-car.4'!AE79</f>
        <v>0</v>
      </c>
      <c r="AX36" s="201">
        <f>'CCC-car.4'!AF79</f>
        <v>0</v>
      </c>
      <c r="AY36" s="331"/>
      <c r="AZ36" s="206">
        <f t="shared" si="4"/>
        <v>0</v>
      </c>
      <c r="BA36" s="201">
        <f>'CCC-car.5'!AD79</f>
        <v>14</v>
      </c>
      <c r="BB36" s="201">
        <f>'CCC-car.5'!AE79</f>
        <v>0</v>
      </c>
      <c r="BC36" s="201">
        <f>'CCC-car.5'!AF79</f>
        <v>0</v>
      </c>
    </row>
    <row r="37" spans="22:55" x14ac:dyDescent="0.2">
      <c r="AE37" s="331"/>
      <c r="AF37" s="206">
        <f t="shared" si="8"/>
        <v>0</v>
      </c>
      <c r="AG37" s="201">
        <f>'CCC-car.1'!AD80</f>
        <v>14</v>
      </c>
      <c r="AH37" s="201">
        <f>'CCC-car.1'!AE80</f>
        <v>0</v>
      </c>
      <c r="AI37" s="201">
        <f>'CCC-car.1'!AF80</f>
        <v>0</v>
      </c>
      <c r="AJ37" s="331"/>
      <c r="AK37" s="206">
        <f t="shared" si="1"/>
        <v>0</v>
      </c>
      <c r="AL37" s="201">
        <f>'CCC-car.2'!AD80</f>
        <v>14</v>
      </c>
      <c r="AM37" s="201">
        <f>'CCC-car.2'!AE80</f>
        <v>0</v>
      </c>
      <c r="AN37" s="201">
        <f>'CCC-car.2'!AF80</f>
        <v>0</v>
      </c>
      <c r="AO37" s="331"/>
      <c r="AP37" s="206">
        <f t="shared" si="2"/>
        <v>0</v>
      </c>
      <c r="AQ37" s="201">
        <f>'CCC-car.3'!AD80</f>
        <v>14</v>
      </c>
      <c r="AR37" s="201">
        <f>'CCC-car.3'!AE80</f>
        <v>0</v>
      </c>
      <c r="AS37" s="201">
        <f>'CCC-car.3'!AF80</f>
        <v>0</v>
      </c>
      <c r="AT37" s="331"/>
      <c r="AU37" s="206">
        <f t="shared" si="3"/>
        <v>0</v>
      </c>
      <c r="AV37" s="201">
        <f>'CCC-car.4'!AD80</f>
        <v>14</v>
      </c>
      <c r="AW37" s="201">
        <f>'CCC-car.4'!AE80</f>
        <v>0</v>
      </c>
      <c r="AX37" s="201">
        <f>'CCC-car.4'!AF80</f>
        <v>0</v>
      </c>
      <c r="AY37" s="331"/>
      <c r="AZ37" s="206">
        <f t="shared" si="4"/>
        <v>0</v>
      </c>
      <c r="BA37" s="201">
        <f>'CCC-car.5'!AD80</f>
        <v>14</v>
      </c>
      <c r="BB37" s="201">
        <f>'CCC-car.5'!AE80</f>
        <v>0</v>
      </c>
      <c r="BC37" s="201">
        <f>'CCC-car.5'!AF80</f>
        <v>0</v>
      </c>
    </row>
    <row r="38" spans="22:55" ht="15" customHeight="1" x14ac:dyDescent="0.2">
      <c r="V38" s="333" t="s">
        <v>66</v>
      </c>
      <c r="W38" s="333"/>
      <c r="X38" s="333"/>
      <c r="Y38" s="333"/>
      <c r="Z38" s="333"/>
      <c r="AA38" s="333"/>
      <c r="AB38" s="333"/>
      <c r="AC38" s="333"/>
      <c r="AD38" s="51"/>
      <c r="AE38" s="331"/>
      <c r="AF38" s="207">
        <f t="shared" si="8"/>
        <v>0</v>
      </c>
      <c r="AG38" s="204">
        <f>'CCC-car.1'!AD81</f>
        <v>14</v>
      </c>
      <c r="AH38" s="204">
        <f>'CCC-car.1'!AE81</f>
        <v>0</v>
      </c>
      <c r="AI38" s="204">
        <f>'CCC-car.1'!AF81</f>
        <v>0</v>
      </c>
      <c r="AJ38" s="331"/>
      <c r="AK38" s="207">
        <f t="shared" si="1"/>
        <v>0</v>
      </c>
      <c r="AL38" s="204">
        <f>'CCC-car.2'!AD81</f>
        <v>14</v>
      </c>
      <c r="AM38" s="204">
        <f>'CCC-car.2'!AE81</f>
        <v>0</v>
      </c>
      <c r="AN38" s="204">
        <f>'CCC-car.2'!AF81</f>
        <v>0</v>
      </c>
      <c r="AO38" s="331"/>
      <c r="AP38" s="207">
        <f t="shared" si="2"/>
        <v>0</v>
      </c>
      <c r="AQ38" s="204">
        <f>'CCC-car.3'!AD81</f>
        <v>14</v>
      </c>
      <c r="AR38" s="204">
        <f>'CCC-car.3'!AE81</f>
        <v>0</v>
      </c>
      <c r="AS38" s="204">
        <f>'CCC-car.3'!AF81</f>
        <v>0</v>
      </c>
      <c r="AT38" s="331"/>
      <c r="AU38" s="207">
        <f t="shared" si="3"/>
        <v>0</v>
      </c>
      <c r="AV38" s="204">
        <f>'CCC-car.4'!AD81</f>
        <v>14</v>
      </c>
      <c r="AW38" s="204">
        <f>'CCC-car.4'!AE81</f>
        <v>0</v>
      </c>
      <c r="AX38" s="204">
        <f>'CCC-car.4'!AF81</f>
        <v>0</v>
      </c>
      <c r="AY38" s="331"/>
      <c r="AZ38" s="207">
        <f t="shared" si="4"/>
        <v>0</v>
      </c>
      <c r="BA38" s="204">
        <f>'CCC-car.5'!AD81</f>
        <v>14</v>
      </c>
      <c r="BB38" s="204">
        <f>'CCC-car.5'!AE81</f>
        <v>0</v>
      </c>
      <c r="BC38" s="204">
        <f>'CCC-car.5'!AF81</f>
        <v>0</v>
      </c>
    </row>
    <row r="39" spans="22:55" x14ac:dyDescent="0.2">
      <c r="V39" s="43" t="s">
        <v>8</v>
      </c>
      <c r="W39" s="43" t="s">
        <v>9</v>
      </c>
      <c r="X39" s="43" t="s">
        <v>10</v>
      </c>
      <c r="Y39" s="43" t="s">
        <v>11</v>
      </c>
      <c r="Z39" s="43" t="s">
        <v>76</v>
      </c>
      <c r="AA39" s="43" t="s">
        <v>77</v>
      </c>
      <c r="AB39" s="43" t="s">
        <v>92</v>
      </c>
      <c r="AC39" s="43" t="s">
        <v>93</v>
      </c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2:55" x14ac:dyDescent="0.2">
      <c r="V40" s="336" t="s">
        <v>67</v>
      </c>
      <c r="W40" s="336"/>
      <c r="X40" s="336"/>
      <c r="Y40" s="336"/>
      <c r="Z40" s="336"/>
      <c r="AA40" s="336"/>
      <c r="AB40" s="336"/>
      <c r="AC40" s="336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2:55" x14ac:dyDescent="0.2">
      <c r="V41" s="2" t="s">
        <v>49</v>
      </c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2:55" x14ac:dyDescent="0.2">
      <c r="V42" s="201">
        <f>AI7</f>
        <v>0</v>
      </c>
      <c r="W42" s="201">
        <f>AI8</f>
        <v>0</v>
      </c>
      <c r="X42" s="201">
        <f>AI16</f>
        <v>0</v>
      </c>
      <c r="Y42" s="201">
        <f>AI17</f>
        <v>0</v>
      </c>
      <c r="Z42" s="201">
        <f>AI25</f>
        <v>0</v>
      </c>
      <c r="AA42" s="201">
        <f>AI26</f>
        <v>0</v>
      </c>
      <c r="AB42" s="201">
        <f>AI34</f>
        <v>0</v>
      </c>
      <c r="AC42" s="201">
        <f>AI35</f>
        <v>0</v>
      </c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2:55" ht="12" customHeight="1" x14ac:dyDescent="0.2">
      <c r="V43" s="46"/>
      <c r="W43" s="46"/>
      <c r="X43" s="46"/>
      <c r="Y43" s="46"/>
      <c r="Z43" s="46"/>
      <c r="AA43" s="46"/>
      <c r="AB43" s="46"/>
      <c r="AC43" s="46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2:55" ht="12" customHeight="1" x14ac:dyDescent="0.2">
      <c r="V44" s="2" t="s">
        <v>50</v>
      </c>
      <c r="W44" s="46"/>
      <c r="X44" s="46"/>
      <c r="Y44" s="46"/>
      <c r="Z44" s="46"/>
      <c r="AA44" s="46"/>
      <c r="AB44" s="46"/>
      <c r="AC44" s="46"/>
      <c r="AD44" s="3"/>
    </row>
    <row r="45" spans="22:55" x14ac:dyDescent="0.2">
      <c r="V45" s="201">
        <f>AN7</f>
        <v>0</v>
      </c>
      <c r="W45" s="201">
        <f>AN8</f>
        <v>12.473076923076924</v>
      </c>
      <c r="X45" s="201">
        <f>AN16</f>
        <v>-25.126923076923077</v>
      </c>
      <c r="Y45" s="201">
        <f>AN17</f>
        <v>28.200000000000003</v>
      </c>
      <c r="Z45" s="201">
        <f>AN25</f>
        <v>-28.200000000000003</v>
      </c>
      <c r="AA45" s="201">
        <f>AN26</f>
        <v>25.126923076923077</v>
      </c>
      <c r="AB45" s="201">
        <f>AN34</f>
        <v>-12.473076923076924</v>
      </c>
      <c r="AC45" s="201">
        <f>AN35</f>
        <v>0</v>
      </c>
      <c r="AD45" s="11"/>
    </row>
    <row r="46" spans="22:55" x14ac:dyDescent="0.2">
      <c r="V46" s="46"/>
      <c r="W46" s="46"/>
      <c r="X46" s="46"/>
      <c r="Y46" s="46"/>
      <c r="Z46" s="46"/>
      <c r="AA46" s="46"/>
      <c r="AB46" s="46"/>
      <c r="AC46" s="46"/>
      <c r="AD46" s="3"/>
    </row>
    <row r="47" spans="22:55" x14ac:dyDescent="0.2">
      <c r="V47" s="2" t="s">
        <v>51</v>
      </c>
      <c r="W47" s="46"/>
      <c r="X47" s="46"/>
      <c r="Y47" s="46"/>
      <c r="Z47" s="46"/>
      <c r="AA47" s="46"/>
      <c r="AB47" s="46"/>
      <c r="AC47" s="46"/>
      <c r="AD47" s="3"/>
    </row>
    <row r="48" spans="22:55" x14ac:dyDescent="0.2">
      <c r="V48" s="201">
        <f>AS7</f>
        <v>0</v>
      </c>
      <c r="W48" s="201">
        <f>AS8</f>
        <v>0</v>
      </c>
      <c r="X48" s="201">
        <f>AS16</f>
        <v>0</v>
      </c>
      <c r="Y48" s="201">
        <f>AS17</f>
        <v>0</v>
      </c>
      <c r="Z48" s="201">
        <f>AS25</f>
        <v>0</v>
      </c>
      <c r="AA48" s="201">
        <f>AS26</f>
        <v>0</v>
      </c>
      <c r="AB48" s="201">
        <f>AS34</f>
        <v>0</v>
      </c>
      <c r="AC48" s="201">
        <f>AS35</f>
        <v>0</v>
      </c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V49" s="46"/>
      <c r="W49" s="46"/>
      <c r="X49" s="46"/>
      <c r="Y49" s="46"/>
      <c r="Z49" s="46"/>
      <c r="AA49" s="46"/>
      <c r="AB49" s="46"/>
      <c r="AC49" s="46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V50" s="2" t="s">
        <v>52</v>
      </c>
      <c r="W50" s="46"/>
      <c r="X50" s="46"/>
      <c r="Y50" s="46"/>
      <c r="Z50" s="46"/>
      <c r="AA50" s="46"/>
      <c r="AB50" s="46"/>
      <c r="AC50" s="46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V51" s="201">
        <f>AX7</f>
        <v>0</v>
      </c>
      <c r="W51" s="201">
        <f>AX8</f>
        <v>0</v>
      </c>
      <c r="X51" s="201">
        <f>AX16</f>
        <v>0</v>
      </c>
      <c r="Y51" s="201">
        <f>AX17</f>
        <v>0</v>
      </c>
      <c r="Z51" s="201">
        <f>AX25</f>
        <v>0</v>
      </c>
      <c r="AA51" s="201">
        <f>AX26</f>
        <v>0</v>
      </c>
      <c r="AB51" s="201">
        <f>AX34</f>
        <v>0</v>
      </c>
      <c r="AC51" s="201">
        <f>AX35</f>
        <v>0</v>
      </c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V52" s="46"/>
      <c r="W52" s="46"/>
      <c r="X52" s="3"/>
      <c r="Y52" s="3"/>
      <c r="Z52" s="46"/>
      <c r="AA52" s="46"/>
      <c r="AB52" s="46"/>
      <c r="AC52" s="46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V53" s="2" t="s">
        <v>53</v>
      </c>
      <c r="W53" s="46"/>
      <c r="X53" s="3"/>
      <c r="Y53" s="3"/>
      <c r="Z53" s="46"/>
      <c r="AA53" s="46"/>
      <c r="AB53" s="46"/>
      <c r="AC53" s="46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V54" s="201">
        <f>BC7</f>
        <v>0</v>
      </c>
      <c r="W54" s="201">
        <f>BC8</f>
        <v>0</v>
      </c>
      <c r="X54" s="201">
        <f>BC16</f>
        <v>0</v>
      </c>
      <c r="Y54" s="201">
        <f>BC17</f>
        <v>0</v>
      </c>
      <c r="Z54" s="201">
        <f>BC25</f>
        <v>0</v>
      </c>
      <c r="AA54" s="201">
        <f>BC26</f>
        <v>0</v>
      </c>
      <c r="AB54" s="201">
        <f>BC34</f>
        <v>0</v>
      </c>
      <c r="AC54" s="201">
        <f>BC35</f>
        <v>0</v>
      </c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Y57" s="333" t="s">
        <v>68</v>
      </c>
      <c r="Z57" s="333"/>
      <c r="AA57" s="333"/>
      <c r="AB57" s="333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X58" s="46"/>
      <c r="Y58" s="43" t="s">
        <v>0</v>
      </c>
      <c r="Z58" s="43" t="s">
        <v>1</v>
      </c>
      <c r="AA58" s="43" t="s">
        <v>78</v>
      </c>
      <c r="AB58" s="43" t="s">
        <v>94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Y59" s="334" t="s">
        <v>67</v>
      </c>
      <c r="Z59" s="334"/>
      <c r="AA59" s="334"/>
      <c r="AB59" s="334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X60" s="42" t="s">
        <v>49</v>
      </c>
      <c r="Y60" s="201">
        <f>'CCC-car.1'!X32</f>
        <v>0</v>
      </c>
      <c r="Z60" s="201">
        <f>'CCC-car.1'!Y32</f>
        <v>0</v>
      </c>
      <c r="AA60" s="201">
        <f>'CCC-car.1'!Z32</f>
        <v>0</v>
      </c>
      <c r="AB60" s="201">
        <f>'CCC-car.1'!AA32</f>
        <v>0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X61" s="42" t="s">
        <v>50</v>
      </c>
      <c r="Y61" s="201">
        <f>'CCC-car.2'!X32</f>
        <v>12.473076923076924</v>
      </c>
      <c r="Z61" s="201">
        <f>'CCC-car.2'!Y32</f>
        <v>53.32692307692308</v>
      </c>
      <c r="AA61" s="201">
        <f>'CCC-car.2'!Z32</f>
        <v>53.32692307692308</v>
      </c>
      <c r="AB61" s="201">
        <f>'CCC-car.2'!AA32</f>
        <v>12.473076923076924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X62" s="42" t="s">
        <v>51</v>
      </c>
      <c r="Y62" s="201">
        <f>'CCC-car.3'!X32</f>
        <v>0</v>
      </c>
      <c r="Z62" s="201">
        <f>'CCC-car.3'!Y32</f>
        <v>0</v>
      </c>
      <c r="AA62" s="201">
        <f>'CCC-car.3'!Z32</f>
        <v>0</v>
      </c>
      <c r="AB62" s="201">
        <f>'CCC-car.3'!AA32</f>
        <v>0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X63" s="42" t="s">
        <v>52</v>
      </c>
      <c r="Y63" s="201">
        <f>'CCC-car.4'!X32</f>
        <v>0</v>
      </c>
      <c r="Z63" s="201">
        <f>'CCC-car.4'!Y32</f>
        <v>0</v>
      </c>
      <c r="AA63" s="201">
        <f>'CCC-car.4'!Z32</f>
        <v>0</v>
      </c>
      <c r="AB63" s="201">
        <f>'CCC-car.4'!AA32</f>
        <v>0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X64" s="42" t="s">
        <v>53</v>
      </c>
      <c r="Y64" s="201">
        <f>'CCC-car.5'!X32</f>
        <v>0</v>
      </c>
      <c r="Z64" s="201">
        <f>'CCC-car.5'!Y32</f>
        <v>0</v>
      </c>
      <c r="AA64" s="201">
        <f>'CCC-car.5'!Z32</f>
        <v>0</v>
      </c>
      <c r="AB64" s="201">
        <f>'CCC-car.5'!AA32</f>
        <v>0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1"/>
      <c r="C69" s="123" t="s">
        <v>463</v>
      </c>
      <c r="D69" s="271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1"/>
      <c r="C70" s="123" t="str">
        <f>D6</f>
        <v>ca</v>
      </c>
      <c r="D70" s="271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1"/>
      <c r="C71" s="271"/>
      <c r="D71" s="271"/>
      <c r="E71" s="271"/>
      <c r="F71" s="271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27" t="s">
        <v>31</v>
      </c>
      <c r="B74" s="328"/>
      <c r="C74" s="328"/>
      <c r="D74" s="328"/>
      <c r="E74" s="328"/>
      <c r="F74" s="328"/>
      <c r="G74" s="328"/>
      <c r="H74" s="328"/>
      <c r="I74" s="328"/>
      <c r="J74" s="329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274">
        <v>1</v>
      </c>
      <c r="C77" s="281">
        <f>E19/10^8</f>
        <v>1.3333333333333334E-4</v>
      </c>
      <c r="D77" s="202">
        <f>B77*C77</f>
        <v>1.3333333333333334E-4</v>
      </c>
      <c r="E77" s="3"/>
      <c r="F77" s="3"/>
      <c r="G77" s="274">
        <v>1</v>
      </c>
      <c r="H77" s="281">
        <f>F19/10^8</f>
        <v>1.3333333333333334E-4</v>
      </c>
      <c r="I77" s="202">
        <f>G77*H77</f>
        <v>1.3333333333333334E-4</v>
      </c>
      <c r="J77" s="266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3"/>
      <c r="J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274" t="s">
        <v>89</v>
      </c>
      <c r="C79" s="274" t="s">
        <v>90</v>
      </c>
      <c r="D79" s="274" t="s">
        <v>91</v>
      </c>
      <c r="E79" s="3"/>
      <c r="F79" s="45"/>
      <c r="G79" s="3"/>
      <c r="H79" s="3"/>
      <c r="I79" s="3"/>
      <c r="J79" s="266"/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G19/10^8</f>
        <v>1.3333333333333334E-4</v>
      </c>
      <c r="D80" s="269">
        <f>B80*C80</f>
        <v>1.3333333333333334E-4</v>
      </c>
      <c r="E80" s="273"/>
      <c r="F80" s="273"/>
      <c r="G80" s="273"/>
      <c r="H80" s="273"/>
      <c r="I80" s="273"/>
      <c r="J80" s="283"/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6">
    <mergeCell ref="D10:H10"/>
    <mergeCell ref="D24:H24"/>
    <mergeCell ref="D4:H4"/>
    <mergeCell ref="D6:H6"/>
    <mergeCell ref="AT4:AT7"/>
    <mergeCell ref="AT17:AT25"/>
    <mergeCell ref="E16:G16"/>
    <mergeCell ref="AY4:AY7"/>
    <mergeCell ref="A74:J74"/>
    <mergeCell ref="A1:J1"/>
    <mergeCell ref="AE4:AE7"/>
    <mergeCell ref="AJ4:AJ7"/>
    <mergeCell ref="AO4:AO7"/>
    <mergeCell ref="AE8:AE16"/>
    <mergeCell ref="AJ8:AJ16"/>
    <mergeCell ref="AO8:AO16"/>
    <mergeCell ref="AT8:AT16"/>
    <mergeCell ref="AY8:AY16"/>
    <mergeCell ref="AY35:AY38"/>
    <mergeCell ref="V38:AC38"/>
    <mergeCell ref="AE17:AE25"/>
    <mergeCell ref="AJ17:AJ25"/>
    <mergeCell ref="AO17:AO25"/>
    <mergeCell ref="AY17:AY25"/>
    <mergeCell ref="AE26:AE34"/>
    <mergeCell ref="AJ26:AJ34"/>
    <mergeCell ref="AO26:AO34"/>
    <mergeCell ref="AT26:AT34"/>
    <mergeCell ref="AY26:AY34"/>
    <mergeCell ref="Y59:AB59"/>
    <mergeCell ref="AE35:AE38"/>
    <mergeCell ref="AJ35:AJ38"/>
    <mergeCell ref="AO35:AO38"/>
    <mergeCell ref="AT35:AT38"/>
    <mergeCell ref="V40:AC40"/>
    <mergeCell ref="Y57:AB57"/>
  </mergeCells>
  <dataValidations count="10">
    <dataValidation type="custom" allowBlank="1" showInputMessage="1" showErrorMessage="1" sqref="D15" xr:uid="{00000000-0002-0000-0900-000000000000}">
      <formula1>IF(D14=A71,D15=0,D15&gt;0)</formula1>
    </dataValidation>
    <dataValidation type="custom" allowBlank="1" showInputMessage="1" showErrorMessage="1" sqref="H15" xr:uid="{00000000-0002-0000-0900-000001000000}">
      <formula1>IF(H14=A71,H15=0,H15&gt;0)</formula1>
    </dataValidation>
    <dataValidation type="list" allowBlank="1" showInputMessage="1" showErrorMessage="1" sqref="D6" xr:uid="{00000000-0002-0000-0900-000002000000}">
      <formula1>$I$69:$I$70</formula1>
    </dataValidation>
    <dataValidation type="list" allowBlank="1" showInputMessage="1" showErrorMessage="1" sqref="H17" xr:uid="{00000000-0002-0000-0900-000003000000}">
      <formula1>INDIRECT($H$16)</formula1>
    </dataValidation>
    <dataValidation type="list" allowBlank="1" showInputMessage="1" showErrorMessage="1" sqref="H16" xr:uid="{00000000-0002-0000-0900-000004000000}">
      <formula1>INDIRECT($H$14)</formula1>
    </dataValidation>
    <dataValidation type="list" allowBlank="1" showInputMessage="1" showErrorMessage="1" sqref="H14 D14" xr:uid="{00000000-0002-0000-0900-000005000000}">
      <formula1>$A$70:$A$71</formula1>
    </dataValidation>
    <dataValidation type="list" allowBlank="1" showInputMessage="1" showErrorMessage="1" sqref="D16" xr:uid="{00000000-0002-0000-0900-000006000000}">
      <formula1>INDIRECT($D$14)</formula1>
    </dataValidation>
    <dataValidation type="list" allowBlank="1" showInputMessage="1" showErrorMessage="1" sqref="D17" xr:uid="{00000000-0002-0000-0900-000007000000}">
      <formula1>INDIRECT($D$16)</formula1>
    </dataValidation>
    <dataValidation type="list" allowBlank="1" showInputMessage="1" showErrorMessage="1" sqref="E17:G17" xr:uid="{00000000-0002-0000-0900-000008000000}">
      <formula1>INDIRECT($D$6)</formula1>
    </dataValidation>
    <dataValidation type="custom" allowBlank="1" showInputMessage="1" showErrorMessage="1" sqref="E15:G15" xr:uid="{00000000-0002-0000-0900-000009000000}">
      <formula1>E15&gt;0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2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23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acro24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acro25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cro26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Macro27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Macro12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1" name="Button 20">
              <controlPr defaultSize="0" print="0" autoFill="0" autoPict="0" macro="[0]!Macro43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2" name="Button 27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11</xdr:row>
                    <xdr:rowOff>19050</xdr:rowOff>
                  </from>
                  <to>
                    <xdr:col>4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Button 28">
              <controlPr defaultSize="0" print="0" autoFill="0" autoPict="0" macro="[0]!Macro44">
                <anchor moveWithCells="1" sizeWithCells="1">
                  <from>
                    <xdr:col>3</xdr:col>
                    <xdr:colOff>19050</xdr:colOff>
                    <xdr:row>19</xdr:row>
                    <xdr:rowOff>19050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4" name="Button 38">
              <controlPr defaultSize="0" print="0" autoFill="0" autoPict="0" macro="[0]!Macro45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8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5" name="Button 39">
              <controlPr defaultSize="0" print="0" autoFill="0" autoPict="0" macro="[0]!Sezionecadatre">
                <anchor moveWithCells="1" siz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9</xdr:col>
                    <xdr:colOff>514350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6" name="Button 40">
              <controlPr defaultSize="0" print="0" autoFill="0" autoPict="0" macro="[0]!Sezioneacciaiodatre">
                <anchor moveWithCells="1" sizeWithCells="1">
                  <from>
                    <xdr:col>8</xdr:col>
                    <xdr:colOff>76200</xdr:colOff>
                    <xdr:row>16</xdr:row>
                    <xdr:rowOff>28575</xdr:rowOff>
                  </from>
                  <to>
                    <xdr:col>9</xdr:col>
                    <xdr:colOff>514350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BD99"/>
  <sheetViews>
    <sheetView showGridLines="0" tabSelected="1" topLeftCell="O10" zoomScale="85" zoomScaleNormal="85" workbookViewId="0">
      <selection activeCell="E30" sqref="E30"/>
    </sheetView>
  </sheetViews>
  <sheetFormatPr defaultColWidth="9.140625" defaultRowHeight="12" x14ac:dyDescent="0.2"/>
  <cols>
    <col min="1" max="11" width="9.140625" style="1"/>
    <col min="12" max="12" width="9.5703125" style="1" bestFit="1" customWidth="1"/>
    <col min="13" max="31" width="9.140625" style="1"/>
    <col min="32" max="50" width="9.140625" style="1" customWidth="1"/>
    <col min="51" max="16384" width="9.140625" style="1"/>
  </cols>
  <sheetData>
    <row r="1" spans="1:56" ht="12.75" thickBot="1" x14ac:dyDescent="0.25">
      <c r="A1" s="326" t="s">
        <v>459</v>
      </c>
      <c r="B1" s="326"/>
      <c r="C1" s="326"/>
      <c r="D1" s="326"/>
      <c r="E1" s="326"/>
      <c r="F1" s="326"/>
      <c r="G1" s="326"/>
      <c r="H1" s="326"/>
      <c r="I1" s="326"/>
      <c r="J1" s="326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O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x14ac:dyDescent="0.2">
      <c r="D4" s="335" t="s">
        <v>465</v>
      </c>
      <c r="E4" s="335"/>
      <c r="F4" s="335"/>
      <c r="G4" s="335"/>
      <c r="H4" s="335"/>
      <c r="I4" s="253"/>
      <c r="AE4" s="331" t="s">
        <v>56</v>
      </c>
      <c r="AF4" s="203">
        <f>AG4</f>
        <v>0</v>
      </c>
      <c r="AG4" s="203">
        <f>'CCCC-car.1'!AD47</f>
        <v>0</v>
      </c>
      <c r="AH4" s="203">
        <f>'CCCC-car.1'!AE47</f>
        <v>0</v>
      </c>
      <c r="AI4" s="203">
        <f>'CCCC-car.1'!AF47</f>
        <v>0</v>
      </c>
      <c r="AJ4" s="331" t="s">
        <v>56</v>
      </c>
      <c r="AK4" s="203">
        <f>AF4</f>
        <v>0</v>
      </c>
      <c r="AL4" s="203">
        <f>'CCCC-car.2'!AD47</f>
        <v>0</v>
      </c>
      <c r="AM4" s="203">
        <f>'CCCC-car.2'!AE47</f>
        <v>0</v>
      </c>
      <c r="AN4" s="203">
        <f>'CCCC-car.2'!AF47</f>
        <v>0</v>
      </c>
      <c r="AO4" s="331" t="s">
        <v>56</v>
      </c>
      <c r="AP4" s="203">
        <f>AK4</f>
        <v>0</v>
      </c>
      <c r="AQ4" s="203">
        <f>'CCCC-car.3'!AD47</f>
        <v>0</v>
      </c>
      <c r="AR4" s="203">
        <f>'CCCC-car.3'!AE47</f>
        <v>0</v>
      </c>
      <c r="AS4" s="203">
        <f>'CCCC-car.3'!AF47</f>
        <v>0</v>
      </c>
      <c r="AT4" s="331" t="s">
        <v>56</v>
      </c>
      <c r="AU4" s="203">
        <f>AP4</f>
        <v>0</v>
      </c>
      <c r="AV4" s="203">
        <f>'CCCC-car.4'!AD47</f>
        <v>0</v>
      </c>
      <c r="AW4" s="203">
        <f>'CCCC-car.4'!AE47</f>
        <v>0</v>
      </c>
      <c r="AX4" s="203">
        <f>'CCCC-car.4'!AF47</f>
        <v>0</v>
      </c>
      <c r="AY4" s="331" t="s">
        <v>56</v>
      </c>
      <c r="AZ4" s="203">
        <f>AU4</f>
        <v>0</v>
      </c>
      <c r="BA4" s="203">
        <f>'CCCC-car.5'!AD47</f>
        <v>0</v>
      </c>
      <c r="BB4" s="203">
        <f>'CCCC-car.5'!AE47</f>
        <v>0</v>
      </c>
      <c r="BC4" s="203">
        <f>'CCCC-car.5'!AF47</f>
        <v>0</v>
      </c>
    </row>
    <row r="5" spans="1:56" x14ac:dyDescent="0.2">
      <c r="D5" s="3"/>
      <c r="G5" s="3"/>
      <c r="AE5" s="331"/>
      <c r="AF5" s="201">
        <f t="shared" ref="AF5:AF7" si="0">AG5</f>
        <v>0</v>
      </c>
      <c r="AG5" s="201">
        <f>'CCCC-car.1'!AD48</f>
        <v>0</v>
      </c>
      <c r="AH5" s="201">
        <f>'CCCC-car.1'!AE48</f>
        <v>0</v>
      </c>
      <c r="AI5" s="201">
        <f>'CCCC-car.1'!AF48</f>
        <v>0</v>
      </c>
      <c r="AJ5" s="331"/>
      <c r="AK5" s="201">
        <f t="shared" ref="AK5:AK47" si="1">AF5</f>
        <v>0</v>
      </c>
      <c r="AL5" s="201">
        <f>'CCCC-car.2'!AD48</f>
        <v>0</v>
      </c>
      <c r="AM5" s="201">
        <f>'CCCC-car.2'!AE48</f>
        <v>0</v>
      </c>
      <c r="AN5" s="201">
        <f>'CCCC-car.2'!AF48</f>
        <v>0</v>
      </c>
      <c r="AO5" s="331"/>
      <c r="AP5" s="201">
        <f t="shared" ref="AP5:AP47" si="2">AK5</f>
        <v>0</v>
      </c>
      <c r="AQ5" s="201">
        <f>'CCCC-car.3'!AD48</f>
        <v>0</v>
      </c>
      <c r="AR5" s="201">
        <f>'CCCC-car.3'!AE48</f>
        <v>0</v>
      </c>
      <c r="AS5" s="201">
        <f>'CCCC-car.3'!AF48</f>
        <v>0</v>
      </c>
      <c r="AT5" s="331"/>
      <c r="AU5" s="201">
        <f t="shared" ref="AU5:AU47" si="3">AP5</f>
        <v>0</v>
      </c>
      <c r="AV5" s="201">
        <f>'CCCC-car.4'!AD48</f>
        <v>0</v>
      </c>
      <c r="AW5" s="201">
        <f>'CCCC-car.4'!AE48</f>
        <v>0</v>
      </c>
      <c r="AX5" s="201">
        <f>'CCCC-car.4'!AF48</f>
        <v>0</v>
      </c>
      <c r="AY5" s="331"/>
      <c r="AZ5" s="201">
        <f t="shared" ref="AZ5:AZ47" si="4">AU5</f>
        <v>0</v>
      </c>
      <c r="BA5" s="201">
        <f>'CCCC-car.5'!AD48</f>
        <v>0</v>
      </c>
      <c r="BB5" s="201">
        <f>'CCCC-car.5'!AE48</f>
        <v>0</v>
      </c>
      <c r="BC5" s="201">
        <f>'CCCC-car.5'!AF48</f>
        <v>0</v>
      </c>
    </row>
    <row r="6" spans="1:56" x14ac:dyDescent="0.2">
      <c r="D6" s="332" t="s">
        <v>452</v>
      </c>
      <c r="E6" s="332"/>
      <c r="F6" s="332"/>
      <c r="G6" s="332"/>
      <c r="H6" s="332"/>
      <c r="AE6" s="331"/>
      <c r="AF6" s="201">
        <f t="shared" si="0"/>
        <v>0</v>
      </c>
      <c r="AG6" s="201">
        <f>'CCCC-car.1'!AD49</f>
        <v>0</v>
      </c>
      <c r="AH6" s="201">
        <f>'CCCC-car.1'!AE49</f>
        <v>0</v>
      </c>
      <c r="AI6" s="201">
        <f>'CCCC-car.1'!AF49</f>
        <v>0</v>
      </c>
      <c r="AJ6" s="331"/>
      <c r="AK6" s="201">
        <f t="shared" si="1"/>
        <v>0</v>
      </c>
      <c r="AL6" s="201">
        <f>'CCCC-car.2'!AD49</f>
        <v>0</v>
      </c>
      <c r="AM6" s="201">
        <f>'CCCC-car.2'!AE49</f>
        <v>0</v>
      </c>
      <c r="AN6" s="201">
        <f>'CCCC-car.2'!AF49</f>
        <v>0</v>
      </c>
      <c r="AO6" s="331"/>
      <c r="AP6" s="201">
        <f t="shared" si="2"/>
        <v>0</v>
      </c>
      <c r="AQ6" s="201">
        <f>'CCCC-car.3'!AD49</f>
        <v>0</v>
      </c>
      <c r="AR6" s="201">
        <f>'CCCC-car.3'!AE49</f>
        <v>0</v>
      </c>
      <c r="AS6" s="201">
        <f>'CCCC-car.3'!AF49</f>
        <v>0</v>
      </c>
      <c r="AT6" s="331"/>
      <c r="AU6" s="201">
        <f t="shared" si="3"/>
        <v>0</v>
      </c>
      <c r="AV6" s="201">
        <f>'CCCC-car.4'!AD49</f>
        <v>0</v>
      </c>
      <c r="AW6" s="201">
        <f>'CCCC-car.4'!AE49</f>
        <v>0</v>
      </c>
      <c r="AX6" s="201">
        <f>'CCCC-car.4'!AF49</f>
        <v>0</v>
      </c>
      <c r="AY6" s="331"/>
      <c r="AZ6" s="201">
        <f t="shared" si="4"/>
        <v>0</v>
      </c>
      <c r="BA6" s="201">
        <f>'CCCC-car.5'!AD49</f>
        <v>0</v>
      </c>
      <c r="BB6" s="201">
        <f>'CCCC-car.5'!AE49</f>
        <v>0</v>
      </c>
      <c r="BC6" s="201">
        <f>'CCCC-car.5'!AF49</f>
        <v>0</v>
      </c>
    </row>
    <row r="7" spans="1:56" ht="12" customHeight="1" x14ac:dyDescent="0.2">
      <c r="AE7" s="331"/>
      <c r="AF7" s="204">
        <f t="shared" si="0"/>
        <v>0</v>
      </c>
      <c r="AG7" s="204">
        <f>'CCCC-car.1'!AD50</f>
        <v>0</v>
      </c>
      <c r="AH7" s="204">
        <f>'CCCC-car.1'!AE50</f>
        <v>0</v>
      </c>
      <c r="AI7" s="204">
        <f>'CCCC-car.1'!AF50</f>
        <v>0</v>
      </c>
      <c r="AJ7" s="331"/>
      <c r="AK7" s="204">
        <f t="shared" si="1"/>
        <v>0</v>
      </c>
      <c r="AL7" s="204">
        <f>'CCCC-car.2'!AD50</f>
        <v>0</v>
      </c>
      <c r="AM7" s="204">
        <f>'CCCC-car.2'!AE50</f>
        <v>0</v>
      </c>
      <c r="AN7" s="204">
        <f>'CCCC-car.2'!AF50</f>
        <v>0</v>
      </c>
      <c r="AO7" s="331"/>
      <c r="AP7" s="204">
        <f t="shared" si="2"/>
        <v>0</v>
      </c>
      <c r="AQ7" s="204">
        <f>'CCCC-car.3'!AD50</f>
        <v>0</v>
      </c>
      <c r="AR7" s="204">
        <f>'CCCC-car.3'!AE50</f>
        <v>0</v>
      </c>
      <c r="AS7" s="204">
        <f>'CCCC-car.3'!AF50</f>
        <v>0</v>
      </c>
      <c r="AT7" s="331"/>
      <c r="AU7" s="204">
        <f t="shared" si="3"/>
        <v>0</v>
      </c>
      <c r="AV7" s="204">
        <f>'CCCC-car.4'!AD50</f>
        <v>0</v>
      </c>
      <c r="AW7" s="204">
        <f>'CCCC-car.4'!AE50</f>
        <v>0</v>
      </c>
      <c r="AX7" s="204">
        <f>'CCCC-car.4'!AF50</f>
        <v>0</v>
      </c>
      <c r="AY7" s="331"/>
      <c r="AZ7" s="204">
        <f t="shared" si="4"/>
        <v>0</v>
      </c>
      <c r="BA7" s="204">
        <f>'CCCC-car.5'!AD50</f>
        <v>0</v>
      </c>
      <c r="BB7" s="204">
        <f>'CCCC-car.5'!AE50</f>
        <v>0</v>
      </c>
      <c r="BC7" s="204">
        <f>'CCCC-car.5'!AF50</f>
        <v>0</v>
      </c>
    </row>
    <row r="8" spans="1:56" x14ac:dyDescent="0.2">
      <c r="AE8" s="330" t="s">
        <v>30</v>
      </c>
      <c r="AF8" s="203">
        <f t="shared" ref="AF8:AF16" si="5">AG8-$AG$7</f>
        <v>0</v>
      </c>
      <c r="AG8" s="203">
        <f>'CCCC-car.1'!AD51</f>
        <v>0</v>
      </c>
      <c r="AH8" s="203">
        <f>'CCCC-car.1'!AE51</f>
        <v>0</v>
      </c>
      <c r="AI8" s="203">
        <f>'CCCC-car.1'!AF51</f>
        <v>23.324548760775855</v>
      </c>
      <c r="AJ8" s="330" t="s">
        <v>30</v>
      </c>
      <c r="AK8" s="203">
        <f t="shared" si="1"/>
        <v>0</v>
      </c>
      <c r="AL8" s="203">
        <f>'CCCC-car.2'!AD51</f>
        <v>0</v>
      </c>
      <c r="AM8" s="203">
        <f>'CCCC-car.2'!AE51</f>
        <v>0</v>
      </c>
      <c r="AN8" s="203">
        <f>'CCCC-car.2'!AF51</f>
        <v>16.009095297463915</v>
      </c>
      <c r="AO8" s="330" t="s">
        <v>30</v>
      </c>
      <c r="AP8" s="203">
        <f t="shared" si="2"/>
        <v>0</v>
      </c>
      <c r="AQ8" s="203">
        <f>'CCCC-car.3'!AD51</f>
        <v>0</v>
      </c>
      <c r="AR8" s="203">
        <f>'CCCC-car.3'!AE51</f>
        <v>0</v>
      </c>
      <c r="AS8" s="203">
        <f>'CCCC-car.3'!AF51</f>
        <v>24.203402008570563</v>
      </c>
      <c r="AT8" s="330" t="s">
        <v>30</v>
      </c>
      <c r="AU8" s="203">
        <f t="shared" si="3"/>
        <v>0</v>
      </c>
      <c r="AV8" s="203">
        <f>'CCCC-car.4'!AD51</f>
        <v>0</v>
      </c>
      <c r="AW8" s="203">
        <f>'CCCC-car.4'!AE51</f>
        <v>0</v>
      </c>
      <c r="AX8" s="203">
        <f>'CCCC-car.4'!AF51</f>
        <v>22.878758489123896</v>
      </c>
      <c r="AY8" s="330" t="s">
        <v>30</v>
      </c>
      <c r="AZ8" s="203">
        <f t="shared" si="4"/>
        <v>0</v>
      </c>
      <c r="BA8" s="203">
        <f>'CCCC-car.5'!AD51</f>
        <v>0</v>
      </c>
      <c r="BB8" s="203">
        <f>'CCCC-car.5'!AE51</f>
        <v>0</v>
      </c>
      <c r="BC8" s="203">
        <f>'CCCC-car.5'!AF51</f>
        <v>24.133538335755809</v>
      </c>
    </row>
    <row r="9" spans="1:56" x14ac:dyDescent="0.2">
      <c r="AE9" s="330"/>
      <c r="AF9" s="201">
        <f t="shared" si="5"/>
        <v>0.5</v>
      </c>
      <c r="AG9" s="201">
        <f>'CCCC-car.1'!AD52</f>
        <v>0.5</v>
      </c>
      <c r="AH9" s="201">
        <f>'CCCC-car.1'!AE52</f>
        <v>9.8685243803879281</v>
      </c>
      <c r="AI9" s="201">
        <f>'CCCC-car.1'!AF52</f>
        <v>16.149548760775858</v>
      </c>
      <c r="AJ9" s="330"/>
      <c r="AK9" s="201">
        <f t="shared" si="1"/>
        <v>0.5</v>
      </c>
      <c r="AL9" s="201">
        <f>'CCCC-car.2'!AD52</f>
        <v>0.5</v>
      </c>
      <c r="AM9" s="201">
        <f>'CCCC-car.2'!AE52</f>
        <v>6.7057976487319575</v>
      </c>
      <c r="AN9" s="201">
        <f>'CCCC-car.2'!AF52</f>
        <v>10.814095297463915</v>
      </c>
      <c r="AO9" s="330"/>
      <c r="AP9" s="201">
        <f t="shared" si="2"/>
        <v>0.5</v>
      </c>
      <c r="AQ9" s="201">
        <f>'CCCC-car.3'!AD52</f>
        <v>0.5</v>
      </c>
      <c r="AR9" s="201">
        <f>'CCCC-car.3'!AE52</f>
        <v>10.307951004285282</v>
      </c>
      <c r="AS9" s="201">
        <f>'CCCC-car.3'!AF52</f>
        <v>17.028402008570566</v>
      </c>
      <c r="AT9" s="330"/>
      <c r="AU9" s="201">
        <f t="shared" si="3"/>
        <v>0.5</v>
      </c>
      <c r="AV9" s="201">
        <f>'CCCC-car.4'!AD52</f>
        <v>0.5</v>
      </c>
      <c r="AW9" s="201">
        <f>'CCCC-car.4'!AE52</f>
        <v>9.6456292445619489</v>
      </c>
      <c r="AX9" s="201">
        <f>'CCCC-car.4'!AF52</f>
        <v>15.703758489123897</v>
      </c>
      <c r="AY9" s="330"/>
      <c r="AZ9" s="201">
        <f t="shared" si="4"/>
        <v>0.5</v>
      </c>
      <c r="BA9" s="201">
        <f>'CCCC-car.5'!AD52</f>
        <v>0.5</v>
      </c>
      <c r="BB9" s="201">
        <f>'CCCC-car.5'!AE52</f>
        <v>10.273019167877905</v>
      </c>
      <c r="BC9" s="201">
        <f>'CCCC-car.5'!AF52</f>
        <v>16.958538335755811</v>
      </c>
    </row>
    <row r="10" spans="1:56" x14ac:dyDescent="0.2">
      <c r="A10" s="286"/>
      <c r="B10" s="286"/>
      <c r="C10" s="335" t="s">
        <v>466</v>
      </c>
      <c r="D10" s="335"/>
      <c r="E10" s="335"/>
      <c r="F10" s="335"/>
      <c r="G10" s="335"/>
      <c r="H10" s="335"/>
      <c r="AE10" s="330"/>
      <c r="AF10" s="201">
        <f t="shared" si="5"/>
        <v>1</v>
      </c>
      <c r="AG10" s="201">
        <f>'CCCC-car.1'!AD53</f>
        <v>1</v>
      </c>
      <c r="AH10" s="201">
        <f>'CCCC-car.1'!AE53</f>
        <v>16.149548760775858</v>
      </c>
      <c r="AI10" s="201">
        <f>'CCCC-car.1'!AF53</f>
        <v>8.9745487607758569</v>
      </c>
      <c r="AJ10" s="330"/>
      <c r="AK10" s="201">
        <f t="shared" si="1"/>
        <v>1</v>
      </c>
      <c r="AL10" s="201">
        <f>'CCCC-car.2'!AD53</f>
        <v>1</v>
      </c>
      <c r="AM10" s="201">
        <f>'CCCC-car.2'!AE53</f>
        <v>10.814095297463915</v>
      </c>
      <c r="AN10" s="201">
        <f>'CCCC-car.2'!AF53</f>
        <v>5.6190952974639146</v>
      </c>
      <c r="AO10" s="330"/>
      <c r="AP10" s="201">
        <f t="shared" si="2"/>
        <v>1</v>
      </c>
      <c r="AQ10" s="201">
        <f>'CCCC-car.3'!AD53</f>
        <v>1</v>
      </c>
      <c r="AR10" s="201">
        <f>'CCCC-car.3'!AE53</f>
        <v>17.028402008570566</v>
      </c>
      <c r="AS10" s="201">
        <f>'CCCC-car.3'!AF53</f>
        <v>9.8534020085705656</v>
      </c>
      <c r="AT10" s="330"/>
      <c r="AU10" s="201">
        <f t="shared" si="3"/>
        <v>1</v>
      </c>
      <c r="AV10" s="201">
        <f>'CCCC-car.4'!AD53</f>
        <v>1</v>
      </c>
      <c r="AW10" s="201">
        <f>'CCCC-car.4'!AE53</f>
        <v>15.703758489123897</v>
      </c>
      <c r="AX10" s="201">
        <f>'CCCC-car.4'!AF53</f>
        <v>8.5287584891238986</v>
      </c>
      <c r="AY10" s="330"/>
      <c r="AZ10" s="201">
        <f t="shared" si="4"/>
        <v>1</v>
      </c>
      <c r="BA10" s="201">
        <f>'CCCC-car.5'!AD53</f>
        <v>1</v>
      </c>
      <c r="BB10" s="201">
        <f>'CCCC-car.5'!AE53</f>
        <v>16.958538335755811</v>
      </c>
      <c r="BC10" s="201">
        <f>'CCCC-car.5'!AF53</f>
        <v>9.7835383357558108</v>
      </c>
    </row>
    <row r="11" spans="1:56" x14ac:dyDescent="0.2">
      <c r="A11" s="46"/>
      <c r="B11" s="46"/>
      <c r="C11" s="46"/>
      <c r="D11" s="46"/>
      <c r="E11" s="46"/>
      <c r="F11" s="46"/>
      <c r="G11" s="46"/>
      <c r="H11" s="46"/>
      <c r="AE11" s="330"/>
      <c r="AF11" s="201">
        <f t="shared" si="5"/>
        <v>1.5</v>
      </c>
      <c r="AG11" s="201">
        <f>'CCCC-car.1'!AD54</f>
        <v>1.5</v>
      </c>
      <c r="AH11" s="201">
        <f>'CCCC-car.1'!AE54</f>
        <v>18.843073141163785</v>
      </c>
      <c r="AI11" s="201">
        <f>'CCCC-car.1'!AF54</f>
        <v>1.7995487607758562</v>
      </c>
      <c r="AJ11" s="330"/>
      <c r="AK11" s="201">
        <f t="shared" si="1"/>
        <v>1.5</v>
      </c>
      <c r="AL11" s="201">
        <f>'CCCC-car.2'!AD54</f>
        <v>1.5</v>
      </c>
      <c r="AM11" s="201">
        <f>'CCCC-car.2'!AE54</f>
        <v>12.324892946195872</v>
      </c>
      <c r="AN11" s="201">
        <f>'CCCC-car.2'!AF54</f>
        <v>0.42409529746391428</v>
      </c>
      <c r="AO11" s="330"/>
      <c r="AP11" s="201">
        <f t="shared" si="2"/>
        <v>1.5</v>
      </c>
      <c r="AQ11" s="201">
        <f>'CCCC-car.3'!AD54</f>
        <v>1.5</v>
      </c>
      <c r="AR11" s="201">
        <f>'CCCC-car.3'!AE54</f>
        <v>20.161353012855848</v>
      </c>
      <c r="AS11" s="201">
        <f>'CCCC-car.3'!AF54</f>
        <v>2.6784020085705649</v>
      </c>
      <c r="AT11" s="330"/>
      <c r="AU11" s="201">
        <f t="shared" si="3"/>
        <v>1.5</v>
      </c>
      <c r="AV11" s="201">
        <f>'CCCC-car.4'!AD54</f>
        <v>1.5</v>
      </c>
      <c r="AW11" s="201">
        <f>'CCCC-car.4'!AE54</f>
        <v>18.174387733685847</v>
      </c>
      <c r="AX11" s="201">
        <f>'CCCC-car.4'!AF54</f>
        <v>1.3537584891238978</v>
      </c>
      <c r="AY11" s="330"/>
      <c r="AZ11" s="201">
        <f t="shared" si="4"/>
        <v>1.5</v>
      </c>
      <c r="BA11" s="201">
        <f>'CCCC-car.5'!AD54</f>
        <v>1.5</v>
      </c>
      <c r="BB11" s="201">
        <f>'CCCC-car.5'!AE54</f>
        <v>20.056557503633712</v>
      </c>
      <c r="BC11" s="201">
        <f>'CCCC-car.5'!AF54</f>
        <v>2.6085383357558101</v>
      </c>
    </row>
    <row r="12" spans="1:56" x14ac:dyDescent="0.2">
      <c r="AE12" s="330"/>
      <c r="AF12" s="201">
        <f t="shared" si="5"/>
        <v>2</v>
      </c>
      <c r="AG12" s="201">
        <f>'CCCC-car.1'!AD55</f>
        <v>2</v>
      </c>
      <c r="AH12" s="201">
        <f>'CCCC-car.1'!AE55</f>
        <v>17.949097521551714</v>
      </c>
      <c r="AI12" s="201">
        <f>'CCCC-car.1'!AF55</f>
        <v>-5.3754512392241409</v>
      </c>
      <c r="AJ12" s="330"/>
      <c r="AK12" s="201">
        <f t="shared" si="1"/>
        <v>2</v>
      </c>
      <c r="AL12" s="201">
        <f>'CCCC-car.2'!AD55</f>
        <v>2</v>
      </c>
      <c r="AM12" s="201">
        <f>'CCCC-car.2'!AE55</f>
        <v>11.238190594927829</v>
      </c>
      <c r="AN12" s="201">
        <f>'CCCC-car.2'!AF55</f>
        <v>-4.770904702536086</v>
      </c>
      <c r="AO12" s="330"/>
      <c r="AP12" s="201">
        <f t="shared" si="2"/>
        <v>2</v>
      </c>
      <c r="AQ12" s="201">
        <f>'CCCC-car.3'!AD55</f>
        <v>2</v>
      </c>
      <c r="AR12" s="201">
        <f>'CCCC-car.3'!AE55</f>
        <v>19.706804017141131</v>
      </c>
      <c r="AS12" s="201">
        <f>'CCCC-car.3'!AF55</f>
        <v>-4.4965979914294323</v>
      </c>
      <c r="AT12" s="330"/>
      <c r="AU12" s="201">
        <f t="shared" si="3"/>
        <v>2</v>
      </c>
      <c r="AV12" s="201">
        <f>'CCCC-car.4'!AD55</f>
        <v>2</v>
      </c>
      <c r="AW12" s="201">
        <f>'CCCC-car.4'!AE55</f>
        <v>17.057516978247797</v>
      </c>
      <c r="AX12" s="201">
        <f>'CCCC-car.4'!AF55</f>
        <v>-5.8212415108760993</v>
      </c>
      <c r="AY12" s="330"/>
      <c r="AZ12" s="201">
        <f t="shared" si="4"/>
        <v>2</v>
      </c>
      <c r="BA12" s="201">
        <f>'CCCC-car.5'!AD55</f>
        <v>2</v>
      </c>
      <c r="BB12" s="201">
        <f>'CCCC-car.5'!AE55</f>
        <v>19.567076671511622</v>
      </c>
      <c r="BC12" s="201">
        <f>'CCCC-car.5'!AF55</f>
        <v>-4.5664616642441871</v>
      </c>
    </row>
    <row r="13" spans="1:56" x14ac:dyDescent="0.2">
      <c r="A13" s="252" t="s">
        <v>451</v>
      </c>
      <c r="B13" s="254"/>
      <c r="C13" s="257" t="s">
        <v>453</v>
      </c>
      <c r="D13" s="254" t="s">
        <v>454</v>
      </c>
      <c r="E13" s="254" t="s">
        <v>455</v>
      </c>
      <c r="F13" s="254" t="s">
        <v>456</v>
      </c>
      <c r="G13" s="254" t="s">
        <v>457</v>
      </c>
      <c r="H13" s="257" t="s">
        <v>458</v>
      </c>
      <c r="AE13" s="330"/>
      <c r="AF13" s="201">
        <f t="shared" si="5"/>
        <v>2.5</v>
      </c>
      <c r="AG13" s="201">
        <f>'CCCC-car.1'!AD56</f>
        <v>2.5</v>
      </c>
      <c r="AH13" s="201">
        <f>'CCCC-car.1'!AE56</f>
        <v>13.467621901939644</v>
      </c>
      <c r="AI13" s="201">
        <f>'CCCC-car.1'!AF56</f>
        <v>-12.550451239224138</v>
      </c>
      <c r="AJ13" s="330"/>
      <c r="AK13" s="201">
        <f t="shared" si="1"/>
        <v>2.5</v>
      </c>
      <c r="AL13" s="201">
        <f>'CCCC-car.2'!AD56</f>
        <v>2.5</v>
      </c>
      <c r="AM13" s="201">
        <f>'CCCC-car.2'!AE56</f>
        <v>7.5539882436597878</v>
      </c>
      <c r="AN13" s="201">
        <f>'CCCC-car.2'!AF56</f>
        <v>-9.9659047025360863</v>
      </c>
      <c r="AO13" s="330"/>
      <c r="AP13" s="201">
        <f t="shared" si="2"/>
        <v>2.5</v>
      </c>
      <c r="AQ13" s="201">
        <f>'CCCC-car.3'!AD56</f>
        <v>2.5</v>
      </c>
      <c r="AR13" s="201">
        <f>'CCCC-car.3'!AE56</f>
        <v>15.664755021426416</v>
      </c>
      <c r="AS13" s="201">
        <f>'CCCC-car.3'!AF56</f>
        <v>-11.671597991429429</v>
      </c>
      <c r="AT13" s="330"/>
      <c r="AU13" s="201">
        <f t="shared" si="3"/>
        <v>2.5</v>
      </c>
      <c r="AV13" s="201">
        <f>'CCCC-car.4'!AD56</f>
        <v>2.5</v>
      </c>
      <c r="AW13" s="201">
        <f>'CCCC-car.4'!AE56</f>
        <v>12.353146222809748</v>
      </c>
      <c r="AX13" s="201">
        <f>'CCCC-car.4'!AF56</f>
        <v>-12.996241510876096</v>
      </c>
      <c r="AY13" s="330"/>
      <c r="AZ13" s="201">
        <f t="shared" si="4"/>
        <v>2.5</v>
      </c>
      <c r="BA13" s="201">
        <f>'CCCC-car.5'!AD56</f>
        <v>2.5</v>
      </c>
      <c r="BB13" s="201">
        <f>'CCCC-car.5'!AE56</f>
        <v>15.490095839389532</v>
      </c>
      <c r="BC13" s="201">
        <f>'CCCC-car.5'!AF56</f>
        <v>-11.741461664244184</v>
      </c>
    </row>
    <row r="14" spans="1:56" x14ac:dyDescent="0.2">
      <c r="C14" s="324" t="s">
        <v>464</v>
      </c>
      <c r="D14" s="1" t="s">
        <v>464</v>
      </c>
      <c r="H14" s="310" t="s">
        <v>464</v>
      </c>
      <c r="AE14" s="330"/>
      <c r="AF14" s="201">
        <f t="shared" si="5"/>
        <v>3</v>
      </c>
      <c r="AG14" s="201">
        <f>'CCCC-car.1'!AD57</f>
        <v>3</v>
      </c>
      <c r="AH14" s="201">
        <f>'CCCC-car.1'!AE57</f>
        <v>5.3986462823275758</v>
      </c>
      <c r="AI14" s="201">
        <f>'CCCC-car.1'!AF57</f>
        <v>-19.725451239224142</v>
      </c>
      <c r="AJ14" s="330"/>
      <c r="AK14" s="201">
        <f t="shared" si="1"/>
        <v>3</v>
      </c>
      <c r="AL14" s="201">
        <f>'CCCC-car.2'!AD57</f>
        <v>3</v>
      </c>
      <c r="AM14" s="201">
        <f>'CCCC-car.2'!AE57</f>
        <v>1.2722858923917428</v>
      </c>
      <c r="AN14" s="201">
        <f>'CCCC-car.2'!AF57</f>
        <v>-15.160904702536087</v>
      </c>
      <c r="AO14" s="330"/>
      <c r="AP14" s="201">
        <f t="shared" si="2"/>
        <v>3</v>
      </c>
      <c r="AQ14" s="201">
        <f>'CCCC-car.3'!AD57</f>
        <v>3</v>
      </c>
      <c r="AR14" s="201">
        <f>'CCCC-car.3'!AE57</f>
        <v>8.0352060257117017</v>
      </c>
      <c r="AS14" s="201">
        <f>'CCCC-car.3'!AF57</f>
        <v>-18.846597991429434</v>
      </c>
      <c r="AT14" s="330"/>
      <c r="AU14" s="201">
        <f t="shared" si="3"/>
        <v>3</v>
      </c>
      <c r="AV14" s="201">
        <f>'CCCC-car.4'!AD57</f>
        <v>3</v>
      </c>
      <c r="AW14" s="201">
        <f>'CCCC-car.4'!AE57</f>
        <v>4.0612754673717006</v>
      </c>
      <c r="AX14" s="201">
        <f>'CCCC-car.4'!AF57</f>
        <v>-20.171241510876101</v>
      </c>
      <c r="AY14" s="330"/>
      <c r="AZ14" s="201">
        <f t="shared" si="4"/>
        <v>3</v>
      </c>
      <c r="BA14" s="201">
        <f>'CCCC-car.5'!AD57</f>
        <v>3</v>
      </c>
      <c r="BB14" s="201">
        <f>'CCCC-car.5'!AE57</f>
        <v>7.8256150072674302</v>
      </c>
      <c r="BC14" s="201">
        <f>'CCCC-car.5'!AF57</f>
        <v>-18.916461664244189</v>
      </c>
    </row>
    <row r="15" spans="1:56" x14ac:dyDescent="0.2">
      <c r="A15" s="252" t="s">
        <v>447</v>
      </c>
      <c r="B15" s="16" t="s">
        <v>449</v>
      </c>
      <c r="C15" s="277">
        <v>0</v>
      </c>
      <c r="D15" s="278">
        <v>4</v>
      </c>
      <c r="E15" s="278">
        <v>4</v>
      </c>
      <c r="F15" s="278">
        <v>5.5</v>
      </c>
      <c r="G15" s="278">
        <v>4</v>
      </c>
      <c r="H15" s="277">
        <v>0</v>
      </c>
      <c r="AE15" s="330"/>
      <c r="AF15" s="201">
        <f t="shared" si="5"/>
        <v>3.5</v>
      </c>
      <c r="AG15" s="201">
        <f>'CCCC-car.1'!AD58</f>
        <v>3.5</v>
      </c>
      <c r="AH15" s="201">
        <f>'CCCC-car.1'!AE58</f>
        <v>-6.2578293372844911</v>
      </c>
      <c r="AI15" s="201">
        <f>'CCCC-car.1'!AF58</f>
        <v>-26.900451239224139</v>
      </c>
      <c r="AJ15" s="330"/>
      <c r="AK15" s="201">
        <f t="shared" si="1"/>
        <v>3.5</v>
      </c>
      <c r="AL15" s="201">
        <f>'CCCC-car.2'!AD58</f>
        <v>3.5</v>
      </c>
      <c r="AM15" s="201">
        <f>'CCCC-car.2'!AE58</f>
        <v>-7.6069164588762987</v>
      </c>
      <c r="AN15" s="201">
        <f>'CCCC-car.2'!AF58</f>
        <v>-20.355904702536087</v>
      </c>
      <c r="AO15" s="330"/>
      <c r="AP15" s="201">
        <f t="shared" si="2"/>
        <v>3.5</v>
      </c>
      <c r="AQ15" s="201">
        <f>'CCCC-car.3'!AD58</f>
        <v>3.5</v>
      </c>
      <c r="AR15" s="201">
        <f>'CCCC-car.3'!AE58</f>
        <v>-3.1818429700030038</v>
      </c>
      <c r="AS15" s="201">
        <f>'CCCC-car.3'!AF58</f>
        <v>-26.021597991429431</v>
      </c>
      <c r="AT15" s="330"/>
      <c r="AU15" s="201">
        <f t="shared" si="3"/>
        <v>3.5</v>
      </c>
      <c r="AV15" s="201">
        <f>'CCCC-car.4'!AD58</f>
        <v>3.5</v>
      </c>
      <c r="AW15" s="201">
        <f>'CCCC-car.4'!AE58</f>
        <v>-7.8180952880663455</v>
      </c>
      <c r="AX15" s="201">
        <f>'CCCC-car.4'!AF58</f>
        <v>-27.346241510876098</v>
      </c>
      <c r="AY15" s="330"/>
      <c r="AZ15" s="201">
        <f t="shared" si="4"/>
        <v>3.5</v>
      </c>
      <c r="BA15" s="201">
        <f>'CCCC-car.5'!AD58</f>
        <v>3.5</v>
      </c>
      <c r="BB15" s="201">
        <f>'CCCC-car.5'!AE58</f>
        <v>-3.4263658248546562</v>
      </c>
      <c r="BC15" s="201">
        <f>'CCCC-car.5'!AF58</f>
        <v>-26.091461664244186</v>
      </c>
    </row>
    <row r="16" spans="1:56" s="46" customFormat="1" ht="13.5" customHeight="1" x14ac:dyDescent="0.2">
      <c r="A16" s="252" t="s">
        <v>450</v>
      </c>
      <c r="B16" s="42"/>
      <c r="C16" s="279" t="s">
        <v>448</v>
      </c>
      <c r="D16" s="340" t="str">
        <f>D6</f>
        <v>ca</v>
      </c>
      <c r="E16" s="340"/>
      <c r="F16" s="340"/>
      <c r="G16" s="340"/>
      <c r="H16" s="279" t="s">
        <v>448</v>
      </c>
      <c r="U16" s="18"/>
      <c r="AE16" s="330"/>
      <c r="AF16" s="204">
        <f t="shared" si="5"/>
        <v>4</v>
      </c>
      <c r="AG16" s="204">
        <f>'CCCC-car.1'!AD59</f>
        <v>4</v>
      </c>
      <c r="AH16" s="204">
        <f>'CCCC-car.1'!AE59</f>
        <v>-21.501804956896564</v>
      </c>
      <c r="AI16" s="204">
        <f>'CCCC-car.1'!AF59</f>
        <v>-34.075451239224137</v>
      </c>
      <c r="AJ16" s="330"/>
      <c r="AK16" s="204">
        <f t="shared" si="1"/>
        <v>4</v>
      </c>
      <c r="AL16" s="204">
        <f>'CCCC-car.2'!AD59</f>
        <v>4</v>
      </c>
      <c r="AM16" s="204">
        <f>'CCCC-car.2'!AE59</f>
        <v>-19.083618810144344</v>
      </c>
      <c r="AN16" s="204">
        <f>'CCCC-car.2'!AF59</f>
        <v>-25.550904702536087</v>
      </c>
      <c r="AO16" s="330"/>
      <c r="AP16" s="204">
        <f t="shared" si="2"/>
        <v>4</v>
      </c>
      <c r="AQ16" s="204">
        <f>'CCCC-car.3'!AD59</f>
        <v>4</v>
      </c>
      <c r="AR16" s="204">
        <f>'CCCC-car.3'!AE59</f>
        <v>-17.986391965717729</v>
      </c>
      <c r="AS16" s="204">
        <f>'CCCC-car.3'!AF59</f>
        <v>-33.196597991429428</v>
      </c>
      <c r="AT16" s="330"/>
      <c r="AU16" s="204">
        <f t="shared" si="3"/>
        <v>4</v>
      </c>
      <c r="AV16" s="204">
        <f>'CCCC-car.4'!AD59</f>
        <v>4</v>
      </c>
      <c r="AW16" s="204">
        <f>'CCCC-car.4'!AE59</f>
        <v>-23.284966043504397</v>
      </c>
      <c r="AX16" s="204">
        <f>'CCCC-car.4'!AF59</f>
        <v>-34.521241510876095</v>
      </c>
      <c r="AY16" s="330"/>
      <c r="AZ16" s="204">
        <f t="shared" si="4"/>
        <v>4</v>
      </c>
      <c r="BA16" s="204">
        <f>'CCCC-car.5'!AD59</f>
        <v>4</v>
      </c>
      <c r="BB16" s="204">
        <f>'CCCC-car.5'!AE59</f>
        <v>-18.265846656976748</v>
      </c>
      <c r="BC16" s="204">
        <f>'CCCC-car.5'!AF59</f>
        <v>-33.266461664244183</v>
      </c>
      <c r="BD16" s="1"/>
    </row>
    <row r="17" spans="1:56" s="46" customFormat="1" x14ac:dyDescent="0.2">
      <c r="A17" s="252" t="s">
        <v>127</v>
      </c>
      <c r="B17" s="42"/>
      <c r="C17" s="276"/>
      <c r="D17" s="276" t="s">
        <v>475</v>
      </c>
      <c r="E17" s="276" t="s">
        <v>475</v>
      </c>
      <c r="F17" s="276" t="s">
        <v>475</v>
      </c>
      <c r="G17" s="276" t="s">
        <v>475</v>
      </c>
      <c r="H17" s="276"/>
      <c r="AE17" s="331" t="s">
        <v>72</v>
      </c>
      <c r="AF17" s="205">
        <f t="shared" ref="AF17:AF25" si="6">AG17-$AG$16</f>
        <v>0</v>
      </c>
      <c r="AG17" s="203">
        <f>'CCCC-car.1'!AD60</f>
        <v>4</v>
      </c>
      <c r="AH17" s="203">
        <f>'CCCC-car.1'!AE60</f>
        <v>-21.501804956896549</v>
      </c>
      <c r="AI17" s="203">
        <f>'CCCC-car.1'!AF60</f>
        <v>26.877256196120683</v>
      </c>
      <c r="AJ17" s="331" t="s">
        <v>72</v>
      </c>
      <c r="AK17" s="205">
        <f t="shared" si="1"/>
        <v>0</v>
      </c>
      <c r="AL17" s="203">
        <f>'CCCC-car.2'!AD60</f>
        <v>4</v>
      </c>
      <c r="AM17" s="203">
        <f>'CCCC-car.2'!AE60</f>
        <v>-19.083618810144344</v>
      </c>
      <c r="AN17" s="203">
        <f>'CCCC-car.2'!AF60</f>
        <v>27.814523512680427</v>
      </c>
      <c r="AO17" s="331" t="s">
        <v>72</v>
      </c>
      <c r="AP17" s="205">
        <f t="shared" si="2"/>
        <v>0</v>
      </c>
      <c r="AQ17" s="203">
        <f>'CCCC-car.3'!AD60</f>
        <v>4</v>
      </c>
      <c r="AR17" s="203">
        <f>'CCCC-car.3'!AE60</f>
        <v>-17.986391965717722</v>
      </c>
      <c r="AS17" s="203">
        <f>'CCCC-car.3'!AF60</f>
        <v>18.522989957147153</v>
      </c>
      <c r="AT17" s="331" t="s">
        <v>72</v>
      </c>
      <c r="AU17" s="205">
        <f t="shared" si="3"/>
        <v>0</v>
      </c>
      <c r="AV17" s="203">
        <f>'CCCC-car.4'!AD60</f>
        <v>4</v>
      </c>
      <c r="AW17" s="203">
        <f>'CCCC-car.4'!AE60</f>
        <v>-23.284966043504404</v>
      </c>
      <c r="AX17" s="203">
        <f>'CCCC-car.4'!AF60</f>
        <v>29.106207554380507</v>
      </c>
      <c r="AY17" s="331" t="s">
        <v>72</v>
      </c>
      <c r="AZ17" s="205">
        <f t="shared" si="4"/>
        <v>0</v>
      </c>
      <c r="BA17" s="203">
        <f>'CCCC-car.5'!AD60</f>
        <v>4</v>
      </c>
      <c r="BB17" s="203">
        <f>'CCCC-car.5'!AE60</f>
        <v>-18.265846656976741</v>
      </c>
      <c r="BC17" s="203">
        <f>'CCCC-car.5'!AF60</f>
        <v>18.872308321220927</v>
      </c>
      <c r="BD17" s="1"/>
    </row>
    <row r="18" spans="1:56" s="46" customFormat="1" x14ac:dyDescent="0.2">
      <c r="A18" s="252" t="s">
        <v>460</v>
      </c>
      <c r="B18" s="16" t="s">
        <v>446</v>
      </c>
      <c r="C18" s="201" t="str">
        <f>IF($C16=$I$69,VLOOKUP($C17,matca,2,0),IF($C16=$I$70,VLOOKUP($C17,matacciaio,3,0),""))</f>
        <v/>
      </c>
      <c r="D18" s="201">
        <v>0</v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31"/>
      <c r="AF18" s="206">
        <f t="shared" si="6"/>
        <v>0.5</v>
      </c>
      <c r="AG18" s="201">
        <f>'CCCC-car.1'!AD61</f>
        <v>4.5</v>
      </c>
      <c r="AH18" s="201">
        <f>'CCCC-car.1'!AE61</f>
        <v>-9.8569268588362071</v>
      </c>
      <c r="AI18" s="201">
        <f>'CCCC-car.1'!AF61</f>
        <v>19.702256196120686</v>
      </c>
      <c r="AJ18" s="331"/>
      <c r="AK18" s="206">
        <f t="shared" si="1"/>
        <v>0.5</v>
      </c>
      <c r="AL18" s="201">
        <f>'CCCC-car.2'!AD61</f>
        <v>4.5</v>
      </c>
      <c r="AM18" s="201">
        <f>'CCCC-car.2'!AE61</f>
        <v>-6.9701070538041296</v>
      </c>
      <c r="AN18" s="201">
        <f>'CCCC-car.2'!AF61</f>
        <v>20.639523512680427</v>
      </c>
      <c r="AO18" s="331"/>
      <c r="AP18" s="206">
        <f t="shared" si="2"/>
        <v>0.5</v>
      </c>
      <c r="AQ18" s="201">
        <f>'CCCC-car.3'!AD61</f>
        <v>4.5</v>
      </c>
      <c r="AR18" s="201">
        <f>'CCCC-car.3'!AE61</f>
        <v>-10.023646987144144</v>
      </c>
      <c r="AS18" s="201">
        <f>'CCCC-car.3'!AF61</f>
        <v>13.327989957147153</v>
      </c>
      <c r="AT18" s="331"/>
      <c r="AU18" s="206">
        <f t="shared" si="3"/>
        <v>0.5</v>
      </c>
      <c r="AV18" s="201">
        <f>'CCCC-car.4'!AD61</f>
        <v>4.5</v>
      </c>
      <c r="AW18" s="201">
        <f>'CCCC-car.4'!AE61</f>
        <v>-10.52561226631415</v>
      </c>
      <c r="AX18" s="201">
        <f>'CCCC-car.4'!AF61</f>
        <v>21.931207554380507</v>
      </c>
      <c r="AY18" s="331"/>
      <c r="AZ18" s="206">
        <f t="shared" si="4"/>
        <v>0.5</v>
      </c>
      <c r="BA18" s="201">
        <f>'CCCC-car.5'!AD61</f>
        <v>4.5</v>
      </c>
      <c r="BB18" s="201">
        <f>'CCCC-car.5'!AE61</f>
        <v>-10.128442496366276</v>
      </c>
      <c r="BC18" s="201">
        <f>'CCCC-car.5'!AF61</f>
        <v>13.677308321220927</v>
      </c>
      <c r="BD18" s="1"/>
    </row>
    <row r="19" spans="1:56" s="46" customFormat="1" x14ac:dyDescent="0.2">
      <c r="A19" s="252" t="s">
        <v>461</v>
      </c>
      <c r="B19" s="16" t="s">
        <v>140</v>
      </c>
      <c r="C19" s="306" t="str">
        <f>IF($C16=$I$69,VLOOKUP($C17,matca,4,0),IF($C16=$I$70,VLOOKUP($C17,matacciaio,5,0),""))</f>
        <v/>
      </c>
      <c r="D19" s="306">
        <f>IF($D6=$I$69,VLOOKUP($D17,matca,4,0),IF($D6=$I$70,VLOOKUP($D17,matacciaio,5,0),""))</f>
        <v>13333.333333333334</v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1"/>
      <c r="AF19" s="206">
        <f t="shared" si="6"/>
        <v>1</v>
      </c>
      <c r="AG19" s="201">
        <f>'CCCC-car.1'!AD62</f>
        <v>5</v>
      </c>
      <c r="AH19" s="201">
        <f>'CCCC-car.1'!AE62</f>
        <v>-1.7995487607758633</v>
      </c>
      <c r="AI19" s="201">
        <f>'CCCC-car.1'!AF62</f>
        <v>12.527256196120685</v>
      </c>
      <c r="AJ19" s="331"/>
      <c r="AK19" s="206">
        <f t="shared" si="1"/>
        <v>1</v>
      </c>
      <c r="AL19" s="201">
        <f>'CCCC-car.2'!AD62</f>
        <v>5</v>
      </c>
      <c r="AM19" s="201">
        <f>'CCCC-car.2'!AE62</f>
        <v>1.5559047025360861</v>
      </c>
      <c r="AN19" s="201">
        <f>'CCCC-car.2'!AF62</f>
        <v>13.464523512680429</v>
      </c>
      <c r="AO19" s="331"/>
      <c r="AP19" s="206">
        <f t="shared" si="2"/>
        <v>1</v>
      </c>
      <c r="AQ19" s="201">
        <f>'CCCC-car.3'!AD62</f>
        <v>5</v>
      </c>
      <c r="AR19" s="201">
        <f>'CCCC-car.3'!AE62</f>
        <v>-4.6584020085705689</v>
      </c>
      <c r="AS19" s="201">
        <f>'CCCC-car.3'!AF62</f>
        <v>8.1329899571471529</v>
      </c>
      <c r="AT19" s="331"/>
      <c r="AU19" s="206">
        <f t="shared" si="3"/>
        <v>1</v>
      </c>
      <c r="AV19" s="201">
        <f>'CCCC-car.4'!AD62</f>
        <v>5</v>
      </c>
      <c r="AW19" s="201">
        <f>'CCCC-car.4'!AE62</f>
        <v>-1.3537584891238943</v>
      </c>
      <c r="AX19" s="201">
        <f>'CCCC-car.4'!AF62</f>
        <v>14.756207554380509</v>
      </c>
      <c r="AY19" s="331"/>
      <c r="AZ19" s="206">
        <f t="shared" si="4"/>
        <v>1</v>
      </c>
      <c r="BA19" s="201">
        <f>'CCCC-car.5'!AD62</f>
        <v>5</v>
      </c>
      <c r="BB19" s="201">
        <f>'CCCC-car.5'!AE62</f>
        <v>-4.588538335755814</v>
      </c>
      <c r="BC19" s="201">
        <f>'CCCC-car.5'!AF62</f>
        <v>8.4823083212209269</v>
      </c>
    </row>
    <row r="20" spans="1:56" s="46" customFormat="1" x14ac:dyDescent="0.2">
      <c r="I20" s="1"/>
      <c r="AE20" s="331"/>
      <c r="AF20" s="206">
        <f t="shared" si="6"/>
        <v>1.5</v>
      </c>
      <c r="AG20" s="201">
        <f>'CCCC-car.1'!AD63</f>
        <v>5.5</v>
      </c>
      <c r="AH20" s="201">
        <f>'CCCC-car.1'!AE63</f>
        <v>2.6703293372844783</v>
      </c>
      <c r="AI20" s="201">
        <f>'CCCC-car.1'!AF63</f>
        <v>5.3522561961206847</v>
      </c>
      <c r="AJ20" s="331"/>
      <c r="AK20" s="206">
        <f t="shared" si="1"/>
        <v>1.5</v>
      </c>
      <c r="AL20" s="201">
        <f>'CCCC-car.2'!AD63</f>
        <v>5.5</v>
      </c>
      <c r="AM20" s="201">
        <f>'CCCC-car.2'!AE63</f>
        <v>6.4944164588763016</v>
      </c>
      <c r="AN20" s="201">
        <f>'CCCC-car.2'!AF63</f>
        <v>6.2895235126804288</v>
      </c>
      <c r="AO20" s="331"/>
      <c r="AP20" s="206">
        <f t="shared" si="2"/>
        <v>1.5</v>
      </c>
      <c r="AQ20" s="201">
        <f>'CCCC-car.3'!AD63</f>
        <v>5.5</v>
      </c>
      <c r="AR20" s="201">
        <f>'CCCC-car.3'!AE63</f>
        <v>-1.8906570299969907</v>
      </c>
      <c r="AS20" s="201">
        <f>'CCCC-car.3'!AF63</f>
        <v>2.9379899571471526</v>
      </c>
      <c r="AT20" s="331"/>
      <c r="AU20" s="206">
        <f t="shared" si="3"/>
        <v>1.5</v>
      </c>
      <c r="AV20" s="201">
        <f>'CCCC-car.4'!AD63</f>
        <v>5.5</v>
      </c>
      <c r="AW20" s="201">
        <f>'CCCC-car.4'!AE63</f>
        <v>4.2305952880663611</v>
      </c>
      <c r="AX20" s="201">
        <f>'CCCC-car.4'!AF63</f>
        <v>7.5812075543805086</v>
      </c>
      <c r="AY20" s="331"/>
      <c r="AZ20" s="206">
        <f t="shared" si="4"/>
        <v>1.5</v>
      </c>
      <c r="BA20" s="201">
        <f>'CCCC-car.5'!AD63</f>
        <v>5.5</v>
      </c>
      <c r="BB20" s="201">
        <f>'CCCC-car.5'!AE63</f>
        <v>-1.6461341751453489</v>
      </c>
      <c r="BC20" s="201">
        <f>'CCCC-car.5'!AF63</f>
        <v>3.2873083212209266</v>
      </c>
    </row>
    <row r="21" spans="1:56" x14ac:dyDescent="0.2">
      <c r="AE21" s="331"/>
      <c r="AF21" s="206">
        <f t="shared" si="6"/>
        <v>2</v>
      </c>
      <c r="AG21" s="201">
        <f>'CCCC-car.1'!AD64</f>
        <v>6</v>
      </c>
      <c r="AH21" s="201">
        <f>'CCCC-car.1'!AE64</f>
        <v>3.5527074353448214</v>
      </c>
      <c r="AI21" s="201">
        <f>'CCCC-car.1'!AF64</f>
        <v>-1.8227438038793125</v>
      </c>
      <c r="AJ21" s="331"/>
      <c r="AK21" s="206">
        <f t="shared" si="1"/>
        <v>2</v>
      </c>
      <c r="AL21" s="201">
        <f>'CCCC-car.2'!AD64</f>
        <v>6</v>
      </c>
      <c r="AM21" s="201">
        <f>'CCCC-car.2'!AE64</f>
        <v>7.8454282152165149</v>
      </c>
      <c r="AN21" s="201">
        <f>'CCCC-car.2'!AF64</f>
        <v>-0.88547648731956841</v>
      </c>
      <c r="AO21" s="331"/>
      <c r="AP21" s="206">
        <f t="shared" si="2"/>
        <v>2</v>
      </c>
      <c r="AQ21" s="201">
        <f>'CCCC-car.3'!AD64</f>
        <v>6</v>
      </c>
      <c r="AR21" s="201">
        <f>'CCCC-car.3'!AE64</f>
        <v>-1.7204120514234162</v>
      </c>
      <c r="AS21" s="201">
        <f>'CCCC-car.3'!AF64</f>
        <v>-2.2570100428528477</v>
      </c>
      <c r="AT21" s="331"/>
      <c r="AU21" s="206">
        <f t="shared" si="3"/>
        <v>2</v>
      </c>
      <c r="AV21" s="201">
        <f>'CCCC-car.4'!AD64</f>
        <v>6</v>
      </c>
      <c r="AW21" s="201">
        <f>'CCCC-car.4'!AE64</f>
        <v>6.2274490652566143</v>
      </c>
      <c r="AX21" s="201">
        <f>'CCCC-car.4'!AF64</f>
        <v>0.40620755438051148</v>
      </c>
      <c r="AY21" s="331"/>
      <c r="AZ21" s="206">
        <f t="shared" si="4"/>
        <v>2</v>
      </c>
      <c r="BA21" s="201">
        <f>'CCCC-car.5'!AD64</f>
        <v>6</v>
      </c>
      <c r="BB21" s="201">
        <f>'CCCC-car.5'!AE64</f>
        <v>-1.3012300145348874</v>
      </c>
      <c r="BC21" s="201">
        <f>'CCCC-car.5'!AF64</f>
        <v>-1.9076916787790736</v>
      </c>
    </row>
    <row r="22" spans="1:56" x14ac:dyDescent="0.2">
      <c r="AE22" s="331"/>
      <c r="AF22" s="206">
        <f t="shared" si="6"/>
        <v>2.5</v>
      </c>
      <c r="AG22" s="201">
        <f>'CCCC-car.1'!AD65</f>
        <v>6.5</v>
      </c>
      <c r="AH22" s="201">
        <f>'CCCC-car.1'!AE65</f>
        <v>0.84758553340518006</v>
      </c>
      <c r="AI22" s="201">
        <f>'CCCC-car.1'!AF65</f>
        <v>-8.9977438038793096</v>
      </c>
      <c r="AJ22" s="331"/>
      <c r="AK22" s="206">
        <f t="shared" si="1"/>
        <v>2.5</v>
      </c>
      <c r="AL22" s="201">
        <f>'CCCC-car.2'!AD65</f>
        <v>6.5</v>
      </c>
      <c r="AM22" s="201">
        <f>'CCCC-car.2'!AE65</f>
        <v>5.6089399715567296</v>
      </c>
      <c r="AN22" s="201">
        <f>'CCCC-car.2'!AF65</f>
        <v>-8.0604764873195656</v>
      </c>
      <c r="AO22" s="331"/>
      <c r="AP22" s="206">
        <f t="shared" si="2"/>
        <v>2.5</v>
      </c>
      <c r="AQ22" s="201">
        <f>'CCCC-car.3'!AD65</f>
        <v>6.5</v>
      </c>
      <c r="AR22" s="201">
        <f>'CCCC-car.3'!AE65</f>
        <v>-4.1476670728498348</v>
      </c>
      <c r="AS22" s="201">
        <f>'CCCC-car.3'!AF65</f>
        <v>-7.452010042852848</v>
      </c>
      <c r="AT22" s="331"/>
      <c r="AU22" s="206">
        <f t="shared" si="3"/>
        <v>2.5</v>
      </c>
      <c r="AV22" s="201">
        <f>'CCCC-car.4'!AD65</f>
        <v>6.5</v>
      </c>
      <c r="AW22" s="201">
        <f>'CCCC-car.4'!AE65</f>
        <v>4.636802842446869</v>
      </c>
      <c r="AX22" s="201">
        <f>'CCCC-car.4'!AF65</f>
        <v>-6.7687924456194857</v>
      </c>
      <c r="AY22" s="331"/>
      <c r="AZ22" s="206">
        <f t="shared" si="4"/>
        <v>2.5</v>
      </c>
      <c r="BA22" s="201">
        <f>'CCCC-car.5'!AD65</f>
        <v>6.5</v>
      </c>
      <c r="BB22" s="201">
        <f>'CCCC-car.5'!AE65</f>
        <v>-3.5538258539244225</v>
      </c>
      <c r="BC22" s="201">
        <f>'CCCC-car.5'!AF65</f>
        <v>-7.1026916787790739</v>
      </c>
    </row>
    <row r="23" spans="1:56" x14ac:dyDescent="0.2">
      <c r="AE23" s="331"/>
      <c r="AF23" s="206">
        <f t="shared" si="6"/>
        <v>3</v>
      </c>
      <c r="AG23" s="201">
        <f>'CCCC-car.1'!AD66</f>
        <v>7</v>
      </c>
      <c r="AH23" s="201">
        <f>'CCCC-car.1'!AE66</f>
        <v>-5.4450363685344882</v>
      </c>
      <c r="AI23" s="201">
        <f>'CCCC-car.1'!AF66</f>
        <v>-16.172743803879314</v>
      </c>
      <c r="AJ23" s="331"/>
      <c r="AK23" s="206">
        <f t="shared" si="1"/>
        <v>3</v>
      </c>
      <c r="AL23" s="201">
        <f>'CCCC-car.2'!AD66</f>
        <v>7</v>
      </c>
      <c r="AM23" s="201">
        <f>'CCCC-car.2'!AE66</f>
        <v>-0.21504827210304711</v>
      </c>
      <c r="AN23" s="201">
        <f>'CCCC-car.2'!AF66</f>
        <v>-15.23547648731957</v>
      </c>
      <c r="AO23" s="331"/>
      <c r="AP23" s="206">
        <f t="shared" si="2"/>
        <v>3</v>
      </c>
      <c r="AQ23" s="201">
        <f>'CCCC-car.3'!AD66</f>
        <v>7</v>
      </c>
      <c r="AR23" s="201">
        <f>'CCCC-car.3'!AE66</f>
        <v>-9.1724220942762642</v>
      </c>
      <c r="AS23" s="201">
        <f>'CCCC-car.3'!AF66</f>
        <v>-12.647010042852848</v>
      </c>
      <c r="AT23" s="331"/>
      <c r="AU23" s="206">
        <f t="shared" si="3"/>
        <v>3</v>
      </c>
      <c r="AV23" s="201">
        <f>'CCCC-car.4'!AD66</f>
        <v>7</v>
      </c>
      <c r="AW23" s="201">
        <f>'CCCC-car.4'!AE66</f>
        <v>-0.54134338036286067</v>
      </c>
      <c r="AX23" s="201">
        <f>'CCCC-car.4'!AF66</f>
        <v>-13.94379244561949</v>
      </c>
      <c r="AY23" s="331"/>
      <c r="AZ23" s="206">
        <f t="shared" si="4"/>
        <v>3</v>
      </c>
      <c r="BA23" s="201">
        <f>'CCCC-car.5'!AD66</f>
        <v>7</v>
      </c>
      <c r="BB23" s="201">
        <f>'CCCC-car.5'!AE66</f>
        <v>-8.4039216933139613</v>
      </c>
      <c r="BC23" s="201">
        <f>'CCCC-car.5'!AF66</f>
        <v>-12.297691678779074</v>
      </c>
    </row>
    <row r="24" spans="1:56" x14ac:dyDescent="0.2">
      <c r="A24" s="299"/>
      <c r="B24" s="299"/>
      <c r="C24" s="335" t="s">
        <v>473</v>
      </c>
      <c r="D24" s="335"/>
      <c r="E24" s="335"/>
      <c r="F24" s="335"/>
      <c r="G24" s="335"/>
      <c r="H24" s="335"/>
      <c r="I24" s="46"/>
      <c r="J24" s="46"/>
      <c r="AE24" s="331"/>
      <c r="AF24" s="206">
        <f t="shared" si="6"/>
        <v>3.5</v>
      </c>
      <c r="AG24" s="201">
        <f>'CCCC-car.1'!AD67</f>
        <v>7.5</v>
      </c>
      <c r="AH24" s="201">
        <f>'CCCC-car.1'!AE67</f>
        <v>-15.325158270474148</v>
      </c>
      <c r="AI24" s="201">
        <f>'CCCC-car.1'!AF67</f>
        <v>-23.347743803879311</v>
      </c>
      <c r="AJ24" s="331"/>
      <c r="AK24" s="206">
        <f t="shared" si="1"/>
        <v>3.5</v>
      </c>
      <c r="AL24" s="201">
        <f>'CCCC-car.2'!AD67</f>
        <v>7.5</v>
      </c>
      <c r="AM24" s="201">
        <f>'CCCC-car.2'!AE67</f>
        <v>-9.6265365157628366</v>
      </c>
      <c r="AN24" s="201">
        <f>'CCCC-car.2'!AF67</f>
        <v>-22.410476487319567</v>
      </c>
      <c r="AO24" s="331"/>
      <c r="AP24" s="206">
        <f t="shared" si="2"/>
        <v>3.5</v>
      </c>
      <c r="AQ24" s="201">
        <f>'CCCC-car.3'!AD67</f>
        <v>7.5</v>
      </c>
      <c r="AR24" s="201">
        <f>'CCCC-car.3'!AE67</f>
        <v>-16.794677115702683</v>
      </c>
      <c r="AS24" s="201">
        <f>'CCCC-car.3'!AF67</f>
        <v>-17.842010042852849</v>
      </c>
      <c r="AT24" s="331"/>
      <c r="AU24" s="206">
        <f t="shared" si="3"/>
        <v>3.5</v>
      </c>
      <c r="AV24" s="201">
        <f>'CCCC-car.4'!AD67</f>
        <v>7.5</v>
      </c>
      <c r="AW24" s="201">
        <f>'CCCC-car.4'!AE67</f>
        <v>-9.3069896031726103</v>
      </c>
      <c r="AX24" s="201">
        <f>'CCCC-car.4'!AF67</f>
        <v>-21.118792445619487</v>
      </c>
      <c r="AY24" s="331"/>
      <c r="AZ24" s="206">
        <f t="shared" si="4"/>
        <v>3.5</v>
      </c>
      <c r="BA24" s="201">
        <f>'CCCC-car.5'!AD67</f>
        <v>7.5</v>
      </c>
      <c r="BB24" s="201">
        <f>'CCCC-car.5'!AE67</f>
        <v>-15.851517532703497</v>
      </c>
      <c r="BC24" s="201">
        <f>'CCCC-car.5'!AF67</f>
        <v>-17.492691678779074</v>
      </c>
    </row>
    <row r="25" spans="1:56" ht="12" customHeight="1" x14ac:dyDescent="0.2">
      <c r="B25" s="46"/>
      <c r="C25" s="300"/>
      <c r="D25" s="300"/>
      <c r="E25" s="304"/>
      <c r="F25" s="300"/>
      <c r="G25" s="300"/>
      <c r="H25" s="300"/>
      <c r="I25" s="46"/>
      <c r="J25" s="46"/>
      <c r="AE25" s="331"/>
      <c r="AF25" s="207">
        <f t="shared" si="6"/>
        <v>4</v>
      </c>
      <c r="AG25" s="204">
        <f>'CCCC-car.1'!AD68</f>
        <v>8</v>
      </c>
      <c r="AH25" s="204">
        <f>'CCCC-car.1'!AE68</f>
        <v>-28.792780172413813</v>
      </c>
      <c r="AI25" s="204">
        <f>'CCCC-car.1'!AF68</f>
        <v>-30.522743803879308</v>
      </c>
      <c r="AJ25" s="331"/>
      <c r="AK25" s="207">
        <f t="shared" si="1"/>
        <v>4</v>
      </c>
      <c r="AL25" s="204">
        <f>'CCCC-car.2'!AD68</f>
        <v>8</v>
      </c>
      <c r="AM25" s="204">
        <f>'CCCC-car.2'!AE68</f>
        <v>-22.625524759422618</v>
      </c>
      <c r="AN25" s="204">
        <f>'CCCC-car.2'!AF68</f>
        <v>-29.585476487319564</v>
      </c>
      <c r="AO25" s="331"/>
      <c r="AP25" s="207">
        <f t="shared" si="2"/>
        <v>4</v>
      </c>
      <c r="AQ25" s="204">
        <f>'CCCC-car.3'!AD68</f>
        <v>8</v>
      </c>
      <c r="AR25" s="204">
        <f>'CCCC-car.3'!AE68</f>
        <v>-27.01443213712912</v>
      </c>
      <c r="AS25" s="204">
        <f>'CCCC-car.3'!AF68</f>
        <v>-23.037010042852849</v>
      </c>
      <c r="AT25" s="331"/>
      <c r="AU25" s="207">
        <f t="shared" si="3"/>
        <v>4</v>
      </c>
      <c r="AV25" s="204">
        <f>'CCCC-car.4'!AD68</f>
        <v>8</v>
      </c>
      <c r="AW25" s="204">
        <f>'CCCC-car.4'!AE68</f>
        <v>-21.660135825982351</v>
      </c>
      <c r="AX25" s="204">
        <f>'CCCC-car.4'!AF68</f>
        <v>-28.293792445619484</v>
      </c>
      <c r="AY25" s="331"/>
      <c r="AZ25" s="207">
        <f t="shared" si="4"/>
        <v>4</v>
      </c>
      <c r="BA25" s="204">
        <f>'CCCC-car.5'!AD68</f>
        <v>8</v>
      </c>
      <c r="BB25" s="204">
        <f>'CCCC-car.5'!AE68</f>
        <v>-25.896613372093043</v>
      </c>
      <c r="BC25" s="204">
        <f>'CCCC-car.5'!AF68</f>
        <v>-22.687691678779075</v>
      </c>
    </row>
    <row r="26" spans="1:56" x14ac:dyDescent="0.2">
      <c r="A26" s="12" t="s">
        <v>49</v>
      </c>
      <c r="B26" s="301" t="s">
        <v>446</v>
      </c>
      <c r="C26" s="278">
        <v>0</v>
      </c>
      <c r="D26" s="278">
        <f>1.9*1.3+1.5*(4.32+1.6+2)</f>
        <v>14.349999999999998</v>
      </c>
      <c r="E26" s="278">
        <f>1.9*1.3+1.5*(4.32+1.6+2)</f>
        <v>14.349999999999998</v>
      </c>
      <c r="F26" s="278">
        <f>1.9*1.3+1.5*(4.32+1.6+2)</f>
        <v>14.349999999999998</v>
      </c>
      <c r="G26" s="278">
        <f>1.9*1.3+1.5*(4.32+1.6+2)</f>
        <v>14.349999999999998</v>
      </c>
      <c r="H26" s="278">
        <v>0</v>
      </c>
      <c r="AE26" s="330" t="s">
        <v>88</v>
      </c>
      <c r="AF26" s="205">
        <f t="shared" ref="AF26:AF34" si="7">AG26-$AG$25</f>
        <v>0</v>
      </c>
      <c r="AG26" s="203">
        <f>'CCCC-car.1'!AD69</f>
        <v>8</v>
      </c>
      <c r="AH26" s="203">
        <f>'CCCC-car.1'!AE69</f>
        <v>-28.792780172413796</v>
      </c>
      <c r="AI26" s="203">
        <f>'CCCC-car.1'!AF69</f>
        <v>38.304153605015664</v>
      </c>
      <c r="AJ26" s="330" t="s">
        <v>88</v>
      </c>
      <c r="AK26" s="205">
        <f t="shared" si="1"/>
        <v>0</v>
      </c>
      <c r="AL26" s="203">
        <f>'CCCC-car.2'!AD69</f>
        <v>8</v>
      </c>
      <c r="AM26" s="203">
        <f>'CCCC-car.2'!AE69</f>
        <v>-22.625524759422614</v>
      </c>
      <c r="AN26" s="203">
        <f>'CCCC-car.2'!AF69</f>
        <v>27.544426259386167</v>
      </c>
      <c r="AO26" s="330" t="s">
        <v>88</v>
      </c>
      <c r="AP26" s="205">
        <f t="shared" si="2"/>
        <v>0</v>
      </c>
      <c r="AQ26" s="203">
        <f>'CCCC-car.3'!AD69</f>
        <v>8</v>
      </c>
      <c r="AR26" s="203">
        <f>'CCCC-car.3'!AE69</f>
        <v>-27.014432137129116</v>
      </c>
      <c r="AS26" s="203">
        <f>'CCCC-car.3'!AF69</f>
        <v>38.493536123058973</v>
      </c>
      <c r="AT26" s="330" t="s">
        <v>88</v>
      </c>
      <c r="AU26" s="205">
        <f t="shared" si="3"/>
        <v>0</v>
      </c>
      <c r="AV26" s="203">
        <f>'CCCC-car.4'!AD69</f>
        <v>8</v>
      </c>
      <c r="AW26" s="203">
        <f>'CCCC-car.4'!AE69</f>
        <v>-21.660135825982362</v>
      </c>
      <c r="AX26" s="203">
        <f>'CCCC-car.4'!AF69</f>
        <v>27.318091054895387</v>
      </c>
      <c r="AY26" s="330" t="s">
        <v>88</v>
      </c>
      <c r="AZ26" s="205">
        <f t="shared" si="4"/>
        <v>0</v>
      </c>
      <c r="BA26" s="203">
        <f>'CCCC-car.5'!AD69</f>
        <v>8</v>
      </c>
      <c r="BB26" s="203">
        <f>'CCCC-car.5'!AE69</f>
        <v>-25.896613372093032</v>
      </c>
      <c r="BC26" s="203">
        <f>'CCCC-car.5'!AF69</f>
        <v>37.625147991543336</v>
      </c>
    </row>
    <row r="27" spans="1:56" x14ac:dyDescent="0.2">
      <c r="A27" s="12" t="s">
        <v>50</v>
      </c>
      <c r="B27" s="301" t="s">
        <v>446</v>
      </c>
      <c r="C27" s="278">
        <v>0</v>
      </c>
      <c r="D27" s="278">
        <f>1.9*1.3+1*(4.32+1.6+2)</f>
        <v>10.39</v>
      </c>
      <c r="E27" s="278">
        <f>1.9*1.3+1.5*(4.32+1.6+2)</f>
        <v>14.349999999999998</v>
      </c>
      <c r="F27" s="278">
        <f t="shared" ref="E26:G30" si="8">1.9*1.3+1*(4.32+1.6+2)</f>
        <v>10.39</v>
      </c>
      <c r="G27" s="278">
        <f>1.9*1.3+1.5*(4.32+1.6+2)</f>
        <v>14.349999999999998</v>
      </c>
      <c r="H27" s="278">
        <v>0</v>
      </c>
      <c r="AE27" s="330"/>
      <c r="AF27" s="206">
        <f t="shared" si="7"/>
        <v>0.6875</v>
      </c>
      <c r="AG27" s="201">
        <f>'CCCC-car.1'!AD70</f>
        <v>8.6875</v>
      </c>
      <c r="AH27" s="201">
        <f>'CCCC-car.1'!AE70</f>
        <v>-5.8499831627155281</v>
      </c>
      <c r="AI27" s="201">
        <f>'CCCC-car.1'!AF70</f>
        <v>28.438528605015666</v>
      </c>
      <c r="AJ27" s="330"/>
      <c r="AK27" s="206">
        <f t="shared" si="1"/>
        <v>0.6875</v>
      </c>
      <c r="AL27" s="201">
        <f>'CCCC-car.2'!AD70</f>
        <v>8.6875</v>
      </c>
      <c r="AM27" s="201">
        <f>'CCCC-car.2'!AE70</f>
        <v>-6.1441809248446262</v>
      </c>
      <c r="AN27" s="201">
        <f>'CCCC-car.2'!AF70</f>
        <v>20.401301259386166</v>
      </c>
      <c r="AO27" s="330"/>
      <c r="AP27" s="206">
        <f t="shared" si="2"/>
        <v>0.6875</v>
      </c>
      <c r="AQ27" s="201">
        <f>'CCCC-car.3'!AD70</f>
        <v>8.6875</v>
      </c>
      <c r="AR27" s="201">
        <f>'CCCC-car.3'!AE70</f>
        <v>-3.9414346462760719</v>
      </c>
      <c r="AS27" s="201">
        <f>'CCCC-car.3'!AF70</f>
        <v>28.627911123058976</v>
      </c>
      <c r="AT27" s="330"/>
      <c r="AU27" s="206">
        <f t="shared" si="3"/>
        <v>0.6875</v>
      </c>
      <c r="AV27" s="201">
        <f>'CCCC-car.4'!AD70</f>
        <v>8.6875</v>
      </c>
      <c r="AW27" s="201">
        <f>'CCCC-car.4'!AE70</f>
        <v>-5.3343974444917848</v>
      </c>
      <c r="AX27" s="201">
        <f>'CCCC-car.4'!AF70</f>
        <v>20.174966054895386</v>
      </c>
      <c r="AY27" s="330"/>
      <c r="AZ27" s="206">
        <f t="shared" si="4"/>
        <v>0.6875</v>
      </c>
      <c r="BA27" s="201">
        <f>'CCCC-car.5'!AD70</f>
        <v>8.6875</v>
      </c>
      <c r="BB27" s="201">
        <f>'CCCC-car.5'!AE70</f>
        <v>-3.4206327216569896</v>
      </c>
      <c r="BC27" s="201">
        <f>'CCCC-car.5'!AF70</f>
        <v>27.759522991543339</v>
      </c>
    </row>
    <row r="28" spans="1:56" s="46" customFormat="1" x14ac:dyDescent="0.2">
      <c r="A28" s="12" t="s">
        <v>51</v>
      </c>
      <c r="B28" s="301" t="s">
        <v>446</v>
      </c>
      <c r="C28" s="278">
        <v>0</v>
      </c>
      <c r="D28" s="278">
        <f>1.9*1.3+1.5*(4.32+1.6+2)</f>
        <v>14.349999999999998</v>
      </c>
      <c r="E28" s="278">
        <f t="shared" si="8"/>
        <v>10.39</v>
      </c>
      <c r="F28" s="278">
        <f>1.9*1.3+1.5*(4.32+1.6+2)</f>
        <v>14.349999999999998</v>
      </c>
      <c r="G28" s="278">
        <f t="shared" si="8"/>
        <v>10.39</v>
      </c>
      <c r="H28" s="278">
        <v>0</v>
      </c>
      <c r="I28" s="1"/>
      <c r="J28" s="1"/>
      <c r="AE28" s="330"/>
      <c r="AF28" s="206">
        <f t="shared" si="7"/>
        <v>1.375</v>
      </c>
      <c r="AG28" s="201">
        <f>'CCCC-car.1'!AD71</f>
        <v>9.375</v>
      </c>
      <c r="AH28" s="201">
        <f>'CCCC-car.1'!AE71</f>
        <v>10.310196659482742</v>
      </c>
      <c r="AI28" s="201">
        <f>'CCCC-car.1'!AF71</f>
        <v>18.572903605015668</v>
      </c>
      <c r="AJ28" s="330"/>
      <c r="AK28" s="206">
        <f t="shared" si="1"/>
        <v>1.375</v>
      </c>
      <c r="AL28" s="201">
        <f>'CCCC-car.2'!AD71</f>
        <v>9.375</v>
      </c>
      <c r="AM28" s="201">
        <f>'CCCC-car.2'!AE71</f>
        <v>5.4262644722333633</v>
      </c>
      <c r="AN28" s="201">
        <f>'CCCC-car.2'!AF71</f>
        <v>13.258176259386167</v>
      </c>
      <c r="AO28" s="330"/>
      <c r="AP28" s="206">
        <f t="shared" si="2"/>
        <v>1.375</v>
      </c>
      <c r="AQ28" s="201">
        <f>'CCCC-car.3'!AD71</f>
        <v>9.375</v>
      </c>
      <c r="AR28" s="201">
        <f>'CCCC-car.3'!AE71</f>
        <v>12.348945657076975</v>
      </c>
      <c r="AS28" s="201">
        <f>'CCCC-car.3'!AF71</f>
        <v>18.762286123058978</v>
      </c>
      <c r="AT28" s="330"/>
      <c r="AU28" s="206">
        <f t="shared" si="3"/>
        <v>1.375</v>
      </c>
      <c r="AV28" s="201">
        <f>'CCCC-car.4'!AD71</f>
        <v>9.375</v>
      </c>
      <c r="AW28" s="201">
        <f>'CCCC-car.4'!AE71</f>
        <v>6.080442499498794</v>
      </c>
      <c r="AX28" s="201">
        <f>'CCCC-car.4'!AF71</f>
        <v>13.031841054895386</v>
      </c>
      <c r="AY28" s="330"/>
      <c r="AZ28" s="206">
        <f t="shared" si="4"/>
        <v>1.375</v>
      </c>
      <c r="BA28" s="201">
        <f>'CCCC-car.5'!AD71</f>
        <v>9.375</v>
      </c>
      <c r="BB28" s="201">
        <f>'CCCC-car.5'!AE71</f>
        <v>12.272730741279055</v>
      </c>
      <c r="BC28" s="201">
        <f>'CCCC-car.5'!AF71</f>
        <v>17.893897991543341</v>
      </c>
    </row>
    <row r="29" spans="1:56" s="46" customFormat="1" x14ac:dyDescent="0.2">
      <c r="A29" s="12" t="s">
        <v>52</v>
      </c>
      <c r="B29" s="301" t="s">
        <v>446</v>
      </c>
      <c r="C29" s="278">
        <v>0</v>
      </c>
      <c r="D29" s="278">
        <f>1.9*1.3+1.5*(4.32+1.6+2)</f>
        <v>14.349999999999998</v>
      </c>
      <c r="E29" s="278">
        <f>1.9*1.3+1.5*(4.32+1.6+2)</f>
        <v>14.349999999999998</v>
      </c>
      <c r="F29" s="278">
        <f t="shared" si="8"/>
        <v>10.39</v>
      </c>
      <c r="G29" s="278">
        <f>1.9*1.3+1.5*(4.32+1.6+2)</f>
        <v>14.349999999999998</v>
      </c>
      <c r="H29" s="278">
        <v>0</v>
      </c>
      <c r="I29" s="1"/>
      <c r="J29" s="1"/>
      <c r="AE29" s="330"/>
      <c r="AF29" s="206">
        <f t="shared" si="7"/>
        <v>2.0625</v>
      </c>
      <c r="AG29" s="201">
        <f>'CCCC-car.1'!AD72</f>
        <v>10.0625</v>
      </c>
      <c r="AH29" s="201">
        <f>'CCCC-car.1'!AE72</f>
        <v>19.687759294181021</v>
      </c>
      <c r="AI29" s="201">
        <f>'CCCC-car.1'!AF72</f>
        <v>8.7072786050156665</v>
      </c>
      <c r="AJ29" s="330"/>
      <c r="AK29" s="206">
        <f t="shared" si="1"/>
        <v>2.0625</v>
      </c>
      <c r="AL29" s="201">
        <f>'CCCC-car.2'!AD72</f>
        <v>10.0625</v>
      </c>
      <c r="AM29" s="201">
        <f>'CCCC-car.2'!AE72</f>
        <v>12.085811431811351</v>
      </c>
      <c r="AN29" s="201">
        <f>'CCCC-car.2'!AF72</f>
        <v>6.115051259386167</v>
      </c>
      <c r="AO29" s="330"/>
      <c r="AP29" s="206">
        <f t="shared" si="2"/>
        <v>2.0625</v>
      </c>
      <c r="AQ29" s="201">
        <f>'CCCC-car.3'!AD72</f>
        <v>10.0625</v>
      </c>
      <c r="AR29" s="201">
        <f>'CCCC-car.3'!AE72</f>
        <v>21.85670877293002</v>
      </c>
      <c r="AS29" s="201">
        <f>'CCCC-car.3'!AF72</f>
        <v>8.8966611230589763</v>
      </c>
      <c r="AT29" s="330"/>
      <c r="AU29" s="206">
        <f t="shared" si="3"/>
        <v>2.0625</v>
      </c>
      <c r="AV29" s="201">
        <f>'CCCC-car.4'!AD72</f>
        <v>10.0625</v>
      </c>
      <c r="AW29" s="201">
        <f>'CCCC-car.4'!AE72</f>
        <v>12.584384005989371</v>
      </c>
      <c r="AX29" s="201">
        <f>'CCCC-car.4'!AF72</f>
        <v>5.8887160548953865</v>
      </c>
      <c r="AY29" s="330"/>
      <c r="AZ29" s="206">
        <f t="shared" si="4"/>
        <v>2.0625</v>
      </c>
      <c r="BA29" s="201">
        <f>'CCCC-car.5'!AD72</f>
        <v>10.0625</v>
      </c>
      <c r="BB29" s="201">
        <f>'CCCC-car.5'!AE72</f>
        <v>21.183477016715102</v>
      </c>
      <c r="BC29" s="201">
        <f>'CCCC-car.5'!AF72</f>
        <v>8.0282729915433393</v>
      </c>
    </row>
    <row r="30" spans="1:56" x14ac:dyDescent="0.2">
      <c r="A30" s="12" t="s">
        <v>53</v>
      </c>
      <c r="B30" s="301" t="s">
        <v>446</v>
      </c>
      <c r="C30" s="278">
        <v>0</v>
      </c>
      <c r="D30" s="278">
        <f>1.9*1.3+1.5*(4.32+1.6+2)</f>
        <v>14.349999999999998</v>
      </c>
      <c r="E30" s="278">
        <f t="shared" si="8"/>
        <v>10.39</v>
      </c>
      <c r="F30" s="278">
        <f>1.9*1.3+1.5*(4.32+1.6+2)</f>
        <v>14.349999999999998</v>
      </c>
      <c r="G30" s="278">
        <f>1.9*1.3+1.5*(4.32+1.6+2)</f>
        <v>14.349999999999998</v>
      </c>
      <c r="H30" s="278">
        <v>0</v>
      </c>
      <c r="AE30" s="330"/>
      <c r="AF30" s="206">
        <f t="shared" si="7"/>
        <v>2.75</v>
      </c>
      <c r="AG30" s="201">
        <f>'CCCC-car.1'!AD73</f>
        <v>10.75</v>
      </c>
      <c r="AH30" s="201">
        <f>'CCCC-car.1'!AE73</f>
        <v>22.282704741379291</v>
      </c>
      <c r="AI30" s="201">
        <f>'CCCC-car.1'!AF73</f>
        <v>-1.1583463949843278</v>
      </c>
      <c r="AJ30" s="330"/>
      <c r="AK30" s="206">
        <f t="shared" si="1"/>
        <v>2.75</v>
      </c>
      <c r="AL30" s="201">
        <f>'CCCC-car.2'!AD73</f>
        <v>10.75</v>
      </c>
      <c r="AM30" s="201">
        <f>'CCCC-car.2'!AE73</f>
        <v>13.834459953889336</v>
      </c>
      <c r="AN30" s="201">
        <f>'CCCC-car.2'!AF73</f>
        <v>-1.0280737406138343</v>
      </c>
      <c r="AO30" s="330"/>
      <c r="AP30" s="206">
        <f t="shared" si="2"/>
        <v>2.75</v>
      </c>
      <c r="AQ30" s="201">
        <f>'CCCC-car.3'!AD73</f>
        <v>10.75</v>
      </c>
      <c r="AR30" s="201">
        <f>'CCCC-car.3'!AE73</f>
        <v>24.581854701283078</v>
      </c>
      <c r="AS30" s="201">
        <f>'CCCC-car.3'!AF73</f>
        <v>-0.96896387694101804</v>
      </c>
      <c r="AT30" s="330"/>
      <c r="AU30" s="206">
        <f t="shared" si="3"/>
        <v>2.75</v>
      </c>
      <c r="AV30" s="201">
        <f>'CCCC-car.4'!AD73</f>
        <v>10.75</v>
      </c>
      <c r="AW30" s="201">
        <f>'CCCC-car.4'!AE73</f>
        <v>14.177427074979946</v>
      </c>
      <c r="AX30" s="201">
        <f>'CCCC-car.4'!AF73</f>
        <v>-1.2544089451046148</v>
      </c>
      <c r="AY30" s="330"/>
      <c r="AZ30" s="206">
        <f t="shared" si="4"/>
        <v>2.75</v>
      </c>
      <c r="BA30" s="201">
        <f>'CCCC-car.5'!AD73</f>
        <v>10.75</v>
      </c>
      <c r="BB30" s="201">
        <f>'CCCC-car.5'!AE73</f>
        <v>23.311606104651148</v>
      </c>
      <c r="BC30" s="201">
        <f>'CCCC-car.5'!AF73</f>
        <v>-1.837352008456655</v>
      </c>
    </row>
    <row r="31" spans="1:56" x14ac:dyDescent="0.2">
      <c r="AE31" s="330"/>
      <c r="AF31" s="206">
        <f t="shared" si="7"/>
        <v>3.4375</v>
      </c>
      <c r="AG31" s="201">
        <f>'CCCC-car.1'!AD74</f>
        <v>11.4375</v>
      </c>
      <c r="AH31" s="201">
        <f>'CCCC-car.1'!AE74</f>
        <v>18.095033001077553</v>
      </c>
      <c r="AI31" s="201">
        <f>'CCCC-car.1'!AF74</f>
        <v>-11.023971394984329</v>
      </c>
      <c r="AJ31" s="330"/>
      <c r="AK31" s="206">
        <f t="shared" si="1"/>
        <v>3.4375</v>
      </c>
      <c r="AL31" s="201">
        <f>'CCCC-car.2'!AD74</f>
        <v>11.4375</v>
      </c>
      <c r="AM31" s="201">
        <f>'CCCC-car.2'!AE74</f>
        <v>10.672210038467327</v>
      </c>
      <c r="AN31" s="201">
        <f>'CCCC-car.2'!AF74</f>
        <v>-8.1711987406138356</v>
      </c>
      <c r="AO31" s="330"/>
      <c r="AP31" s="206">
        <f t="shared" si="2"/>
        <v>3.4375</v>
      </c>
      <c r="AQ31" s="201">
        <f>'CCCC-car.3'!AD74</f>
        <v>11.4375</v>
      </c>
      <c r="AR31" s="201">
        <f>'CCCC-car.3'!AE74</f>
        <v>20.524383442136113</v>
      </c>
      <c r="AS31" s="201">
        <f>'CCCC-car.3'!AF74</f>
        <v>-10.834588876941019</v>
      </c>
      <c r="AT31" s="330"/>
      <c r="AU31" s="206">
        <f t="shared" si="3"/>
        <v>3.4375</v>
      </c>
      <c r="AV31" s="201">
        <f>'CCCC-car.4'!AD74</f>
        <v>11.4375</v>
      </c>
      <c r="AW31" s="201">
        <f>'CCCC-car.4'!AE74</f>
        <v>10.859571706470533</v>
      </c>
      <c r="AX31" s="201">
        <f>'CCCC-car.4'!AF74</f>
        <v>-8.397533945104616</v>
      </c>
      <c r="AY31" s="330"/>
      <c r="AZ31" s="206">
        <f t="shared" si="4"/>
        <v>3.4375</v>
      </c>
      <c r="BA31" s="201">
        <f>'CCCC-car.5'!AD74</f>
        <v>11.4375</v>
      </c>
      <c r="BB31" s="201">
        <f>'CCCC-car.5'!AE74</f>
        <v>18.657118005087199</v>
      </c>
      <c r="BC31" s="201">
        <f>'CCCC-car.5'!AF74</f>
        <v>-11.702977008456656</v>
      </c>
    </row>
    <row r="32" spans="1:56" x14ac:dyDescent="0.2">
      <c r="AE32" s="330"/>
      <c r="AF32" s="206">
        <f t="shared" si="7"/>
        <v>4.125</v>
      </c>
      <c r="AG32" s="201">
        <f>'CCCC-car.1'!AD75</f>
        <v>12.125</v>
      </c>
      <c r="AH32" s="201">
        <f>'CCCC-car.1'!AE75</f>
        <v>7.1247440732758491</v>
      </c>
      <c r="AI32" s="201">
        <f>'CCCC-car.1'!AF75</f>
        <v>-20.889596394984331</v>
      </c>
      <c r="AJ32" s="330"/>
      <c r="AK32" s="206">
        <f t="shared" si="1"/>
        <v>4.125</v>
      </c>
      <c r="AL32" s="201">
        <f>'CCCC-car.2'!AD75</f>
        <v>12.125</v>
      </c>
      <c r="AM32" s="201">
        <f>'CCCC-car.2'!AE75</f>
        <v>2.5990616855453084</v>
      </c>
      <c r="AN32" s="201">
        <f>'CCCC-car.2'!AF75</f>
        <v>-15.314323740613833</v>
      </c>
      <c r="AO32" s="330"/>
      <c r="AP32" s="206">
        <f t="shared" si="2"/>
        <v>4.125</v>
      </c>
      <c r="AQ32" s="201">
        <f>'CCCC-car.3'!AD75</f>
        <v>12.125</v>
      </c>
      <c r="AR32" s="201">
        <f>'CCCC-car.3'!AE75</f>
        <v>9.6842949954891537</v>
      </c>
      <c r="AS32" s="201">
        <f>'CCCC-car.3'!AF75</f>
        <v>-20.700213876941021</v>
      </c>
      <c r="AT32" s="330"/>
      <c r="AU32" s="206">
        <f t="shared" si="3"/>
        <v>4.125</v>
      </c>
      <c r="AV32" s="201">
        <f>'CCCC-car.4'!AD75</f>
        <v>12.125</v>
      </c>
      <c r="AW32" s="201">
        <f>'CCCC-car.4'!AE75</f>
        <v>2.6308179004610963</v>
      </c>
      <c r="AX32" s="201">
        <f>'CCCC-car.4'!AF75</f>
        <v>-15.540658945104614</v>
      </c>
      <c r="AY32" s="330"/>
      <c r="AZ32" s="206">
        <f t="shared" si="4"/>
        <v>4.125</v>
      </c>
      <c r="BA32" s="201">
        <f>'CCCC-car.5'!AD75</f>
        <v>12.125</v>
      </c>
      <c r="BB32" s="201">
        <f>'CCCC-car.5'!AE75</f>
        <v>7.2200127180232414</v>
      </c>
      <c r="BC32" s="201">
        <f>'CCCC-car.5'!AF75</f>
        <v>-21.568602008456658</v>
      </c>
    </row>
    <row r="33" spans="21:55" x14ac:dyDescent="0.2">
      <c r="AE33" s="330"/>
      <c r="AF33" s="206">
        <f t="shared" si="7"/>
        <v>4.8125</v>
      </c>
      <c r="AG33" s="201">
        <f>'CCCC-car.1'!AD76</f>
        <v>12.8125</v>
      </c>
      <c r="AH33" s="201">
        <f>'CCCC-car.1'!AE76</f>
        <v>-10.628162042025906</v>
      </c>
      <c r="AI33" s="201">
        <f>'CCCC-car.1'!AF76</f>
        <v>-30.755221394984325</v>
      </c>
      <c r="AJ33" s="330"/>
      <c r="AK33" s="206">
        <f t="shared" si="1"/>
        <v>4.8125</v>
      </c>
      <c r="AL33" s="201">
        <f>'CCCC-car.2'!AD76</f>
        <v>12.8125</v>
      </c>
      <c r="AM33" s="201">
        <f>'CCCC-car.2'!AE76</f>
        <v>-10.384985104876705</v>
      </c>
      <c r="AN33" s="201">
        <f>'CCCC-car.2'!AF76</f>
        <v>-22.457448740613838</v>
      </c>
      <c r="AO33" s="330"/>
      <c r="AP33" s="206">
        <f t="shared" si="2"/>
        <v>4.8125</v>
      </c>
      <c r="AQ33" s="201">
        <f>'CCCC-car.3'!AD76</f>
        <v>12.8125</v>
      </c>
      <c r="AR33" s="201">
        <f>'CCCC-car.3'!AE76</f>
        <v>-7.9384106386577855</v>
      </c>
      <c r="AS33" s="201">
        <f>'CCCC-car.3'!AF76</f>
        <v>-30.565838876941015</v>
      </c>
      <c r="AT33" s="330"/>
      <c r="AU33" s="206">
        <f t="shared" si="3"/>
        <v>4.8125</v>
      </c>
      <c r="AV33" s="201">
        <f>'CCCC-car.4'!AD76</f>
        <v>12.8125</v>
      </c>
      <c r="AW33" s="201">
        <f>'CCCC-car.4'!AE76</f>
        <v>-10.508834343048306</v>
      </c>
      <c r="AX33" s="201">
        <f>'CCCC-car.4'!AF76</f>
        <v>-22.683783945104619</v>
      </c>
      <c r="AY33" s="330"/>
      <c r="AZ33" s="206">
        <f t="shared" si="4"/>
        <v>4.8125</v>
      </c>
      <c r="BA33" s="201">
        <f>'CCCC-car.5'!AD76</f>
        <v>12.8125</v>
      </c>
      <c r="BB33" s="201">
        <f>'CCCC-car.5'!AE76</f>
        <v>-10.999709756540739</v>
      </c>
      <c r="BC33" s="201">
        <f>'CCCC-car.5'!AF76</f>
        <v>-31.434227008456652</v>
      </c>
    </row>
    <row r="34" spans="21:55" ht="12" customHeight="1" x14ac:dyDescent="0.2">
      <c r="AE34" s="330"/>
      <c r="AF34" s="207">
        <f t="shared" si="7"/>
        <v>5.5</v>
      </c>
      <c r="AG34" s="204">
        <f>'CCCC-car.1'!AD77</f>
        <v>13.5</v>
      </c>
      <c r="AH34" s="204">
        <f>'CCCC-car.1'!AE77</f>
        <v>-35.163685344827599</v>
      </c>
      <c r="AI34" s="204">
        <f>'CCCC-car.1'!AF77</f>
        <v>-40.620846394984319</v>
      </c>
      <c r="AJ34" s="330"/>
      <c r="AK34" s="207">
        <f t="shared" si="1"/>
        <v>5.5</v>
      </c>
      <c r="AL34" s="204">
        <f>'CCCC-car.2'!AD77</f>
        <v>13.5</v>
      </c>
      <c r="AM34" s="204">
        <f>'CCCC-car.2'!AE77</f>
        <v>-28.279930332798699</v>
      </c>
      <c r="AN34" s="204">
        <f>'CCCC-car.2'!AF77</f>
        <v>-29.600573740613836</v>
      </c>
      <c r="AO34" s="330"/>
      <c r="AP34" s="207">
        <f t="shared" si="2"/>
        <v>5.5</v>
      </c>
      <c r="AQ34" s="204">
        <f>'CCCC-car.3'!AD77</f>
        <v>13.5</v>
      </c>
      <c r="AR34" s="204">
        <f>'CCCC-car.3'!AE77</f>
        <v>-32.343733460304719</v>
      </c>
      <c r="AS34" s="204">
        <f>'CCCC-car.3'!AF77</f>
        <v>-40.43146387694101</v>
      </c>
      <c r="AT34" s="330"/>
      <c r="AU34" s="207">
        <f t="shared" si="3"/>
        <v>5.5</v>
      </c>
      <c r="AV34" s="204">
        <f>'CCCC-car.4'!AD77</f>
        <v>13.5</v>
      </c>
      <c r="AW34" s="204">
        <f>'CCCC-car.4'!AE77</f>
        <v>-28.559385024057747</v>
      </c>
      <c r="AX34" s="204">
        <f>'CCCC-car.4'!AF77</f>
        <v>-29.826908945104616</v>
      </c>
      <c r="AY34" s="330"/>
      <c r="AZ34" s="207">
        <f t="shared" si="4"/>
        <v>5.5</v>
      </c>
      <c r="BA34" s="204">
        <f>'CCCC-car.5'!AD77</f>
        <v>13.5</v>
      </c>
      <c r="BB34" s="204">
        <f>'CCCC-car.5'!AE77</f>
        <v>-36.002049418604656</v>
      </c>
      <c r="BC34" s="204">
        <f>'CCCC-car.5'!AF77</f>
        <v>-41.299852008456647</v>
      </c>
    </row>
    <row r="35" spans="21:55" x14ac:dyDescent="0.2">
      <c r="AE35" s="331" t="s">
        <v>108</v>
      </c>
      <c r="AF35" s="205">
        <f t="shared" ref="AF35:AF43" si="9">AG35-$AG$34</f>
        <v>0</v>
      </c>
      <c r="AG35" s="203">
        <f>'CCCC-car.1'!AD78</f>
        <v>13.5</v>
      </c>
      <c r="AH35" s="203">
        <f>'CCCC-car.1'!AE78</f>
        <v>-35.163685344827577</v>
      </c>
      <c r="AI35" s="203">
        <f>'CCCC-car.1'!AF78</f>
        <v>37.490921336206888</v>
      </c>
      <c r="AJ35" s="331" t="s">
        <v>108</v>
      </c>
      <c r="AK35" s="205">
        <f t="shared" si="1"/>
        <v>0</v>
      </c>
      <c r="AL35" s="203">
        <f>'CCCC-car.2'!AD78</f>
        <v>13.5</v>
      </c>
      <c r="AM35" s="203">
        <f>'CCCC-car.2'!AE78</f>
        <v>-28.279930332798713</v>
      </c>
      <c r="AN35" s="203">
        <f>'CCCC-car.2'!AF78</f>
        <v>35.769982583199678</v>
      </c>
      <c r="AO35" s="331" t="s">
        <v>108</v>
      </c>
      <c r="AP35" s="205">
        <f t="shared" si="2"/>
        <v>0</v>
      </c>
      <c r="AQ35" s="203">
        <f>'CCCC-car.3'!AD78</f>
        <v>13.5</v>
      </c>
      <c r="AR35" s="203">
        <f>'CCCC-car.3'!AE78</f>
        <v>-32.343733460304726</v>
      </c>
      <c r="AS35" s="203">
        <f>'CCCC-car.3'!AF78</f>
        <v>28.865933365076181</v>
      </c>
      <c r="AT35" s="331" t="s">
        <v>108</v>
      </c>
      <c r="AU35" s="205">
        <f t="shared" si="3"/>
        <v>0</v>
      </c>
      <c r="AV35" s="203">
        <f>'CCCC-car.4'!AD78</f>
        <v>13.5</v>
      </c>
      <c r="AW35" s="203">
        <f>'CCCC-car.4'!AE78</f>
        <v>-28.559385024057736</v>
      </c>
      <c r="AX35" s="203">
        <f>'CCCC-car.4'!AF78</f>
        <v>35.839846256014425</v>
      </c>
      <c r="AY35" s="331" t="s">
        <v>108</v>
      </c>
      <c r="AZ35" s="205">
        <f t="shared" si="4"/>
        <v>0</v>
      </c>
      <c r="BA35" s="203">
        <f>'CCCC-car.5'!AD78</f>
        <v>13.5</v>
      </c>
      <c r="BB35" s="203">
        <f>'CCCC-car.5'!AE78</f>
        <v>-36.002049418604642</v>
      </c>
      <c r="BC35" s="203">
        <f>'CCCC-car.5'!AF78</f>
        <v>37.700512354651153</v>
      </c>
    </row>
    <row r="36" spans="21:55" x14ac:dyDescent="0.2">
      <c r="AE36" s="331"/>
      <c r="AF36" s="206">
        <f t="shared" si="9"/>
        <v>0.5</v>
      </c>
      <c r="AG36" s="201">
        <f>'CCCC-car.1'!AD79</f>
        <v>14</v>
      </c>
      <c r="AH36" s="201">
        <f>'CCCC-car.1'!AE79</f>
        <v>-18.211974676724136</v>
      </c>
      <c r="AI36" s="201">
        <f>'CCCC-car.1'!AF79</f>
        <v>30.315921336206891</v>
      </c>
      <c r="AJ36" s="331"/>
      <c r="AK36" s="206">
        <f t="shared" si="1"/>
        <v>0.5</v>
      </c>
      <c r="AL36" s="201">
        <f>'CCCC-car.2'!AD79</f>
        <v>14</v>
      </c>
      <c r="AM36" s="201">
        <f>'CCCC-car.2'!AE79</f>
        <v>-12.188689041198874</v>
      </c>
      <c r="AN36" s="201">
        <f>'CCCC-car.2'!AF79</f>
        <v>28.59498258319968</v>
      </c>
      <c r="AO36" s="331"/>
      <c r="AP36" s="206">
        <f t="shared" si="2"/>
        <v>0.5</v>
      </c>
      <c r="AQ36" s="201">
        <f>'CCCC-car.3'!AD79</f>
        <v>14</v>
      </c>
      <c r="AR36" s="201">
        <f>'CCCC-car.3'!AE79</f>
        <v>-19.209516777766634</v>
      </c>
      <c r="AS36" s="201">
        <f>'CCCC-car.3'!AF79</f>
        <v>23.670933365076181</v>
      </c>
      <c r="AT36" s="331"/>
      <c r="AU36" s="206">
        <f t="shared" si="3"/>
        <v>0.5</v>
      </c>
      <c r="AV36" s="201">
        <f>'CCCC-car.4'!AD79</f>
        <v>14</v>
      </c>
      <c r="AW36" s="201">
        <f>'CCCC-car.4'!AE79</f>
        <v>-12.433211896050523</v>
      </c>
      <c r="AX36" s="201">
        <f>'CCCC-car.4'!AF79</f>
        <v>28.664846256014428</v>
      </c>
      <c r="AY36" s="331"/>
      <c r="AZ36" s="206">
        <f t="shared" si="4"/>
        <v>0.5</v>
      </c>
      <c r="BA36" s="201">
        <f>'CCCC-car.5'!AD79</f>
        <v>14</v>
      </c>
      <c r="BB36" s="201">
        <f>'CCCC-car.5'!AE79</f>
        <v>-18.945543241279069</v>
      </c>
      <c r="BC36" s="201">
        <f>'CCCC-car.5'!AF79</f>
        <v>30.525512354651156</v>
      </c>
    </row>
    <row r="37" spans="21:55" x14ac:dyDescent="0.2">
      <c r="AE37" s="331"/>
      <c r="AF37" s="206">
        <f t="shared" si="9"/>
        <v>1</v>
      </c>
      <c r="AG37" s="201">
        <f>'CCCC-car.1'!AD80</f>
        <v>14.5</v>
      </c>
      <c r="AH37" s="201">
        <f>'CCCC-car.1'!AE80</f>
        <v>-4.8477640086206861</v>
      </c>
      <c r="AI37" s="201">
        <f>'CCCC-car.1'!AF80</f>
        <v>23.14092133620689</v>
      </c>
      <c r="AJ37" s="331"/>
      <c r="AK37" s="206">
        <f t="shared" si="1"/>
        <v>1</v>
      </c>
      <c r="AL37" s="201">
        <f>'CCCC-car.2'!AD80</f>
        <v>14.5</v>
      </c>
      <c r="AM37" s="201">
        <f>'CCCC-car.2'!AE80</f>
        <v>0.31505225040096718</v>
      </c>
      <c r="AN37" s="201">
        <f>'CCCC-car.2'!AF80</f>
        <v>21.41998258319968</v>
      </c>
      <c r="AO37" s="331"/>
      <c r="AP37" s="206">
        <f t="shared" si="2"/>
        <v>1</v>
      </c>
      <c r="AQ37" s="201">
        <f>'CCCC-car.3'!AD80</f>
        <v>14.5</v>
      </c>
      <c r="AR37" s="201">
        <f>'CCCC-car.3'!AE80</f>
        <v>-8.6728000952285456</v>
      </c>
      <c r="AS37" s="201">
        <f>'CCCC-car.3'!AF80</f>
        <v>18.47593336507618</v>
      </c>
      <c r="AT37" s="331"/>
      <c r="AU37" s="206">
        <f t="shared" si="3"/>
        <v>1</v>
      </c>
      <c r="AV37" s="201">
        <f>'CCCC-car.4'!AD80</f>
        <v>14.5</v>
      </c>
      <c r="AW37" s="201">
        <f>'CCCC-car.4'!AE80</f>
        <v>0.10546123195668855</v>
      </c>
      <c r="AX37" s="201">
        <f>'CCCC-car.4'!AF80</f>
        <v>21.489846256014427</v>
      </c>
      <c r="AY37" s="331"/>
      <c r="AZ37" s="206">
        <f t="shared" si="4"/>
        <v>1</v>
      </c>
      <c r="BA37" s="201">
        <f>'CCCC-car.5'!AD80</f>
        <v>14.5</v>
      </c>
      <c r="BB37" s="201">
        <f>'CCCC-car.5'!AE80</f>
        <v>-5.4765370639534865</v>
      </c>
      <c r="BC37" s="201">
        <f>'CCCC-car.5'!AF80</f>
        <v>23.350512354651155</v>
      </c>
    </row>
    <row r="38" spans="21:55" ht="15" customHeight="1" x14ac:dyDescent="0.2">
      <c r="U38" s="333" t="s">
        <v>66</v>
      </c>
      <c r="V38" s="333"/>
      <c r="W38" s="333"/>
      <c r="X38" s="333"/>
      <c r="Y38" s="333"/>
      <c r="Z38" s="333"/>
      <c r="AA38" s="333"/>
      <c r="AB38" s="333"/>
      <c r="AC38" s="333"/>
      <c r="AD38" s="333"/>
      <c r="AE38" s="331"/>
      <c r="AF38" s="206">
        <f t="shared" si="9"/>
        <v>1.5</v>
      </c>
      <c r="AG38" s="201">
        <f>'CCCC-car.1'!AD81</f>
        <v>15</v>
      </c>
      <c r="AH38" s="201">
        <f>'CCCC-car.1'!AE81</f>
        <v>4.9289466594827545</v>
      </c>
      <c r="AI38" s="201">
        <f>'CCCC-car.1'!AF81</f>
        <v>15.96592133620689</v>
      </c>
      <c r="AJ38" s="331"/>
      <c r="AK38" s="206">
        <f t="shared" si="1"/>
        <v>1.5</v>
      </c>
      <c r="AL38" s="201">
        <f>'CCCC-car.2'!AD81</f>
        <v>15</v>
      </c>
      <c r="AM38" s="201">
        <f>'CCCC-car.2'!AE81</f>
        <v>9.231293542000806</v>
      </c>
      <c r="AN38" s="201">
        <f>'CCCC-car.2'!AF81</f>
        <v>14.244982583199679</v>
      </c>
      <c r="AO38" s="331"/>
      <c r="AP38" s="206">
        <f t="shared" si="2"/>
        <v>1.5</v>
      </c>
      <c r="AQ38" s="201">
        <f>'CCCC-car.3'!AD81</f>
        <v>15</v>
      </c>
      <c r="AR38" s="201">
        <f>'CCCC-car.3'!AE81</f>
        <v>-0.73358341269045724</v>
      </c>
      <c r="AS38" s="201">
        <f>'CCCC-car.3'!AF81</f>
        <v>13.28093336507618</v>
      </c>
      <c r="AT38" s="331"/>
      <c r="AU38" s="206">
        <f t="shared" si="3"/>
        <v>1.5</v>
      </c>
      <c r="AV38" s="201">
        <f>'CCCC-car.4'!AD81</f>
        <v>15</v>
      </c>
      <c r="AW38" s="201">
        <f>'CCCC-car.4'!AE81</f>
        <v>9.0566343599639083</v>
      </c>
      <c r="AX38" s="201">
        <f>'CCCC-car.4'!AF81</f>
        <v>14.314846256014427</v>
      </c>
      <c r="AY38" s="331"/>
      <c r="AZ38" s="206">
        <f t="shared" si="4"/>
        <v>1.5</v>
      </c>
      <c r="BA38" s="201">
        <f>'CCCC-car.5'!AD81</f>
        <v>15</v>
      </c>
      <c r="BB38" s="201">
        <f>'CCCC-car.5'!AE81</f>
        <v>4.4049691133720899</v>
      </c>
      <c r="BC38" s="201">
        <f>'CCCC-car.5'!AF81</f>
        <v>16.175512354651154</v>
      </c>
    </row>
    <row r="39" spans="21:55" x14ac:dyDescent="0.2">
      <c r="U39" s="43" t="s">
        <v>8</v>
      </c>
      <c r="V39" s="43" t="s">
        <v>9</v>
      </c>
      <c r="W39" s="43" t="s">
        <v>10</v>
      </c>
      <c r="X39" s="43" t="s">
        <v>11</v>
      </c>
      <c r="Y39" s="43" t="s">
        <v>76</v>
      </c>
      <c r="Z39" s="43" t="s">
        <v>77</v>
      </c>
      <c r="AA39" s="43" t="s">
        <v>92</v>
      </c>
      <c r="AB39" s="43" t="s">
        <v>93</v>
      </c>
      <c r="AC39" s="43" t="s">
        <v>112</v>
      </c>
      <c r="AD39" s="43" t="s">
        <v>113</v>
      </c>
      <c r="AE39" s="331"/>
      <c r="AF39" s="206">
        <f t="shared" si="9"/>
        <v>2</v>
      </c>
      <c r="AG39" s="201">
        <f>'CCCC-car.1'!AD82</f>
        <v>15.5</v>
      </c>
      <c r="AH39" s="201">
        <f>'CCCC-car.1'!AE82</f>
        <v>11.118157327586204</v>
      </c>
      <c r="AI39" s="201">
        <f>'CCCC-car.1'!AF82</f>
        <v>8.7909213362068925</v>
      </c>
      <c r="AJ39" s="331"/>
      <c r="AK39" s="206">
        <f t="shared" si="1"/>
        <v>2</v>
      </c>
      <c r="AL39" s="201">
        <f>'CCCC-car.2'!AD82</f>
        <v>15.5</v>
      </c>
      <c r="AM39" s="201">
        <f>'CCCC-car.2'!AE82</f>
        <v>14.560034833600646</v>
      </c>
      <c r="AN39" s="201">
        <f>'CCCC-car.2'!AF82</f>
        <v>7.0699825831996819</v>
      </c>
      <c r="AO39" s="331"/>
      <c r="AP39" s="206">
        <f t="shared" si="2"/>
        <v>2</v>
      </c>
      <c r="AQ39" s="201">
        <f>'CCCC-car.3'!AD82</f>
        <v>15.5</v>
      </c>
      <c r="AR39" s="201">
        <f>'CCCC-car.3'!AE82</f>
        <v>4.6081332698476345</v>
      </c>
      <c r="AS39" s="201">
        <f>'CCCC-car.3'!AF82</f>
        <v>8.0859333650761798</v>
      </c>
      <c r="AT39" s="331"/>
      <c r="AU39" s="206">
        <f t="shared" si="3"/>
        <v>2</v>
      </c>
      <c r="AV39" s="201">
        <f>'CCCC-car.4'!AD82</f>
        <v>15.5</v>
      </c>
      <c r="AW39" s="201">
        <f>'CCCC-car.4'!AE82</f>
        <v>14.420307487971115</v>
      </c>
      <c r="AX39" s="201">
        <f>'CCCC-car.4'!AF82</f>
        <v>7.1398462560144296</v>
      </c>
      <c r="AY39" s="331"/>
      <c r="AZ39" s="206">
        <f t="shared" si="4"/>
        <v>2</v>
      </c>
      <c r="BA39" s="201">
        <f>'CCCC-car.5'!AD82</f>
        <v>15.5</v>
      </c>
      <c r="BB39" s="201">
        <f>'CCCC-car.5'!AE82</f>
        <v>10.698975290697661</v>
      </c>
      <c r="BC39" s="201">
        <f>'CCCC-car.5'!AF82</f>
        <v>9.000512354651157</v>
      </c>
    </row>
    <row r="40" spans="21:55" x14ac:dyDescent="0.2">
      <c r="U40" s="336" t="s">
        <v>67</v>
      </c>
      <c r="V40" s="336"/>
      <c r="W40" s="336"/>
      <c r="X40" s="336"/>
      <c r="Y40" s="336"/>
      <c r="Z40" s="336"/>
      <c r="AA40" s="336"/>
      <c r="AB40" s="336"/>
      <c r="AC40" s="336"/>
      <c r="AD40" s="336"/>
      <c r="AE40" s="331"/>
      <c r="AF40" s="206">
        <f t="shared" si="9"/>
        <v>2.5</v>
      </c>
      <c r="AG40" s="201">
        <f>'CCCC-car.1'!AD83</f>
        <v>16</v>
      </c>
      <c r="AH40" s="201">
        <f>'CCCC-car.1'!AE83</f>
        <v>13.719867995689654</v>
      </c>
      <c r="AI40" s="201">
        <f>'CCCC-car.1'!AF83</f>
        <v>1.6159213362068954</v>
      </c>
      <c r="AJ40" s="331"/>
      <c r="AK40" s="206">
        <f t="shared" si="1"/>
        <v>2.5</v>
      </c>
      <c r="AL40" s="201">
        <f>'CCCC-car.2'!AD83</f>
        <v>16</v>
      </c>
      <c r="AM40" s="201">
        <f>'CCCC-car.2'!AE83</f>
        <v>16.301276125200502</v>
      </c>
      <c r="AN40" s="201">
        <f>'CCCC-car.2'!AF83</f>
        <v>-0.10501741680031529</v>
      </c>
      <c r="AO40" s="331"/>
      <c r="AP40" s="206">
        <f t="shared" si="2"/>
        <v>2.5</v>
      </c>
      <c r="AQ40" s="201">
        <f>'CCCC-car.3'!AD83</f>
        <v>16</v>
      </c>
      <c r="AR40" s="201">
        <f>'CCCC-car.3'!AE83</f>
        <v>7.3523499523857367</v>
      </c>
      <c r="AS40" s="201">
        <f>'CCCC-car.3'!AF83</f>
        <v>2.8909333650761795</v>
      </c>
      <c r="AT40" s="331"/>
      <c r="AU40" s="206">
        <f t="shared" si="3"/>
        <v>2.5</v>
      </c>
      <c r="AV40" s="201">
        <f>'CCCC-car.4'!AD83</f>
        <v>16</v>
      </c>
      <c r="AW40" s="201">
        <f>'CCCC-car.4'!AE83</f>
        <v>16.196480615978331</v>
      </c>
      <c r="AX40" s="201">
        <f>'CCCC-car.4'!AF83</f>
        <v>-3.5153743985567587E-2</v>
      </c>
      <c r="AY40" s="331"/>
      <c r="AZ40" s="206">
        <f t="shared" si="4"/>
        <v>2.5</v>
      </c>
      <c r="BA40" s="201">
        <f>'CCCC-car.5'!AD83</f>
        <v>16</v>
      </c>
      <c r="BB40" s="201">
        <f>'CCCC-car.5'!AE83</f>
        <v>13.405481468023254</v>
      </c>
      <c r="BC40" s="201">
        <f>'CCCC-car.5'!AF83</f>
        <v>1.8255123546511598</v>
      </c>
    </row>
    <row r="41" spans="21:55" x14ac:dyDescent="0.2">
      <c r="U41" s="2" t="s">
        <v>49</v>
      </c>
      <c r="AE41" s="331"/>
      <c r="AF41" s="206">
        <f t="shared" si="9"/>
        <v>3</v>
      </c>
      <c r="AG41" s="201">
        <f>'CCCC-car.1'!AD84</f>
        <v>16.5</v>
      </c>
      <c r="AH41" s="201">
        <f>'CCCC-car.1'!AE84</f>
        <v>12.734078663793099</v>
      </c>
      <c r="AI41" s="201">
        <f>'CCCC-car.1'!AF84</f>
        <v>-5.5590786637931089</v>
      </c>
      <c r="AJ41" s="331"/>
      <c r="AK41" s="206">
        <f t="shared" si="1"/>
        <v>3</v>
      </c>
      <c r="AL41" s="201">
        <f>'CCCC-car.2'!AD84</f>
        <v>16.5</v>
      </c>
      <c r="AM41" s="201">
        <f>'CCCC-car.2'!AE84</f>
        <v>14.455017416800331</v>
      </c>
      <c r="AN41" s="201">
        <f>'CCCC-car.2'!AF84</f>
        <v>-7.2800174168003196</v>
      </c>
      <c r="AO41" s="331"/>
      <c r="AP41" s="206">
        <f t="shared" si="2"/>
        <v>3</v>
      </c>
      <c r="AQ41" s="201">
        <f>'CCCC-car.3'!AD84</f>
        <v>16.5</v>
      </c>
      <c r="AR41" s="201">
        <f>'CCCC-car.3'!AE84</f>
        <v>7.4990666349238069</v>
      </c>
      <c r="AS41" s="201">
        <f>'CCCC-car.3'!AF84</f>
        <v>-2.3040666349238208</v>
      </c>
      <c r="AT41" s="331"/>
      <c r="AU41" s="206">
        <f t="shared" si="3"/>
        <v>3</v>
      </c>
      <c r="AV41" s="201">
        <f>'CCCC-car.4'!AD84</f>
        <v>16.5</v>
      </c>
      <c r="AW41" s="201">
        <f>'CCCC-car.4'!AE84</f>
        <v>14.385153743985555</v>
      </c>
      <c r="AX41" s="201">
        <f>'CCCC-car.4'!AF84</f>
        <v>-7.2101537439855719</v>
      </c>
      <c r="AY41" s="331"/>
      <c r="AZ41" s="206">
        <f t="shared" si="4"/>
        <v>3</v>
      </c>
      <c r="BA41" s="201">
        <f>'CCCC-car.5'!AD84</f>
        <v>16.5</v>
      </c>
      <c r="BB41" s="201">
        <f>'CCCC-car.5'!AE84</f>
        <v>12.524487645348827</v>
      </c>
      <c r="BC41" s="201">
        <f>'CCCC-car.5'!AF84</f>
        <v>-5.3494876453488445</v>
      </c>
    </row>
    <row r="42" spans="21:55" x14ac:dyDescent="0.2">
      <c r="U42" s="201">
        <f>AI7</f>
        <v>0</v>
      </c>
      <c r="V42" s="201">
        <f>AI8</f>
        <v>23.324548760775855</v>
      </c>
      <c r="W42" s="201">
        <f>AI16</f>
        <v>-34.075451239224137</v>
      </c>
      <c r="X42" s="201">
        <f>AI17</f>
        <v>26.877256196120683</v>
      </c>
      <c r="Y42" s="201">
        <f>AI25</f>
        <v>-30.522743803879308</v>
      </c>
      <c r="Z42" s="201">
        <f>AI26</f>
        <v>38.304153605015664</v>
      </c>
      <c r="AA42" s="201">
        <f>AI34</f>
        <v>-40.620846394984319</v>
      </c>
      <c r="AB42" s="201">
        <f>AI35</f>
        <v>37.490921336206888</v>
      </c>
      <c r="AC42" s="201">
        <f>AI43</f>
        <v>-19.909078663793103</v>
      </c>
      <c r="AD42" s="201">
        <f>AI44</f>
        <v>0</v>
      </c>
      <c r="AE42" s="331"/>
      <c r="AF42" s="206">
        <f t="shared" si="9"/>
        <v>3.5</v>
      </c>
      <c r="AG42" s="201">
        <f>'CCCC-car.1'!AD85</f>
        <v>17</v>
      </c>
      <c r="AH42" s="201">
        <f>'CCCC-car.1'!AE85</f>
        <v>8.1607893318965523</v>
      </c>
      <c r="AI42" s="201">
        <f>'CCCC-car.1'!AF85</f>
        <v>-12.734078663793106</v>
      </c>
      <c r="AJ42" s="331"/>
      <c r="AK42" s="206">
        <f t="shared" si="1"/>
        <v>3.5</v>
      </c>
      <c r="AL42" s="201">
        <f>'CCCC-car.2'!AD85</f>
        <v>17</v>
      </c>
      <c r="AM42" s="201">
        <f>'CCCC-car.2'!AE85</f>
        <v>9.0212587084001683</v>
      </c>
      <c r="AN42" s="201">
        <f>'CCCC-car.2'!AF85</f>
        <v>-14.455017416800317</v>
      </c>
      <c r="AO42" s="331"/>
      <c r="AP42" s="206">
        <f t="shared" si="2"/>
        <v>3.5</v>
      </c>
      <c r="AQ42" s="201">
        <f>'CCCC-car.3'!AD85</f>
        <v>17</v>
      </c>
      <c r="AR42" s="201">
        <f>'CCCC-car.3'!AE85</f>
        <v>5.0482833174618946</v>
      </c>
      <c r="AS42" s="201">
        <f>'CCCC-car.3'!AF85</f>
        <v>-7.4990666349238211</v>
      </c>
      <c r="AT42" s="331"/>
      <c r="AU42" s="206">
        <f t="shared" si="3"/>
        <v>3.5</v>
      </c>
      <c r="AV42" s="201">
        <f>'CCCC-car.4'!AD85</f>
        <v>17</v>
      </c>
      <c r="AW42" s="201">
        <f>'CCCC-car.4'!AE85</f>
        <v>8.9863268719927731</v>
      </c>
      <c r="AX42" s="201">
        <f>'CCCC-car.4'!AF85</f>
        <v>-14.385153743985569</v>
      </c>
      <c r="AY42" s="331"/>
      <c r="AZ42" s="206">
        <f t="shared" si="4"/>
        <v>3.5</v>
      </c>
      <c r="BA42" s="201">
        <f>'CCCC-car.5'!AD85</f>
        <v>17</v>
      </c>
      <c r="BB42" s="201">
        <f>'CCCC-car.5'!AE85</f>
        <v>8.0559938226744094</v>
      </c>
      <c r="BC42" s="201">
        <f>'CCCC-car.5'!AF85</f>
        <v>-12.524487645348842</v>
      </c>
    </row>
    <row r="43" spans="21:55" ht="12" customHeight="1" x14ac:dyDescent="0.2"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331"/>
      <c r="AF43" s="207">
        <f t="shared" si="9"/>
        <v>4</v>
      </c>
      <c r="AG43" s="204">
        <f>'CCCC-car.1'!AD86</f>
        <v>17.5</v>
      </c>
      <c r="AH43" s="204">
        <f>'CCCC-car.1'!AE86</f>
        <v>0</v>
      </c>
      <c r="AI43" s="204">
        <f>'CCCC-car.1'!AF86</f>
        <v>-19.909078663793103</v>
      </c>
      <c r="AJ43" s="331"/>
      <c r="AK43" s="207">
        <f t="shared" si="1"/>
        <v>4</v>
      </c>
      <c r="AL43" s="204">
        <f>'CCCC-car.2'!AD86</f>
        <v>17.5</v>
      </c>
      <c r="AM43" s="204">
        <f>'CCCC-car.2'!AE86</f>
        <v>0</v>
      </c>
      <c r="AN43" s="204">
        <f>'CCCC-car.2'!AF86</f>
        <v>-21.630017416800314</v>
      </c>
      <c r="AO43" s="331"/>
      <c r="AP43" s="207">
        <f t="shared" si="2"/>
        <v>4</v>
      </c>
      <c r="AQ43" s="204">
        <f>'CCCC-car.3'!AD86</f>
        <v>17.5</v>
      </c>
      <c r="AR43" s="204">
        <f>'CCCC-car.3'!AE86</f>
        <v>0</v>
      </c>
      <c r="AS43" s="204">
        <f>'CCCC-car.3'!AF86</f>
        <v>-12.694066634923821</v>
      </c>
      <c r="AT43" s="331"/>
      <c r="AU43" s="207">
        <f t="shared" si="3"/>
        <v>4</v>
      </c>
      <c r="AV43" s="204">
        <f>'CCCC-car.4'!AD86</f>
        <v>17.5</v>
      </c>
      <c r="AW43" s="204">
        <f>'CCCC-car.4'!AE86</f>
        <v>0</v>
      </c>
      <c r="AX43" s="204">
        <f>'CCCC-car.4'!AF86</f>
        <v>-21.560153743985566</v>
      </c>
      <c r="AY43" s="331"/>
      <c r="AZ43" s="207">
        <f t="shared" si="4"/>
        <v>4</v>
      </c>
      <c r="BA43" s="204">
        <f>'CCCC-car.5'!AD86</f>
        <v>17.5</v>
      </c>
      <c r="BB43" s="204">
        <f>'CCCC-car.5'!AE86</f>
        <v>0</v>
      </c>
      <c r="BC43" s="204">
        <f>'CCCC-car.5'!AF86</f>
        <v>-19.699487645348839</v>
      </c>
    </row>
    <row r="44" spans="21:55" x14ac:dyDescent="0.2">
      <c r="U44" s="2" t="s">
        <v>50</v>
      </c>
      <c r="V44" s="46"/>
      <c r="W44" s="46"/>
      <c r="X44" s="46"/>
      <c r="Y44" s="46"/>
      <c r="Z44" s="46"/>
      <c r="AA44" s="46"/>
      <c r="AB44" s="46"/>
      <c r="AC44" s="46"/>
      <c r="AD44" s="46"/>
      <c r="AE44" s="331" t="s">
        <v>57</v>
      </c>
      <c r="AF44" s="205">
        <f>AG44-$AG$43</f>
        <v>0</v>
      </c>
      <c r="AG44" s="203">
        <f>'CCCC-car.1'!AD87</f>
        <v>17.5</v>
      </c>
      <c r="AH44" s="203">
        <f>'CCCC-car.1'!AE87</f>
        <v>0</v>
      </c>
      <c r="AI44" s="203">
        <f>'CCCC-car.1'!AF87</f>
        <v>0</v>
      </c>
      <c r="AJ44" s="331" t="s">
        <v>57</v>
      </c>
      <c r="AK44" s="205">
        <f t="shared" si="1"/>
        <v>0</v>
      </c>
      <c r="AL44" s="203">
        <f>'CCCC-car.2'!AD87</f>
        <v>17.5</v>
      </c>
      <c r="AM44" s="203">
        <f>'CCCC-car.2'!AE87</f>
        <v>0</v>
      </c>
      <c r="AN44" s="203">
        <f>'CCCC-car.2'!AF87</f>
        <v>0</v>
      </c>
      <c r="AO44" s="331" t="s">
        <v>57</v>
      </c>
      <c r="AP44" s="205">
        <f t="shared" si="2"/>
        <v>0</v>
      </c>
      <c r="AQ44" s="203">
        <f>'CCCC-car.3'!AD87</f>
        <v>17.5</v>
      </c>
      <c r="AR44" s="203">
        <f>'CCCC-car.3'!AE87</f>
        <v>0</v>
      </c>
      <c r="AS44" s="203">
        <f>'CCCC-car.3'!AF87</f>
        <v>0</v>
      </c>
      <c r="AT44" s="331" t="s">
        <v>57</v>
      </c>
      <c r="AU44" s="205">
        <f t="shared" si="3"/>
        <v>0</v>
      </c>
      <c r="AV44" s="203">
        <f>'CCCC-car.4'!AD87</f>
        <v>17.5</v>
      </c>
      <c r="AW44" s="203">
        <f>'CCCC-car.4'!AE87</f>
        <v>0</v>
      </c>
      <c r="AX44" s="203">
        <f>'CCCC-car.4'!AF87</f>
        <v>0</v>
      </c>
      <c r="AY44" s="331" t="s">
        <v>57</v>
      </c>
      <c r="AZ44" s="205">
        <f t="shared" si="4"/>
        <v>0</v>
      </c>
      <c r="BA44" s="203">
        <f>'CCCC-car.5'!AD87</f>
        <v>17.5</v>
      </c>
      <c r="BB44" s="203">
        <f>'CCCC-car.5'!AE87</f>
        <v>0</v>
      </c>
      <c r="BC44" s="203">
        <f>'CCCC-car.5'!AF87</f>
        <v>0</v>
      </c>
    </row>
    <row r="45" spans="21:55" x14ac:dyDescent="0.2">
      <c r="U45" s="201">
        <f>AN7</f>
        <v>0</v>
      </c>
      <c r="V45" s="201">
        <f>AN8</f>
        <v>16.009095297463915</v>
      </c>
      <c r="W45" s="201">
        <f>AN16</f>
        <v>-25.550904702536087</v>
      </c>
      <c r="X45" s="201">
        <f>AN17</f>
        <v>27.814523512680427</v>
      </c>
      <c r="Y45" s="201">
        <f>AN25</f>
        <v>-29.585476487319564</v>
      </c>
      <c r="Z45" s="201">
        <f>AN26</f>
        <v>27.544426259386167</v>
      </c>
      <c r="AA45" s="201">
        <f>AN34</f>
        <v>-29.600573740613836</v>
      </c>
      <c r="AB45" s="201">
        <f>AN35</f>
        <v>35.769982583199678</v>
      </c>
      <c r="AC45" s="201">
        <f>AN43</f>
        <v>-21.630017416800314</v>
      </c>
      <c r="AD45" s="201">
        <f>AN44</f>
        <v>0</v>
      </c>
      <c r="AE45" s="331"/>
      <c r="AF45" s="206">
        <f>AG45-$AG$43</f>
        <v>0</v>
      </c>
      <c r="AG45" s="201">
        <f>'CCCC-car.1'!AD88</f>
        <v>17.5</v>
      </c>
      <c r="AH45" s="201">
        <f>'CCCC-car.1'!AE88</f>
        <v>0</v>
      </c>
      <c r="AI45" s="201">
        <f>'CCCC-car.1'!AF88</f>
        <v>0</v>
      </c>
      <c r="AJ45" s="331"/>
      <c r="AK45" s="206">
        <f t="shared" si="1"/>
        <v>0</v>
      </c>
      <c r="AL45" s="201">
        <f>'CCCC-car.2'!AD88</f>
        <v>17.5</v>
      </c>
      <c r="AM45" s="201">
        <f>'CCCC-car.2'!AE88</f>
        <v>0</v>
      </c>
      <c r="AN45" s="201">
        <f>'CCCC-car.2'!AF88</f>
        <v>0</v>
      </c>
      <c r="AO45" s="331"/>
      <c r="AP45" s="206">
        <f t="shared" si="2"/>
        <v>0</v>
      </c>
      <c r="AQ45" s="201">
        <f>'CCCC-car.3'!AD88</f>
        <v>17.5</v>
      </c>
      <c r="AR45" s="201">
        <f>'CCCC-car.3'!AE88</f>
        <v>0</v>
      </c>
      <c r="AS45" s="201">
        <f>'CCCC-car.3'!AF88</f>
        <v>0</v>
      </c>
      <c r="AT45" s="331"/>
      <c r="AU45" s="206">
        <f t="shared" si="3"/>
        <v>0</v>
      </c>
      <c r="AV45" s="201">
        <f>'CCCC-car.4'!AD88</f>
        <v>17.5</v>
      </c>
      <c r="AW45" s="201">
        <f>'CCCC-car.4'!AE88</f>
        <v>0</v>
      </c>
      <c r="AX45" s="201">
        <f>'CCCC-car.4'!AF88</f>
        <v>0</v>
      </c>
      <c r="AY45" s="331"/>
      <c r="AZ45" s="206">
        <f t="shared" si="4"/>
        <v>0</v>
      </c>
      <c r="BA45" s="201">
        <f>'CCCC-car.5'!AD88</f>
        <v>17.5</v>
      </c>
      <c r="BB45" s="201">
        <f>'CCCC-car.5'!AE88</f>
        <v>0</v>
      </c>
      <c r="BC45" s="201">
        <f>'CCCC-car.5'!AF88</f>
        <v>0</v>
      </c>
    </row>
    <row r="46" spans="21:55" x14ac:dyDescent="0.2"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331"/>
      <c r="AF46" s="206">
        <f>AG46-$AG$43</f>
        <v>0</v>
      </c>
      <c r="AG46" s="201">
        <f>'CCCC-car.1'!AD89</f>
        <v>17.5</v>
      </c>
      <c r="AH46" s="201">
        <f>'CCCC-car.1'!AE89</f>
        <v>0</v>
      </c>
      <c r="AI46" s="201">
        <f>'CCCC-car.1'!AF89</f>
        <v>0</v>
      </c>
      <c r="AJ46" s="331"/>
      <c r="AK46" s="206">
        <f t="shared" si="1"/>
        <v>0</v>
      </c>
      <c r="AL46" s="201">
        <f>'CCCC-car.2'!AD89</f>
        <v>17.5</v>
      </c>
      <c r="AM46" s="201">
        <f>'CCCC-car.2'!AE89</f>
        <v>0</v>
      </c>
      <c r="AN46" s="201">
        <f>'CCCC-car.2'!AF89</f>
        <v>0</v>
      </c>
      <c r="AO46" s="331"/>
      <c r="AP46" s="206">
        <f t="shared" si="2"/>
        <v>0</v>
      </c>
      <c r="AQ46" s="201">
        <f>'CCCC-car.3'!AD89</f>
        <v>17.5</v>
      </c>
      <c r="AR46" s="201">
        <f>'CCCC-car.3'!AE89</f>
        <v>0</v>
      </c>
      <c r="AS46" s="201">
        <f>'CCCC-car.3'!AF89</f>
        <v>0</v>
      </c>
      <c r="AT46" s="331"/>
      <c r="AU46" s="206">
        <f t="shared" si="3"/>
        <v>0</v>
      </c>
      <c r="AV46" s="201">
        <f>'CCCC-car.4'!AD89</f>
        <v>17.5</v>
      </c>
      <c r="AW46" s="201">
        <f>'CCCC-car.4'!AE89</f>
        <v>0</v>
      </c>
      <c r="AX46" s="201">
        <f>'CCCC-car.4'!AF89</f>
        <v>0</v>
      </c>
      <c r="AY46" s="331"/>
      <c r="AZ46" s="206">
        <f t="shared" si="4"/>
        <v>0</v>
      </c>
      <c r="BA46" s="201">
        <f>'CCCC-car.5'!AD89</f>
        <v>17.5</v>
      </c>
      <c r="BB46" s="201">
        <f>'CCCC-car.5'!AE89</f>
        <v>0</v>
      </c>
      <c r="BC46" s="201">
        <f>'CCCC-car.5'!AF89</f>
        <v>0</v>
      </c>
    </row>
    <row r="47" spans="21:55" x14ac:dyDescent="0.2">
      <c r="U47" s="2" t="s">
        <v>51</v>
      </c>
      <c r="V47" s="46"/>
      <c r="W47" s="46"/>
      <c r="X47" s="46"/>
      <c r="Y47" s="46"/>
      <c r="Z47" s="46"/>
      <c r="AA47" s="46"/>
      <c r="AB47" s="46"/>
      <c r="AC47" s="46"/>
      <c r="AD47" s="46"/>
      <c r="AE47" s="331"/>
      <c r="AF47" s="207">
        <f>AG47-$AG$43</f>
        <v>0</v>
      </c>
      <c r="AG47" s="204">
        <f>'CCCC-car.1'!AD90</f>
        <v>17.5</v>
      </c>
      <c r="AH47" s="204">
        <f>'CCCC-car.1'!AE90</f>
        <v>0</v>
      </c>
      <c r="AI47" s="204">
        <f>'CCCC-car.1'!AF90</f>
        <v>0</v>
      </c>
      <c r="AJ47" s="331"/>
      <c r="AK47" s="207">
        <f t="shared" si="1"/>
        <v>0</v>
      </c>
      <c r="AL47" s="204">
        <f>'CCCC-car.2'!AD90</f>
        <v>17.5</v>
      </c>
      <c r="AM47" s="204">
        <f>'CCCC-car.2'!AE90</f>
        <v>0</v>
      </c>
      <c r="AN47" s="204">
        <f>'CCCC-car.2'!AF90</f>
        <v>0</v>
      </c>
      <c r="AO47" s="331"/>
      <c r="AP47" s="207">
        <f t="shared" si="2"/>
        <v>0</v>
      </c>
      <c r="AQ47" s="204">
        <f>'CCCC-car.3'!AD90</f>
        <v>17.5</v>
      </c>
      <c r="AR47" s="204">
        <f>'CCCC-car.3'!AE90</f>
        <v>0</v>
      </c>
      <c r="AS47" s="204">
        <f>'CCCC-car.3'!AF90</f>
        <v>0</v>
      </c>
      <c r="AT47" s="331"/>
      <c r="AU47" s="207">
        <f t="shared" si="3"/>
        <v>0</v>
      </c>
      <c r="AV47" s="204">
        <f>'CCCC-car.4'!AD90</f>
        <v>17.5</v>
      </c>
      <c r="AW47" s="204">
        <f>'CCCC-car.4'!AE90</f>
        <v>0</v>
      </c>
      <c r="AX47" s="204">
        <f>'CCCC-car.4'!AF90</f>
        <v>0</v>
      </c>
      <c r="AY47" s="331"/>
      <c r="AZ47" s="207">
        <f t="shared" si="4"/>
        <v>0</v>
      </c>
      <c r="BA47" s="204">
        <f>'CCCC-car.5'!AD90</f>
        <v>17.5</v>
      </c>
      <c r="BB47" s="204">
        <f>'CCCC-car.5'!AE90</f>
        <v>0</v>
      </c>
      <c r="BC47" s="204">
        <f>'CCCC-car.5'!AF90</f>
        <v>0</v>
      </c>
    </row>
    <row r="48" spans="21:55" x14ac:dyDescent="0.2">
      <c r="U48" s="201">
        <f>AS7</f>
        <v>0</v>
      </c>
      <c r="V48" s="201">
        <f>AS8</f>
        <v>24.203402008570563</v>
      </c>
      <c r="W48" s="201">
        <f>AS16</f>
        <v>-33.196597991429428</v>
      </c>
      <c r="X48" s="201">
        <f>AS17</f>
        <v>18.522989957147153</v>
      </c>
      <c r="Y48" s="201">
        <f>AS25</f>
        <v>-23.037010042852849</v>
      </c>
      <c r="Z48" s="201">
        <f>AS26</f>
        <v>38.493536123058973</v>
      </c>
      <c r="AA48" s="201">
        <f>AS34</f>
        <v>-40.43146387694101</v>
      </c>
      <c r="AB48" s="201">
        <f>AS35</f>
        <v>28.865933365076181</v>
      </c>
      <c r="AC48" s="201">
        <f>AS43</f>
        <v>-12.694066634923821</v>
      </c>
      <c r="AD48" s="201">
        <f>AS44</f>
        <v>0</v>
      </c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U50" s="2" t="s">
        <v>52</v>
      </c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U51" s="201">
        <f>AX7</f>
        <v>0</v>
      </c>
      <c r="V51" s="201">
        <f>AX8</f>
        <v>22.878758489123896</v>
      </c>
      <c r="W51" s="201">
        <f>AX16</f>
        <v>-34.521241510876095</v>
      </c>
      <c r="X51" s="201">
        <f>AX17</f>
        <v>29.106207554380507</v>
      </c>
      <c r="Y51" s="201">
        <f>AX25</f>
        <v>-28.293792445619484</v>
      </c>
      <c r="Z51" s="201">
        <f>AX26</f>
        <v>27.318091054895387</v>
      </c>
      <c r="AA51" s="201">
        <f>AX34</f>
        <v>-29.826908945104616</v>
      </c>
      <c r="AB51" s="201">
        <f>AX35</f>
        <v>35.839846256014425</v>
      </c>
      <c r="AC51" s="201">
        <f>AX43</f>
        <v>-21.560153743985566</v>
      </c>
      <c r="AD51" s="201">
        <f>AX44</f>
        <v>0</v>
      </c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U52" s="46"/>
      <c r="V52" s="46"/>
      <c r="W52" s="3"/>
      <c r="X52" s="3"/>
      <c r="Y52" s="46"/>
      <c r="Z52" s="46"/>
      <c r="AA52" s="46"/>
      <c r="AB52" s="46"/>
      <c r="AC52" s="46"/>
      <c r="AD52" s="46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U53" s="2" t="s">
        <v>53</v>
      </c>
      <c r="V53" s="46"/>
      <c r="W53" s="3"/>
      <c r="X53" s="3"/>
      <c r="Y53" s="46"/>
      <c r="Z53" s="46"/>
      <c r="AA53" s="46"/>
      <c r="AB53" s="46"/>
      <c r="AC53" s="46"/>
      <c r="AD53" s="46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U54" s="201">
        <f>BC7</f>
        <v>0</v>
      </c>
      <c r="V54" s="201">
        <f>BC8</f>
        <v>24.133538335755809</v>
      </c>
      <c r="W54" s="201">
        <f>BC16</f>
        <v>-33.266461664244183</v>
      </c>
      <c r="X54" s="201">
        <f>BC17</f>
        <v>18.872308321220927</v>
      </c>
      <c r="Y54" s="201">
        <f>BC25</f>
        <v>-22.687691678779075</v>
      </c>
      <c r="Z54" s="201">
        <f>BC26</f>
        <v>37.625147991543336</v>
      </c>
      <c r="AA54" s="201">
        <f>BC34</f>
        <v>-41.299852008456647</v>
      </c>
      <c r="AB54" s="201">
        <f>BC35</f>
        <v>37.700512354651153</v>
      </c>
      <c r="AC54" s="201">
        <f>BC43</f>
        <v>-19.699487645348839</v>
      </c>
      <c r="AD54" s="201">
        <f>BC44</f>
        <v>0</v>
      </c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W57" s="339" t="s">
        <v>68</v>
      </c>
      <c r="X57" s="339"/>
      <c r="Y57" s="339"/>
      <c r="Z57" s="339"/>
      <c r="AA57" s="339"/>
      <c r="AB57" s="339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W58" s="46"/>
      <c r="X58" s="43" t="s">
        <v>0</v>
      </c>
      <c r="Y58" s="43" t="s">
        <v>1</v>
      </c>
      <c r="Z58" s="43" t="s">
        <v>78</v>
      </c>
      <c r="AA58" s="43" t="s">
        <v>94</v>
      </c>
      <c r="AB58" s="43" t="s">
        <v>114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X59" s="336" t="s">
        <v>67</v>
      </c>
      <c r="Y59" s="336"/>
      <c r="Z59" s="336"/>
      <c r="AA59" s="336"/>
      <c r="AB59" s="336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W60" s="42" t="s">
        <v>49</v>
      </c>
      <c r="X60" s="201">
        <f>'CCCC-car.1'!X32</f>
        <v>23.324548760775855</v>
      </c>
      <c r="Y60" s="201">
        <f>'CCCC-car.1'!Y32</f>
        <v>60.95270743534482</v>
      </c>
      <c r="Z60" s="201">
        <f>'CCCC-car.1'!Z32</f>
        <v>68.826897408894979</v>
      </c>
      <c r="AA60" s="201">
        <f>'CCCC-car.1'!AA32</f>
        <v>78.111767731191208</v>
      </c>
      <c r="AB60" s="201">
        <f>'CCCC-car.1'!AB32</f>
        <v>19.909078663793103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W61" s="42" t="s">
        <v>50</v>
      </c>
      <c r="X61" s="201">
        <f>'CCCC-car.2'!X32</f>
        <v>16.009095297463915</v>
      </c>
      <c r="Y61" s="201">
        <f>'CCCC-car.2'!Y32</f>
        <v>53.365428215216511</v>
      </c>
      <c r="Z61" s="201">
        <f>'CCCC-car.2'!Z32</f>
        <v>57.129902746705731</v>
      </c>
      <c r="AA61" s="201">
        <f>'CCCC-car.2'!AA32</f>
        <v>65.370556323813517</v>
      </c>
      <c r="AB61" s="201">
        <f>'CCCC-car.2'!AB32</f>
        <v>21.630017416800317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W62" s="42" t="s">
        <v>51</v>
      </c>
      <c r="X62" s="201">
        <f>'CCCC-car.3'!X32</f>
        <v>24.203402008570563</v>
      </c>
      <c r="Y62" s="201">
        <f>'CCCC-car.3'!Y32</f>
        <v>51.719587948576581</v>
      </c>
      <c r="Z62" s="201">
        <f>'CCCC-car.3'!Z32</f>
        <v>61.530546165911822</v>
      </c>
      <c r="AA62" s="201">
        <f>'CCCC-car.3'!AA32</f>
        <v>69.297397242017183</v>
      </c>
      <c r="AB62" s="201">
        <f>'CCCC-car.3'!AB32</f>
        <v>12.69406663492382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W63" s="42" t="s">
        <v>52</v>
      </c>
      <c r="X63" s="201">
        <f>'CCCC-car.4'!X32</f>
        <v>22.878758489123896</v>
      </c>
      <c r="Y63" s="201">
        <f>'CCCC-car.4'!Y32</f>
        <v>63.627449065256599</v>
      </c>
      <c r="Z63" s="201">
        <f>'CCCC-car.4'!Z32</f>
        <v>55.611883500514871</v>
      </c>
      <c r="AA63" s="201">
        <f>'CCCC-car.4'!AA32</f>
        <v>65.666755201119045</v>
      </c>
      <c r="AB63" s="201">
        <f>'CCCC-car.4'!AB32</f>
        <v>21.560153743985563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W64" s="42" t="s">
        <v>53</v>
      </c>
      <c r="X64" s="201">
        <f>'CCCC-car.5'!X32</f>
        <v>24.133538335755809</v>
      </c>
      <c r="Y64" s="201">
        <f>'CCCC-car.5'!Y32</f>
        <v>52.13876998546511</v>
      </c>
      <c r="Z64" s="201">
        <f>'CCCC-car.5'!Z32</f>
        <v>60.312839670322411</v>
      </c>
      <c r="AA64" s="201">
        <f>'CCCC-car.5'!AA32</f>
        <v>79.000364363107792</v>
      </c>
      <c r="AB64" s="201">
        <f>'CCCC-car.5'!AB32</f>
        <v>19.699487645348835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46"/>
      <c r="C69" s="123" t="s">
        <v>463</v>
      </c>
      <c r="D69" s="46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46"/>
      <c r="C70" s="123" t="str">
        <f>D6</f>
        <v>ca</v>
      </c>
      <c r="D70" s="46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46"/>
      <c r="C71" s="46"/>
      <c r="D71" s="46"/>
      <c r="E71" s="46"/>
      <c r="F71" s="46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258" t="s">
        <v>31</v>
      </c>
      <c r="B74" s="259"/>
      <c r="C74" s="259"/>
      <c r="D74" s="259"/>
      <c r="E74" s="259"/>
      <c r="F74" s="259"/>
      <c r="G74" s="259"/>
      <c r="H74" s="259"/>
      <c r="I74" s="260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16" t="s">
        <v>38</v>
      </c>
      <c r="C76" s="16" t="s">
        <v>39</v>
      </c>
      <c r="D76" s="16" t="s">
        <v>40</v>
      </c>
      <c r="E76" s="3"/>
      <c r="F76" s="45" t="s">
        <v>72</v>
      </c>
      <c r="G76" s="16" t="s">
        <v>73</v>
      </c>
      <c r="H76" s="16" t="s">
        <v>74</v>
      </c>
      <c r="I76" s="264" t="s">
        <v>75</v>
      </c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16">
        <v>1</v>
      </c>
      <c r="C77" s="281">
        <f>D19/10^8</f>
        <v>1.3333333333333334E-4</v>
      </c>
      <c r="D77" s="202">
        <f>B77*C77</f>
        <v>1.3333333333333334E-4</v>
      </c>
      <c r="E77" s="3"/>
      <c r="F77" s="3"/>
      <c r="G77" s="16">
        <v>1</v>
      </c>
      <c r="H77" s="281">
        <f>E19/10^8</f>
        <v>1.3333333333333334E-4</v>
      </c>
      <c r="I77" s="265">
        <f>G77*H77</f>
        <v>1.3333333333333334E-4</v>
      </c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16" t="s">
        <v>89</v>
      </c>
      <c r="C79" s="16" t="s">
        <v>90</v>
      </c>
      <c r="D79" s="16" t="s">
        <v>91</v>
      </c>
      <c r="E79" s="3"/>
      <c r="F79" s="45" t="s">
        <v>108</v>
      </c>
      <c r="G79" s="16" t="s">
        <v>109</v>
      </c>
      <c r="H79" s="16" t="s">
        <v>110</v>
      </c>
      <c r="I79" s="264" t="s">
        <v>111</v>
      </c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F19/10^8</f>
        <v>1.3333333333333334E-4</v>
      </c>
      <c r="D80" s="269">
        <f>B80*C80</f>
        <v>1.3333333333333334E-4</v>
      </c>
      <c r="E80" s="255"/>
      <c r="F80" s="255"/>
      <c r="G80" s="268">
        <v>1</v>
      </c>
      <c r="H80" s="282">
        <f>G19/10^8</f>
        <v>1.3333333333333334E-4</v>
      </c>
      <c r="I80" s="270">
        <f>G80*H80</f>
        <v>1.3333333333333334E-4</v>
      </c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40">
    <mergeCell ref="AO17:AO25"/>
    <mergeCell ref="AO26:AO34"/>
    <mergeCell ref="D16:G16"/>
    <mergeCell ref="C24:H24"/>
    <mergeCell ref="C10:H10"/>
    <mergeCell ref="AE8:AE16"/>
    <mergeCell ref="AJ8:AJ16"/>
    <mergeCell ref="AO8:AO16"/>
    <mergeCell ref="D6:H6"/>
    <mergeCell ref="A1:J1"/>
    <mergeCell ref="AE4:AE7"/>
    <mergeCell ref="AJ4:AJ7"/>
    <mergeCell ref="AO4:AO7"/>
    <mergeCell ref="D4:H4"/>
    <mergeCell ref="AT26:AT34"/>
    <mergeCell ref="AY26:AY34"/>
    <mergeCell ref="AT4:AT7"/>
    <mergeCell ref="AY4:AY7"/>
    <mergeCell ref="AT8:AT16"/>
    <mergeCell ref="AY8:AY16"/>
    <mergeCell ref="AT17:AT25"/>
    <mergeCell ref="AY17:AY25"/>
    <mergeCell ref="AO44:AO47"/>
    <mergeCell ref="AT44:AT47"/>
    <mergeCell ref="AY44:AY47"/>
    <mergeCell ref="W57:AB57"/>
    <mergeCell ref="AE35:AE43"/>
    <mergeCell ref="AJ35:AJ43"/>
    <mergeCell ref="AO35:AO43"/>
    <mergeCell ref="AT35:AT43"/>
    <mergeCell ref="AY35:AY43"/>
    <mergeCell ref="U38:AD38"/>
    <mergeCell ref="U40:AD40"/>
    <mergeCell ref="X59:AB59"/>
    <mergeCell ref="AE44:AE47"/>
    <mergeCell ref="AJ44:AJ47"/>
    <mergeCell ref="AE17:AE25"/>
    <mergeCell ref="AJ17:AJ25"/>
    <mergeCell ref="AE26:AE34"/>
    <mergeCell ref="AJ26:AJ34"/>
  </mergeCells>
  <dataValidations disablePrompts="1" count="10">
    <dataValidation type="list" allowBlank="1" showInputMessage="1" showErrorMessage="1" sqref="H17" xr:uid="{00000000-0002-0000-0A00-000000000000}">
      <formula1>INDIRECT($H$16)</formula1>
    </dataValidation>
    <dataValidation type="list" allowBlank="1" showInputMessage="1" showErrorMessage="1" sqref="D17:G17" xr:uid="{00000000-0002-0000-0A00-000001000000}">
      <formula1>INDIRECT($D$6)</formula1>
    </dataValidation>
    <dataValidation type="list" allowBlank="1" showInputMessage="1" showErrorMessage="1" sqref="C17" xr:uid="{00000000-0002-0000-0A00-000002000000}">
      <formula1>INDIRECT($C$16)</formula1>
    </dataValidation>
    <dataValidation type="custom" allowBlank="1" showInputMessage="1" showErrorMessage="1" sqref="D15:G15" xr:uid="{00000000-0002-0000-0A00-000003000000}">
      <formula1>D15&gt;0</formula1>
    </dataValidation>
    <dataValidation type="list" allowBlank="1" showInputMessage="1" showErrorMessage="1" sqref="C16" xr:uid="{00000000-0002-0000-0A00-000004000000}">
      <formula1>INDIRECT($C$14)</formula1>
    </dataValidation>
    <dataValidation type="list" allowBlank="1" showInputMessage="1" showErrorMessage="1" sqref="H16" xr:uid="{00000000-0002-0000-0A00-000005000000}">
      <formula1>INDIRECT($H$14)</formula1>
    </dataValidation>
    <dataValidation type="list" allowBlank="1" showInputMessage="1" showErrorMessage="1" sqref="H14 C14" xr:uid="{00000000-0002-0000-0A00-000006000000}">
      <formula1>$A$70:$A$71</formula1>
    </dataValidation>
    <dataValidation type="custom" showInputMessage="1" showErrorMessage="1" sqref="C15" xr:uid="{00000000-0002-0000-0A00-000007000000}">
      <formula1>IF(C14=A71,C15=0,C15&gt;0)</formula1>
    </dataValidation>
    <dataValidation type="custom" showInputMessage="1" showErrorMessage="1" sqref="H15" xr:uid="{00000000-0002-0000-0A00-000008000000}">
      <formula1>IF(H14=A71,H15=0,H15&gt;0)</formula1>
    </dataValidation>
    <dataValidation type="list" allowBlank="1" showInputMessage="1" showErrorMessage="1" sqref="D6" xr:uid="{00000000-0002-0000-0A00-000009000000}">
      <formula1>$I$69:$I$70</formula1>
    </dataValidation>
  </dataValidations>
  <pageMargins left="0.52" right="0.4" top="0.24" bottom="0.41" header="0.22" footer="0.31496062992125984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28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29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acro30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Macro31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Macro32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Macro33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Macro14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9</xdr:col>
                    <xdr:colOff>590550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Macro42">
                <anchor moveWithCells="1" sizeWithCells="1">
                  <from>
                    <xdr:col>2</xdr:col>
                    <xdr:colOff>0</xdr:colOff>
                    <xdr:row>11</xdr:row>
                    <xdr:rowOff>9525</xdr:rowOff>
                  </from>
                  <to>
                    <xdr:col>2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print="0" autoFill="0" autoPict="0" macro="[0]!Macro46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7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Macro47">
                <anchor moveWithCells="1" siz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3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4" name="Button 13">
              <controlPr defaultSize="0" print="0" autoFill="0" autoPict="0" macro="[0]!Macro48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" name="Button 14">
              <controlPr defaultSize="0" print="0" autoFill="0" autoPict="0" macro="[0]!Sezionecadaquattro">
                <anchor moveWithCells="1" sizeWithCells="1">
                  <from>
                    <xdr:col>8</xdr:col>
                    <xdr:colOff>66675</xdr:colOff>
                    <xdr:row>13</xdr:row>
                    <xdr:rowOff>9525</xdr:rowOff>
                  </from>
                  <to>
                    <xdr:col>9</xdr:col>
                    <xdr:colOff>533400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" name="Button 15">
              <controlPr defaultSize="0" print="0" autoFill="0" autoPict="0" macro="[0]!Sezioneacciaiodaquattro">
                <anchor moveWithCells="1" sizeWithCells="1">
                  <from>
                    <xdr:col>8</xdr:col>
                    <xdr:colOff>85725</xdr:colOff>
                    <xdr:row>16</xdr:row>
                    <xdr:rowOff>9525</xdr:rowOff>
                  </from>
                  <to>
                    <xdr:col>9</xdr:col>
                    <xdr:colOff>523875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20102-D6E4-49B5-BE92-29797E5DF50E}">
  <dimension ref="A1:R43"/>
  <sheetViews>
    <sheetView topLeftCell="A16" workbookViewId="0">
      <selection activeCell="K28" sqref="K28"/>
    </sheetView>
  </sheetViews>
  <sheetFormatPr defaultRowHeight="15" x14ac:dyDescent="0.25"/>
  <sheetData>
    <row r="1" spans="1:18" x14ac:dyDescent="0.25">
      <c r="B1" t="s">
        <v>491</v>
      </c>
      <c r="D1" t="s">
        <v>492</v>
      </c>
      <c r="H1" t="s">
        <v>493</v>
      </c>
    </row>
    <row r="2" spans="1:18" ht="18.75" x14ac:dyDescent="0.35">
      <c r="A2" s="344" t="s">
        <v>485</v>
      </c>
      <c r="B2" s="344" t="s">
        <v>479</v>
      </c>
      <c r="C2" s="344" t="s">
        <v>480</v>
      </c>
      <c r="D2" s="344" t="s">
        <v>479</v>
      </c>
      <c r="E2" s="344" t="s">
        <v>480</v>
      </c>
      <c r="F2" s="344" t="s">
        <v>481</v>
      </c>
      <c r="G2" s="344" t="s">
        <v>490</v>
      </c>
      <c r="H2" s="344" t="s">
        <v>479</v>
      </c>
      <c r="I2" s="344" t="s">
        <v>480</v>
      </c>
      <c r="J2" s="344" t="s">
        <v>481</v>
      </c>
      <c r="K2" s="344" t="s">
        <v>494</v>
      </c>
      <c r="Q2" s="347" t="s">
        <v>486</v>
      </c>
      <c r="R2" s="29">
        <f>450/1.15</f>
        <v>391.304347826087</v>
      </c>
    </row>
    <row r="3" spans="1:18" x14ac:dyDescent="0.25">
      <c r="A3" s="344" t="s">
        <v>449</v>
      </c>
      <c r="B3" s="344" t="s">
        <v>131</v>
      </c>
      <c r="C3" s="344" t="s">
        <v>482</v>
      </c>
      <c r="D3" s="344" t="s">
        <v>131</v>
      </c>
      <c r="E3" s="344" t="s">
        <v>482</v>
      </c>
      <c r="F3" s="344" t="s">
        <v>483</v>
      </c>
      <c r="G3" s="344" t="s">
        <v>484</v>
      </c>
      <c r="H3" s="344" t="s">
        <v>131</v>
      </c>
      <c r="I3" s="344" t="s">
        <v>482</v>
      </c>
      <c r="J3" s="344" t="s">
        <v>483</v>
      </c>
      <c r="K3" s="344" t="s">
        <v>484</v>
      </c>
      <c r="Q3" s="347" t="s">
        <v>487</v>
      </c>
      <c r="R3" s="30">
        <f>220</f>
        <v>220</v>
      </c>
    </row>
    <row r="4" spans="1:18" x14ac:dyDescent="0.25">
      <c r="A4" s="348">
        <f>'CCCC-Trave'!AG8</f>
        <v>0</v>
      </c>
      <c r="B4" s="30">
        <v>6</v>
      </c>
      <c r="C4" s="30">
        <v>2</v>
      </c>
      <c r="D4" s="30">
        <v>12</v>
      </c>
      <c r="E4" s="30">
        <v>1</v>
      </c>
      <c r="F4" s="345">
        <f>PI()*B4^2/4*C4+PI()*D4^2/4*E4</f>
        <v>169.64600329384882</v>
      </c>
      <c r="G4" s="346">
        <f>((F4*0.9*$R$2*$R$5)/1000^2)*2</f>
        <v>22.703060788628992</v>
      </c>
      <c r="H4" s="30">
        <v>12</v>
      </c>
      <c r="I4" s="30">
        <v>2</v>
      </c>
      <c r="J4" s="345">
        <f>PI()*H4^2/4*I4</f>
        <v>226.1946710584651</v>
      </c>
      <c r="K4" s="346">
        <f>-((J4*0.9*$R$2*$R$5)/1000^2)*2</f>
        <v>-30.270747718171986</v>
      </c>
      <c r="Q4" s="347" t="s">
        <v>488</v>
      </c>
      <c r="R4" s="30">
        <v>30</v>
      </c>
    </row>
    <row r="5" spans="1:18" x14ac:dyDescent="0.25">
      <c r="A5" s="348">
        <f>'CCCC-Trave'!AG9</f>
        <v>0.5</v>
      </c>
      <c r="B5" s="30">
        <v>6</v>
      </c>
      <c r="C5" s="30">
        <v>2</v>
      </c>
      <c r="D5" s="30">
        <v>12</v>
      </c>
      <c r="E5" s="30">
        <v>1</v>
      </c>
      <c r="F5" s="345">
        <f t="shared" ref="F5:F9" si="0">PI()*B5^2/4*C5+PI()*D5^2/4*E5</f>
        <v>169.64600329384882</v>
      </c>
      <c r="G5" s="346">
        <f>((F5*0.9*$R$2*$R$5)/1000^2)*2</f>
        <v>22.703060788628992</v>
      </c>
      <c r="H5" s="30">
        <v>12</v>
      </c>
      <c r="I5" s="30">
        <v>2</v>
      </c>
      <c r="J5" s="345">
        <f t="shared" ref="J5:J43" si="1">PI()*H5^2/4*I5</f>
        <v>226.1946710584651</v>
      </c>
      <c r="K5" s="346">
        <f t="shared" ref="K5:K43" si="2">-((J5*0.9*$R$2*$R$5)/1000^2)*2</f>
        <v>-30.270747718171986</v>
      </c>
      <c r="Q5" s="347" t="s">
        <v>489</v>
      </c>
      <c r="R5" s="30">
        <f>R3-R4</f>
        <v>190</v>
      </c>
    </row>
    <row r="6" spans="1:18" x14ac:dyDescent="0.25">
      <c r="A6" s="348">
        <f>'CCCC-Trave'!AG10</f>
        <v>1</v>
      </c>
      <c r="B6" s="30">
        <v>6</v>
      </c>
      <c r="C6" s="30">
        <v>2</v>
      </c>
      <c r="D6" s="30">
        <v>12</v>
      </c>
      <c r="E6" s="30">
        <v>1</v>
      </c>
      <c r="F6" s="345">
        <f t="shared" si="0"/>
        <v>169.64600329384882</v>
      </c>
      <c r="G6" s="346">
        <f>((F6*0.9*$R$2*$R$5)/1000^2)*2</f>
        <v>22.703060788628992</v>
      </c>
      <c r="H6" s="30">
        <v>12</v>
      </c>
      <c r="I6" s="30">
        <v>2</v>
      </c>
      <c r="J6" s="345">
        <f t="shared" si="1"/>
        <v>226.1946710584651</v>
      </c>
      <c r="K6" s="346">
        <f t="shared" si="2"/>
        <v>-30.270747718171986</v>
      </c>
    </row>
    <row r="7" spans="1:18" x14ac:dyDescent="0.25">
      <c r="A7" s="348">
        <f>'CCCC-Trave'!AG11</f>
        <v>1.5</v>
      </c>
      <c r="B7" s="30">
        <v>6</v>
      </c>
      <c r="C7" s="30">
        <v>2</v>
      </c>
      <c r="D7" s="30">
        <v>12</v>
      </c>
      <c r="E7" s="30">
        <v>1</v>
      </c>
      <c r="F7" s="345">
        <f t="shared" si="0"/>
        <v>169.64600329384882</v>
      </c>
      <c r="G7" s="346">
        <f>((F7*0.9*$R$2*$R$5)/1000^2)*2</f>
        <v>22.703060788628992</v>
      </c>
      <c r="H7" s="30">
        <v>12</v>
      </c>
      <c r="I7" s="30">
        <v>2</v>
      </c>
      <c r="J7" s="345">
        <f t="shared" si="1"/>
        <v>226.1946710584651</v>
      </c>
      <c r="K7" s="346">
        <f t="shared" si="2"/>
        <v>-30.270747718171986</v>
      </c>
    </row>
    <row r="8" spans="1:18" x14ac:dyDescent="0.25">
      <c r="A8" s="348">
        <f>'CCCC-Trave'!AG12</f>
        <v>2</v>
      </c>
      <c r="B8" s="30">
        <v>6</v>
      </c>
      <c r="C8" s="30">
        <v>2</v>
      </c>
      <c r="D8" s="30">
        <v>12</v>
      </c>
      <c r="E8" s="30">
        <v>1</v>
      </c>
      <c r="F8" s="345">
        <f t="shared" si="0"/>
        <v>169.64600329384882</v>
      </c>
      <c r="G8" s="346">
        <f>((F8*0.9*$R$2*$R$5)/1000^2)*2</f>
        <v>22.703060788628992</v>
      </c>
      <c r="H8" s="30">
        <v>12</v>
      </c>
      <c r="I8" s="30">
        <v>2</v>
      </c>
      <c r="J8" s="345">
        <f t="shared" si="1"/>
        <v>226.1946710584651</v>
      </c>
      <c r="K8" s="346">
        <f t="shared" si="2"/>
        <v>-30.270747718171986</v>
      </c>
    </row>
    <row r="9" spans="1:18" x14ac:dyDescent="0.25">
      <c r="A9" s="348">
        <f>'CCCC-Trave'!AG13</f>
        <v>2.5</v>
      </c>
      <c r="B9" s="30">
        <v>6</v>
      </c>
      <c r="C9" s="30">
        <v>2</v>
      </c>
      <c r="D9" s="30">
        <v>12</v>
      </c>
      <c r="E9" s="30">
        <v>1</v>
      </c>
      <c r="F9" s="345">
        <f t="shared" si="0"/>
        <v>169.64600329384882</v>
      </c>
      <c r="G9" s="346">
        <f>((F9*0.9*$R$2*$R$5)/1000^2)*2</f>
        <v>22.703060788628992</v>
      </c>
      <c r="H9" s="30">
        <v>12</v>
      </c>
      <c r="I9" s="30">
        <v>2</v>
      </c>
      <c r="J9" s="345">
        <f t="shared" si="1"/>
        <v>226.1946710584651</v>
      </c>
      <c r="K9" s="346">
        <f t="shared" si="2"/>
        <v>-30.270747718171986</v>
      </c>
    </row>
    <row r="10" spans="1:18" x14ac:dyDescent="0.25">
      <c r="A10" s="348">
        <f>'CCCC-Trave'!AG14</f>
        <v>3</v>
      </c>
      <c r="B10" s="30">
        <v>6</v>
      </c>
      <c r="C10" s="30">
        <v>2</v>
      </c>
      <c r="D10" s="30">
        <v>12</v>
      </c>
      <c r="E10" s="30">
        <v>1</v>
      </c>
      <c r="F10" s="345">
        <f t="shared" ref="F10:F31" si="3">PI()*B10^2/4*C10+PI()*D10^2/4*E10</f>
        <v>169.64600329384882</v>
      </c>
      <c r="G10" s="346">
        <f>((F10*0.9*$R$2*$R$5)/1000^2)*2</f>
        <v>22.703060788628992</v>
      </c>
      <c r="H10" s="30">
        <v>12</v>
      </c>
      <c r="I10" s="30">
        <v>2</v>
      </c>
      <c r="J10" s="345">
        <f t="shared" si="1"/>
        <v>226.1946710584651</v>
      </c>
      <c r="K10" s="346">
        <f t="shared" si="2"/>
        <v>-30.270747718171986</v>
      </c>
    </row>
    <row r="11" spans="1:18" x14ac:dyDescent="0.25">
      <c r="A11" s="348">
        <f>'CCCC-Trave'!AG15</f>
        <v>3.5</v>
      </c>
      <c r="B11" s="30">
        <v>6</v>
      </c>
      <c r="C11" s="30">
        <v>2</v>
      </c>
      <c r="D11" s="30">
        <v>12</v>
      </c>
      <c r="E11" s="30">
        <v>1</v>
      </c>
      <c r="F11" s="345">
        <f t="shared" si="3"/>
        <v>169.64600329384882</v>
      </c>
      <c r="G11" s="346">
        <f>((F11*0.9*$R$2*$R$5)/1000^2)*2</f>
        <v>22.703060788628992</v>
      </c>
      <c r="H11" s="30">
        <v>12</v>
      </c>
      <c r="I11" s="30">
        <v>2</v>
      </c>
      <c r="J11" s="345">
        <f t="shared" si="1"/>
        <v>226.1946710584651</v>
      </c>
      <c r="K11" s="346">
        <f t="shared" si="2"/>
        <v>-30.270747718171986</v>
      </c>
    </row>
    <row r="12" spans="1:18" x14ac:dyDescent="0.25">
      <c r="A12" s="348">
        <f>'CCCC-Trave'!AG16</f>
        <v>4</v>
      </c>
      <c r="B12" s="30">
        <v>6</v>
      </c>
      <c r="C12" s="30">
        <v>2</v>
      </c>
      <c r="D12" s="30">
        <v>12</v>
      </c>
      <c r="E12" s="30">
        <v>1</v>
      </c>
      <c r="F12" s="345">
        <f t="shared" si="3"/>
        <v>169.64600329384882</v>
      </c>
      <c r="G12" s="346">
        <f>((F12*0.9*$R$2*$R$5)/1000^2)*2</f>
        <v>22.703060788628992</v>
      </c>
      <c r="H12" s="30">
        <v>12</v>
      </c>
      <c r="I12" s="30">
        <v>2</v>
      </c>
      <c r="J12" s="345">
        <f t="shared" si="1"/>
        <v>226.1946710584651</v>
      </c>
      <c r="K12" s="346">
        <f t="shared" si="2"/>
        <v>-30.270747718171986</v>
      </c>
    </row>
    <row r="13" spans="1:18" x14ac:dyDescent="0.25">
      <c r="A13" s="348">
        <f>'CCCC-Trave'!AG17</f>
        <v>4</v>
      </c>
      <c r="B13" s="30">
        <v>6</v>
      </c>
      <c r="C13" s="30">
        <v>2</v>
      </c>
      <c r="D13" s="30">
        <v>12</v>
      </c>
      <c r="E13" s="30">
        <v>1</v>
      </c>
      <c r="F13" s="345">
        <f t="shared" si="3"/>
        <v>169.64600329384882</v>
      </c>
      <c r="G13" s="346">
        <f>((F13*0.9*$R$2*$R$5)/1000^2)*2</f>
        <v>22.703060788628992</v>
      </c>
      <c r="H13" s="30">
        <v>12</v>
      </c>
      <c r="I13" s="30">
        <v>2</v>
      </c>
      <c r="J13" s="345">
        <f t="shared" si="1"/>
        <v>226.1946710584651</v>
      </c>
      <c r="K13" s="346">
        <f t="shared" si="2"/>
        <v>-30.270747718171986</v>
      </c>
    </row>
    <row r="14" spans="1:18" x14ac:dyDescent="0.25">
      <c r="A14" s="348">
        <f>'CCCC-Trave'!AG18</f>
        <v>4.5</v>
      </c>
      <c r="B14" s="30">
        <v>6</v>
      </c>
      <c r="C14" s="30">
        <v>2</v>
      </c>
      <c r="D14" s="30">
        <v>12</v>
      </c>
      <c r="E14" s="30">
        <v>1</v>
      </c>
      <c r="F14" s="345">
        <f t="shared" si="3"/>
        <v>169.64600329384882</v>
      </c>
      <c r="G14" s="346">
        <f>((F14*0.9*$R$2*$R$5)/1000^2)*2</f>
        <v>22.703060788628992</v>
      </c>
      <c r="H14" s="30">
        <v>12</v>
      </c>
      <c r="I14" s="30">
        <v>2</v>
      </c>
      <c r="J14" s="345">
        <f t="shared" si="1"/>
        <v>226.1946710584651</v>
      </c>
      <c r="K14" s="346">
        <f t="shared" si="2"/>
        <v>-30.270747718171986</v>
      </c>
    </row>
    <row r="15" spans="1:18" x14ac:dyDescent="0.25">
      <c r="A15" s="348">
        <f>'CCCC-Trave'!AG19</f>
        <v>5</v>
      </c>
      <c r="B15" s="30">
        <v>6</v>
      </c>
      <c r="C15" s="30">
        <v>2</v>
      </c>
      <c r="D15" s="30">
        <v>12</v>
      </c>
      <c r="E15" s="30">
        <v>1</v>
      </c>
      <c r="F15" s="345">
        <f t="shared" si="3"/>
        <v>169.64600329384882</v>
      </c>
      <c r="G15" s="346">
        <f>((F15*0.9*$R$2*$R$5)/1000^2)*2</f>
        <v>22.703060788628992</v>
      </c>
      <c r="H15" s="30">
        <v>12</v>
      </c>
      <c r="I15" s="30">
        <v>2</v>
      </c>
      <c r="J15" s="345">
        <f t="shared" si="1"/>
        <v>226.1946710584651</v>
      </c>
      <c r="K15" s="346">
        <f t="shared" si="2"/>
        <v>-30.270747718171986</v>
      </c>
    </row>
    <row r="16" spans="1:18" x14ac:dyDescent="0.25">
      <c r="A16" s="348">
        <f>'CCCC-Trave'!AG20</f>
        <v>5.5</v>
      </c>
      <c r="B16" s="30">
        <v>6</v>
      </c>
      <c r="C16" s="30">
        <v>2</v>
      </c>
      <c r="D16" s="30">
        <v>12</v>
      </c>
      <c r="E16" s="30">
        <v>1</v>
      </c>
      <c r="F16" s="345">
        <f t="shared" si="3"/>
        <v>169.64600329384882</v>
      </c>
      <c r="G16" s="346">
        <f>((F16*0.9*$R$2*$R$5)/1000^2)*2</f>
        <v>22.703060788628992</v>
      </c>
      <c r="H16" s="30">
        <v>12</v>
      </c>
      <c r="I16" s="30">
        <v>2</v>
      </c>
      <c r="J16" s="345">
        <f t="shared" si="1"/>
        <v>226.1946710584651</v>
      </c>
      <c r="K16" s="346">
        <f t="shared" si="2"/>
        <v>-30.270747718171986</v>
      </c>
    </row>
    <row r="17" spans="1:11" x14ac:dyDescent="0.25">
      <c r="A17" s="348">
        <f>'CCCC-Trave'!AG21</f>
        <v>6</v>
      </c>
      <c r="B17" s="30">
        <v>6</v>
      </c>
      <c r="C17" s="30">
        <v>2</v>
      </c>
      <c r="D17" s="30">
        <v>12</v>
      </c>
      <c r="E17" s="30">
        <v>1</v>
      </c>
      <c r="F17" s="345">
        <f t="shared" si="3"/>
        <v>169.64600329384882</v>
      </c>
      <c r="G17" s="346">
        <f>((F17*0.9*$R$2*$R$5)/1000^2)*2</f>
        <v>22.703060788628992</v>
      </c>
      <c r="H17" s="30">
        <v>12</v>
      </c>
      <c r="I17" s="30">
        <v>2</v>
      </c>
      <c r="J17" s="345">
        <f t="shared" si="1"/>
        <v>226.1946710584651</v>
      </c>
      <c r="K17" s="346">
        <f t="shared" si="2"/>
        <v>-30.270747718171986</v>
      </c>
    </row>
    <row r="18" spans="1:11" x14ac:dyDescent="0.25">
      <c r="A18" s="348">
        <f>'CCCC-Trave'!AG22</f>
        <v>6.5</v>
      </c>
      <c r="B18" s="30">
        <v>6</v>
      </c>
      <c r="C18" s="30">
        <v>2</v>
      </c>
      <c r="D18" s="30">
        <v>12</v>
      </c>
      <c r="E18" s="30">
        <v>1</v>
      </c>
      <c r="F18" s="345">
        <f t="shared" si="3"/>
        <v>169.64600329384882</v>
      </c>
      <c r="G18" s="346">
        <f>((F18*0.9*$R$2*$R$5)/1000^2)*2</f>
        <v>22.703060788628992</v>
      </c>
      <c r="H18" s="30">
        <v>12</v>
      </c>
      <c r="I18" s="30">
        <v>2</v>
      </c>
      <c r="J18" s="345">
        <f t="shared" si="1"/>
        <v>226.1946710584651</v>
      </c>
      <c r="K18" s="346">
        <f t="shared" si="2"/>
        <v>-30.270747718171986</v>
      </c>
    </row>
    <row r="19" spans="1:11" x14ac:dyDescent="0.25">
      <c r="A19" s="348">
        <f>'CCCC-Trave'!AG23</f>
        <v>7</v>
      </c>
      <c r="B19" s="30">
        <v>6</v>
      </c>
      <c r="C19" s="30">
        <v>2</v>
      </c>
      <c r="D19" s="30">
        <v>12</v>
      </c>
      <c r="E19" s="30">
        <v>1</v>
      </c>
      <c r="F19" s="345">
        <f t="shared" si="3"/>
        <v>169.64600329384882</v>
      </c>
      <c r="G19" s="346">
        <f>((F19*0.9*$R$2*$R$5)/1000^2)*2</f>
        <v>22.703060788628992</v>
      </c>
      <c r="H19" s="30">
        <v>12</v>
      </c>
      <c r="I19" s="30">
        <v>2</v>
      </c>
      <c r="J19" s="345">
        <f t="shared" si="1"/>
        <v>226.1946710584651</v>
      </c>
      <c r="K19" s="346">
        <f t="shared" si="2"/>
        <v>-30.270747718171986</v>
      </c>
    </row>
    <row r="20" spans="1:11" x14ac:dyDescent="0.25">
      <c r="A20" s="348">
        <f>'CCCC-Trave'!AG24</f>
        <v>7.5</v>
      </c>
      <c r="B20" s="30">
        <v>6</v>
      </c>
      <c r="C20" s="30">
        <v>2</v>
      </c>
      <c r="D20" s="30">
        <v>12</v>
      </c>
      <c r="E20" s="30">
        <v>1</v>
      </c>
      <c r="F20" s="345">
        <f t="shared" si="3"/>
        <v>169.64600329384882</v>
      </c>
      <c r="G20" s="346">
        <f>((F20*0.9*$R$2*$R$5)/1000^2)*2</f>
        <v>22.703060788628992</v>
      </c>
      <c r="H20" s="30">
        <v>12</v>
      </c>
      <c r="I20" s="30">
        <v>2</v>
      </c>
      <c r="J20" s="345">
        <f t="shared" si="1"/>
        <v>226.1946710584651</v>
      </c>
      <c r="K20" s="346">
        <f t="shared" si="2"/>
        <v>-30.270747718171986</v>
      </c>
    </row>
    <row r="21" spans="1:11" x14ac:dyDescent="0.25">
      <c r="A21" s="348">
        <f>'CCCC-Trave'!AG25</f>
        <v>8</v>
      </c>
      <c r="B21" s="30">
        <v>6</v>
      </c>
      <c r="C21" s="30">
        <v>2</v>
      </c>
      <c r="D21" s="30">
        <v>12</v>
      </c>
      <c r="E21" s="30">
        <v>1</v>
      </c>
      <c r="F21" s="345">
        <f t="shared" si="3"/>
        <v>169.64600329384882</v>
      </c>
      <c r="G21" s="346">
        <f>((F21*0.9*$R$2*$R$5)/1000^2)*2</f>
        <v>22.703060788628992</v>
      </c>
      <c r="H21" s="30">
        <v>12</v>
      </c>
      <c r="I21" s="30">
        <v>2</v>
      </c>
      <c r="J21" s="345">
        <f t="shared" si="1"/>
        <v>226.1946710584651</v>
      </c>
      <c r="K21" s="346">
        <f t="shared" si="2"/>
        <v>-30.270747718171986</v>
      </c>
    </row>
    <row r="22" spans="1:11" x14ac:dyDescent="0.25">
      <c r="A22" s="348">
        <f>'CCCC-Trave'!AG26</f>
        <v>8</v>
      </c>
      <c r="B22" s="30">
        <v>6</v>
      </c>
      <c r="C22" s="30">
        <v>2</v>
      </c>
      <c r="D22" s="30">
        <v>12</v>
      </c>
      <c r="E22" s="30">
        <v>1</v>
      </c>
      <c r="F22" s="345">
        <f t="shared" si="3"/>
        <v>169.64600329384882</v>
      </c>
      <c r="G22" s="346">
        <f>((F22*0.9*$R$2*$R$5)/1000^2)*2</f>
        <v>22.703060788628992</v>
      </c>
      <c r="H22" s="30">
        <v>12</v>
      </c>
      <c r="I22" s="30">
        <v>2</v>
      </c>
      <c r="J22" s="345">
        <f t="shared" si="1"/>
        <v>226.1946710584651</v>
      </c>
      <c r="K22" s="346">
        <f t="shared" si="2"/>
        <v>-30.270747718171986</v>
      </c>
    </row>
    <row r="23" spans="1:11" x14ac:dyDescent="0.25">
      <c r="A23" s="348">
        <f>'CCCC-Trave'!AG27</f>
        <v>8.6875</v>
      </c>
      <c r="B23" s="30">
        <v>6</v>
      </c>
      <c r="C23" s="30">
        <v>2</v>
      </c>
      <c r="D23" s="30">
        <v>12</v>
      </c>
      <c r="E23" s="30">
        <v>1</v>
      </c>
      <c r="F23" s="345">
        <f t="shared" si="3"/>
        <v>169.64600329384882</v>
      </c>
      <c r="G23" s="346">
        <f>((F23*0.9*$R$2*$R$5)/1000^2)*2</f>
        <v>22.703060788628992</v>
      </c>
      <c r="H23" s="30">
        <v>12</v>
      </c>
      <c r="I23" s="30">
        <v>2</v>
      </c>
      <c r="J23" s="345">
        <f t="shared" si="1"/>
        <v>226.1946710584651</v>
      </c>
      <c r="K23" s="346">
        <f t="shared" si="2"/>
        <v>-30.270747718171986</v>
      </c>
    </row>
    <row r="24" spans="1:11" x14ac:dyDescent="0.25">
      <c r="A24" s="348">
        <f>'CCCC-Trave'!AG28</f>
        <v>9.375</v>
      </c>
      <c r="B24" s="30">
        <v>6</v>
      </c>
      <c r="C24" s="30">
        <v>2</v>
      </c>
      <c r="D24" s="30">
        <v>12</v>
      </c>
      <c r="E24" s="30">
        <v>2</v>
      </c>
      <c r="F24" s="345">
        <f t="shared" si="3"/>
        <v>282.74333882308139</v>
      </c>
      <c r="G24" s="346">
        <f>((F24*0.9*$R$2*$R$5)/1000^2)*2</f>
        <v>37.83843464771499</v>
      </c>
      <c r="H24" s="30">
        <v>12</v>
      </c>
      <c r="I24" s="30">
        <v>2</v>
      </c>
      <c r="J24" s="345">
        <f t="shared" si="1"/>
        <v>226.1946710584651</v>
      </c>
      <c r="K24" s="346">
        <f t="shared" si="2"/>
        <v>-30.270747718171986</v>
      </c>
    </row>
    <row r="25" spans="1:11" x14ac:dyDescent="0.25">
      <c r="A25" s="348">
        <f>'CCCC-Trave'!AG29</f>
        <v>10.0625</v>
      </c>
      <c r="B25" s="30">
        <v>6</v>
      </c>
      <c r="C25" s="30">
        <v>2</v>
      </c>
      <c r="D25" s="30">
        <v>12</v>
      </c>
      <c r="E25" s="30">
        <v>2</v>
      </c>
      <c r="F25" s="345">
        <f t="shared" si="3"/>
        <v>282.74333882308139</v>
      </c>
      <c r="G25" s="346">
        <f>((F25*0.9*$R$2*$R$5)/1000^2)*2</f>
        <v>37.83843464771499</v>
      </c>
      <c r="H25" s="30">
        <v>12</v>
      </c>
      <c r="I25" s="30">
        <v>2</v>
      </c>
      <c r="J25" s="345">
        <f t="shared" si="1"/>
        <v>226.1946710584651</v>
      </c>
      <c r="K25" s="346">
        <f t="shared" si="2"/>
        <v>-30.270747718171986</v>
      </c>
    </row>
    <row r="26" spans="1:11" x14ac:dyDescent="0.25">
      <c r="A26" s="348">
        <f>'CCCC-Trave'!AG30</f>
        <v>10.75</v>
      </c>
      <c r="B26" s="30">
        <v>6</v>
      </c>
      <c r="C26" s="30">
        <v>2</v>
      </c>
      <c r="D26" s="30">
        <v>12</v>
      </c>
      <c r="E26" s="30">
        <v>2</v>
      </c>
      <c r="F26" s="345">
        <f t="shared" si="3"/>
        <v>282.74333882308139</v>
      </c>
      <c r="G26" s="346">
        <f>((F26*0.9*$R$2*$R$5)/1000^2)*2</f>
        <v>37.83843464771499</v>
      </c>
      <c r="H26" s="30">
        <v>12</v>
      </c>
      <c r="I26" s="30">
        <v>2</v>
      </c>
      <c r="J26" s="345">
        <f t="shared" si="1"/>
        <v>226.1946710584651</v>
      </c>
      <c r="K26" s="346">
        <f t="shared" si="2"/>
        <v>-30.270747718171986</v>
      </c>
    </row>
    <row r="27" spans="1:11" x14ac:dyDescent="0.25">
      <c r="A27" s="348">
        <f>'CCCC-Trave'!AG31</f>
        <v>11.4375</v>
      </c>
      <c r="B27" s="30">
        <v>6</v>
      </c>
      <c r="C27" s="30">
        <v>2</v>
      </c>
      <c r="D27" s="30">
        <v>12</v>
      </c>
      <c r="E27" s="30">
        <v>2</v>
      </c>
      <c r="F27" s="345">
        <f t="shared" si="3"/>
        <v>282.74333882308139</v>
      </c>
      <c r="G27" s="346">
        <f>((F27*0.9*$R$2*$R$5)/1000^2)*2</f>
        <v>37.83843464771499</v>
      </c>
      <c r="H27" s="30">
        <v>12</v>
      </c>
      <c r="I27" s="30">
        <v>2</v>
      </c>
      <c r="J27" s="345">
        <f t="shared" si="1"/>
        <v>226.1946710584651</v>
      </c>
      <c r="K27" s="346">
        <f t="shared" si="2"/>
        <v>-30.270747718171986</v>
      </c>
    </row>
    <row r="28" spans="1:11" x14ac:dyDescent="0.25">
      <c r="A28" s="348">
        <f>'CCCC-Trave'!AG32</f>
        <v>12.125</v>
      </c>
      <c r="B28" s="30">
        <v>6</v>
      </c>
      <c r="C28" s="30">
        <v>2</v>
      </c>
      <c r="D28" s="30">
        <v>12</v>
      </c>
      <c r="E28" s="30">
        <v>2</v>
      </c>
      <c r="F28" s="345">
        <f t="shared" si="3"/>
        <v>282.74333882308139</v>
      </c>
      <c r="G28" s="346">
        <f>((F28*0.9*$R$2*$R$5)/1000^2)*2</f>
        <v>37.83843464771499</v>
      </c>
      <c r="H28" s="30">
        <v>12</v>
      </c>
      <c r="I28" s="30">
        <v>3</v>
      </c>
      <c r="J28" s="345">
        <f t="shared" si="1"/>
        <v>339.29200658769764</v>
      </c>
      <c r="K28" s="346">
        <f t="shared" si="2"/>
        <v>-45.406121577257984</v>
      </c>
    </row>
    <row r="29" spans="1:11" x14ac:dyDescent="0.25">
      <c r="A29" s="348">
        <f>'CCCC-Trave'!AG33</f>
        <v>12.8125</v>
      </c>
      <c r="B29" s="30">
        <v>6</v>
      </c>
      <c r="C29" s="30">
        <v>2</v>
      </c>
      <c r="D29" s="30">
        <v>12</v>
      </c>
      <c r="E29" s="30">
        <v>1</v>
      </c>
      <c r="F29" s="345">
        <f t="shared" si="3"/>
        <v>169.64600329384882</v>
      </c>
      <c r="G29" s="346">
        <f>((F29*0.9*$R$2*$R$5)/1000^2)*2</f>
        <v>22.703060788628992</v>
      </c>
      <c r="H29" s="30">
        <v>12</v>
      </c>
      <c r="I29" s="30">
        <v>3</v>
      </c>
      <c r="J29" s="345">
        <f t="shared" si="1"/>
        <v>339.29200658769764</v>
      </c>
      <c r="K29" s="346">
        <f t="shared" si="2"/>
        <v>-45.406121577257984</v>
      </c>
    </row>
    <row r="30" spans="1:11" x14ac:dyDescent="0.25">
      <c r="A30" s="348">
        <f>'CCCC-Trave'!AG34</f>
        <v>13.5</v>
      </c>
      <c r="B30" s="30">
        <v>6</v>
      </c>
      <c r="C30" s="30">
        <v>2</v>
      </c>
      <c r="D30" s="30">
        <v>12</v>
      </c>
      <c r="E30" s="30">
        <v>1</v>
      </c>
      <c r="F30" s="345">
        <f t="shared" si="3"/>
        <v>169.64600329384882</v>
      </c>
      <c r="G30" s="346">
        <f>((F30*0.9*$R$2*$R$5)/1000^2)*2</f>
        <v>22.703060788628992</v>
      </c>
      <c r="H30" s="30">
        <v>12</v>
      </c>
      <c r="I30" s="30">
        <v>3</v>
      </c>
      <c r="J30" s="345">
        <f t="shared" si="1"/>
        <v>339.29200658769764</v>
      </c>
      <c r="K30" s="346">
        <f t="shared" si="2"/>
        <v>-45.406121577257984</v>
      </c>
    </row>
    <row r="31" spans="1:11" x14ac:dyDescent="0.25">
      <c r="A31" s="348">
        <f>'CCCC-Trave'!AG35</f>
        <v>13.5</v>
      </c>
      <c r="B31" s="30">
        <v>6</v>
      </c>
      <c r="C31" s="30">
        <v>2</v>
      </c>
      <c r="D31" s="30">
        <v>12</v>
      </c>
      <c r="E31" s="30">
        <v>1</v>
      </c>
      <c r="F31" s="345">
        <f t="shared" si="3"/>
        <v>169.64600329384882</v>
      </c>
      <c r="G31" s="346">
        <f>((F31*0.9*$R$2*$R$5)/1000^2)*2</f>
        <v>22.703060788628992</v>
      </c>
      <c r="H31" s="30">
        <v>12</v>
      </c>
      <c r="I31" s="30">
        <v>3</v>
      </c>
      <c r="J31" s="345">
        <f t="shared" si="1"/>
        <v>339.29200658769764</v>
      </c>
      <c r="K31" s="346">
        <f t="shared" si="2"/>
        <v>-45.406121577257984</v>
      </c>
    </row>
    <row r="32" spans="1:11" x14ac:dyDescent="0.25">
      <c r="A32" s="348">
        <f>'CCCC-Trave'!AG36</f>
        <v>14</v>
      </c>
      <c r="B32" s="30">
        <v>6</v>
      </c>
      <c r="C32" s="30">
        <v>2</v>
      </c>
      <c r="D32" s="30">
        <v>12</v>
      </c>
      <c r="E32" s="30">
        <v>1</v>
      </c>
      <c r="F32" s="345">
        <f>PI()*B32^2/4*C32+PI()*D32^2/4*E32</f>
        <v>169.64600329384882</v>
      </c>
      <c r="G32" s="346">
        <f>((F32*0.9*$R$2*$R$5)/1000^2)*2</f>
        <v>22.703060788628992</v>
      </c>
      <c r="H32" s="30">
        <v>12</v>
      </c>
      <c r="I32" s="30">
        <v>3</v>
      </c>
      <c r="J32" s="345">
        <f t="shared" si="1"/>
        <v>339.29200658769764</v>
      </c>
      <c r="K32" s="346">
        <f t="shared" si="2"/>
        <v>-45.406121577257984</v>
      </c>
    </row>
    <row r="33" spans="1:11" x14ac:dyDescent="0.25">
      <c r="A33" s="348">
        <f>'CCCC-Trave'!AG37</f>
        <v>14.5</v>
      </c>
      <c r="B33" s="30">
        <v>6</v>
      </c>
      <c r="C33" s="30">
        <v>2</v>
      </c>
      <c r="D33" s="30">
        <v>12</v>
      </c>
      <c r="E33" s="30">
        <v>1</v>
      </c>
      <c r="F33" s="345">
        <f>PI()*B33^2/4*C33+PI()*D33^2/4*E33</f>
        <v>169.64600329384882</v>
      </c>
      <c r="G33" s="346">
        <f>((F33*0.9*$R$2*$R$5)/1000^2)*2</f>
        <v>22.703060788628992</v>
      </c>
      <c r="H33" s="30">
        <v>12</v>
      </c>
      <c r="I33" s="30">
        <v>3</v>
      </c>
      <c r="J33" s="345">
        <f t="shared" si="1"/>
        <v>339.29200658769764</v>
      </c>
      <c r="K33" s="346">
        <f t="shared" si="2"/>
        <v>-45.406121577257984</v>
      </c>
    </row>
    <row r="34" spans="1:11" x14ac:dyDescent="0.25">
      <c r="A34" s="348">
        <f>'CCCC-Trave'!AG38</f>
        <v>15</v>
      </c>
      <c r="B34" s="30">
        <v>6</v>
      </c>
      <c r="C34" s="30">
        <v>2</v>
      </c>
      <c r="D34" s="30">
        <v>12</v>
      </c>
      <c r="E34" s="30">
        <v>1</v>
      </c>
      <c r="F34" s="345">
        <f t="shared" ref="F34:F43" si="4">PI()*B34^2/4*C34+PI()*D34^2/4*E34</f>
        <v>169.64600329384882</v>
      </c>
      <c r="G34" s="346">
        <f>((F34*0.9*$R$2*$R$5)/1000^2)*2</f>
        <v>22.703060788628992</v>
      </c>
      <c r="H34" s="30">
        <v>12</v>
      </c>
      <c r="I34" s="30">
        <v>3</v>
      </c>
      <c r="J34" s="345">
        <f t="shared" si="1"/>
        <v>339.29200658769764</v>
      </c>
      <c r="K34" s="346">
        <f t="shared" si="2"/>
        <v>-45.406121577257984</v>
      </c>
    </row>
    <row r="35" spans="1:11" x14ac:dyDescent="0.25">
      <c r="A35" s="348">
        <f>'CCCC-Trave'!AG39</f>
        <v>15.5</v>
      </c>
      <c r="B35" s="30">
        <v>6</v>
      </c>
      <c r="C35" s="30">
        <v>2</v>
      </c>
      <c r="D35" s="30">
        <v>12</v>
      </c>
      <c r="E35" s="30">
        <v>1</v>
      </c>
      <c r="F35" s="345">
        <f t="shared" si="4"/>
        <v>169.64600329384882</v>
      </c>
      <c r="G35" s="346">
        <f>((F35*0.9*$R$2*$R$5)/1000^2)*2</f>
        <v>22.703060788628992</v>
      </c>
      <c r="H35" s="30">
        <v>12</v>
      </c>
      <c r="I35" s="30">
        <v>2</v>
      </c>
      <c r="J35" s="345">
        <f t="shared" si="1"/>
        <v>226.1946710584651</v>
      </c>
      <c r="K35" s="346">
        <f t="shared" si="2"/>
        <v>-30.270747718171986</v>
      </c>
    </row>
    <row r="36" spans="1:11" x14ac:dyDescent="0.25">
      <c r="A36" s="348">
        <f>'CCCC-Trave'!AG40</f>
        <v>16</v>
      </c>
      <c r="B36" s="30">
        <v>6</v>
      </c>
      <c r="C36" s="30">
        <v>2</v>
      </c>
      <c r="D36" s="30">
        <v>12</v>
      </c>
      <c r="E36" s="30">
        <v>1</v>
      </c>
      <c r="F36" s="345">
        <f t="shared" si="4"/>
        <v>169.64600329384882</v>
      </c>
      <c r="G36" s="346">
        <f>((F36*0.9*$R$2*$R$5)/1000^2)*2</f>
        <v>22.703060788628992</v>
      </c>
      <c r="H36" s="30">
        <v>12</v>
      </c>
      <c r="I36" s="30">
        <v>2</v>
      </c>
      <c r="J36" s="345">
        <f t="shared" si="1"/>
        <v>226.1946710584651</v>
      </c>
      <c r="K36" s="346">
        <f t="shared" si="2"/>
        <v>-30.270747718171986</v>
      </c>
    </row>
    <row r="37" spans="1:11" x14ac:dyDescent="0.25">
      <c r="A37" s="348">
        <f>'CCCC-Trave'!AG41</f>
        <v>16.5</v>
      </c>
      <c r="B37" s="30">
        <v>6</v>
      </c>
      <c r="C37" s="30">
        <v>2</v>
      </c>
      <c r="D37" s="30">
        <v>12</v>
      </c>
      <c r="E37" s="30">
        <v>1</v>
      </c>
      <c r="F37" s="345">
        <f t="shared" si="4"/>
        <v>169.64600329384882</v>
      </c>
      <c r="G37" s="346">
        <f>((F37*0.9*$R$2*$R$5)/1000^2)*2</f>
        <v>22.703060788628992</v>
      </c>
      <c r="H37" s="30">
        <v>12</v>
      </c>
      <c r="I37" s="30">
        <v>2</v>
      </c>
      <c r="J37" s="345">
        <f t="shared" si="1"/>
        <v>226.1946710584651</v>
      </c>
      <c r="K37" s="346">
        <f t="shared" si="2"/>
        <v>-30.270747718171986</v>
      </c>
    </row>
    <row r="38" spans="1:11" x14ac:dyDescent="0.25">
      <c r="A38" s="348">
        <f>'CCCC-Trave'!AG42</f>
        <v>17</v>
      </c>
      <c r="B38" s="30">
        <v>6</v>
      </c>
      <c r="C38" s="30">
        <v>2</v>
      </c>
      <c r="D38" s="30">
        <v>12</v>
      </c>
      <c r="E38" s="30">
        <v>1</v>
      </c>
      <c r="F38" s="345">
        <f t="shared" si="4"/>
        <v>169.64600329384882</v>
      </c>
      <c r="G38" s="346">
        <f>((F38*0.9*$R$2*$R$5)/1000^2)*2</f>
        <v>22.703060788628992</v>
      </c>
      <c r="H38" s="30">
        <v>12</v>
      </c>
      <c r="I38" s="30">
        <v>2</v>
      </c>
      <c r="J38" s="345">
        <f t="shared" si="1"/>
        <v>226.1946710584651</v>
      </c>
      <c r="K38" s="346">
        <f t="shared" si="2"/>
        <v>-30.270747718171986</v>
      </c>
    </row>
    <row r="39" spans="1:11" x14ac:dyDescent="0.25">
      <c r="A39" s="348">
        <f>'CCCC-Trave'!AG43</f>
        <v>17.5</v>
      </c>
      <c r="B39" s="30">
        <v>6</v>
      </c>
      <c r="C39" s="30">
        <v>2</v>
      </c>
      <c r="D39" s="30">
        <v>12</v>
      </c>
      <c r="E39" s="30">
        <v>1</v>
      </c>
      <c r="F39" s="345">
        <f t="shared" si="4"/>
        <v>169.64600329384882</v>
      </c>
      <c r="G39" s="346">
        <f>((F39*0.9*$R$2*$R$5)/1000^2)*2</f>
        <v>22.703060788628992</v>
      </c>
      <c r="H39" s="30">
        <v>12</v>
      </c>
      <c r="I39" s="30">
        <v>2</v>
      </c>
      <c r="J39" s="345">
        <f t="shared" si="1"/>
        <v>226.1946710584651</v>
      </c>
      <c r="K39" s="346">
        <f t="shared" si="2"/>
        <v>-30.270747718171986</v>
      </c>
    </row>
    <row r="40" spans="1:11" x14ac:dyDescent="0.25">
      <c r="A40" s="348">
        <f>'CCCC-Trave'!AG44</f>
        <v>17.5</v>
      </c>
      <c r="B40" s="30">
        <v>6</v>
      </c>
      <c r="C40" s="30">
        <v>2</v>
      </c>
      <c r="D40" s="30">
        <v>12</v>
      </c>
      <c r="E40" s="30">
        <v>1</v>
      </c>
      <c r="F40" s="345">
        <f t="shared" si="4"/>
        <v>169.64600329384882</v>
      </c>
      <c r="G40" s="346">
        <f>((F40*0.9*$R$2*$R$5)/1000^2)*2</f>
        <v>22.703060788628992</v>
      </c>
      <c r="H40" s="30">
        <v>12</v>
      </c>
      <c r="I40" s="30">
        <v>2</v>
      </c>
      <c r="J40" s="345">
        <f t="shared" si="1"/>
        <v>226.1946710584651</v>
      </c>
      <c r="K40" s="346">
        <f t="shared" si="2"/>
        <v>-30.270747718171986</v>
      </c>
    </row>
    <row r="41" spans="1:11" x14ac:dyDescent="0.25">
      <c r="A41" s="348">
        <f>'CCCC-Trave'!AG45</f>
        <v>17.5</v>
      </c>
      <c r="B41" s="30">
        <v>6</v>
      </c>
      <c r="C41" s="30">
        <v>2</v>
      </c>
      <c r="D41" s="30">
        <v>12</v>
      </c>
      <c r="E41" s="30">
        <v>1</v>
      </c>
      <c r="F41" s="345">
        <f t="shared" si="4"/>
        <v>169.64600329384882</v>
      </c>
      <c r="G41" s="346">
        <f>((F41*0.9*$R$2*$R$5)/1000^2)*2</f>
        <v>22.703060788628992</v>
      </c>
      <c r="H41" s="30">
        <v>12</v>
      </c>
      <c r="I41" s="30">
        <v>2</v>
      </c>
      <c r="J41" s="345">
        <f t="shared" si="1"/>
        <v>226.1946710584651</v>
      </c>
      <c r="K41" s="346">
        <f t="shared" si="2"/>
        <v>-30.270747718171986</v>
      </c>
    </row>
    <row r="42" spans="1:11" x14ac:dyDescent="0.25">
      <c r="A42" s="348">
        <f>'CCCC-Trave'!AG46</f>
        <v>17.5</v>
      </c>
      <c r="B42" s="30">
        <v>6</v>
      </c>
      <c r="C42" s="30">
        <v>2</v>
      </c>
      <c r="D42" s="30">
        <v>12</v>
      </c>
      <c r="E42" s="30">
        <v>1</v>
      </c>
      <c r="F42" s="345">
        <f t="shared" si="4"/>
        <v>169.64600329384882</v>
      </c>
      <c r="G42" s="346">
        <f>((F42*0.9*$R$2*$R$5)/1000^2)*2</f>
        <v>22.703060788628992</v>
      </c>
      <c r="H42" s="30">
        <v>12</v>
      </c>
      <c r="I42" s="30">
        <v>2</v>
      </c>
      <c r="J42" s="345">
        <f t="shared" si="1"/>
        <v>226.1946710584651</v>
      </c>
      <c r="K42" s="346">
        <f t="shared" si="2"/>
        <v>-30.270747718171986</v>
      </c>
    </row>
    <row r="43" spans="1:11" x14ac:dyDescent="0.25">
      <c r="A43" s="348">
        <f>'CCCC-Trave'!AG47</f>
        <v>17.5</v>
      </c>
      <c r="B43" s="30">
        <v>6</v>
      </c>
      <c r="C43" s="30">
        <v>2</v>
      </c>
      <c r="D43" s="30">
        <v>12</v>
      </c>
      <c r="E43" s="30">
        <v>1</v>
      </c>
      <c r="F43" s="345">
        <f t="shared" si="4"/>
        <v>169.64600329384882</v>
      </c>
      <c r="G43" s="346">
        <f>((F43*0.9*$R$2*$R$5)/1000^2)*2</f>
        <v>22.703060788628992</v>
      </c>
      <c r="H43" s="30">
        <v>12</v>
      </c>
      <c r="I43" s="30">
        <v>2</v>
      </c>
      <c r="J43" s="345">
        <f t="shared" si="1"/>
        <v>226.1946710584651</v>
      </c>
      <c r="K43" s="346">
        <f t="shared" si="2"/>
        <v>-30.270747718171986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4"/>
  <dimension ref="A1:AT100"/>
  <sheetViews>
    <sheetView zoomScale="70" zoomScaleNormal="70" workbookViewId="0">
      <selection activeCell="I21" sqref="I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4</v>
      </c>
      <c r="E4" s="14">
        <f>'CCCC-Trave'!E15</f>
        <v>4</v>
      </c>
      <c r="F4" s="14">
        <f>'CCCC-Trave'!F15</f>
        <v>5.5</v>
      </c>
      <c r="G4" s="14">
        <f>'CCCC-Trave'!G15</f>
        <v>4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42</v>
      </c>
      <c r="C7" s="14">
        <f>'CCCC-Trave'!C26</f>
        <v>0</v>
      </c>
      <c r="D7" s="14">
        <f>'CCCC-Trave'!D26</f>
        <v>14.349999999999998</v>
      </c>
      <c r="E7" s="14">
        <f>'CCCC-Trave'!E26</f>
        <v>14.349999999999998</v>
      </c>
      <c r="F7" s="14">
        <f>'CCCC-Trave'!F26</f>
        <v>14.349999999999998</v>
      </c>
      <c r="G7" s="14">
        <f>'CCCC-Trave'!G26</f>
        <v>14.349999999999998</v>
      </c>
      <c r="H7" s="14">
        <f>'CCCC-Trave'!H26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144">
        <f>-(D4/D18+E4/I18)/3</f>
        <v>-20000</v>
      </c>
      <c r="W16" s="192">
        <f>-E4/(6*I18)</f>
        <v>-5000</v>
      </c>
      <c r="X16" s="192">
        <v>0</v>
      </c>
      <c r="Y16" s="19"/>
      <c r="Z16" s="193">
        <f t="array" ref="Z16:AB18">MINVERSE(V16:X18)</f>
        <v>-5.3047313552526068E-5</v>
      </c>
      <c r="AA16" s="193">
        <v>1.2189254210104252E-5</v>
      </c>
      <c r="AB16" s="193">
        <v>-3.5284683239775461E-6</v>
      </c>
      <c r="AC16" s="19"/>
      <c r="AD16" s="19"/>
      <c r="AE16" s="194">
        <f>AB22</f>
        <v>-573999.99999999988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-5000</v>
      </c>
      <c r="W17" s="136">
        <f>-(E4/I18+F4/D21)/3</f>
        <v>-23750</v>
      </c>
      <c r="X17" s="136">
        <f>-F4/(6*D21)</f>
        <v>-6875</v>
      </c>
      <c r="Y17" s="2"/>
      <c r="Z17" s="123">
        <v>1.2189254210104252E-5</v>
      </c>
      <c r="AA17" s="123">
        <v>-4.8757016840417008E-5</v>
      </c>
      <c r="AB17" s="123">
        <v>1.4113873295910184E-5</v>
      </c>
      <c r="AC17" s="2"/>
      <c r="AD17" s="2"/>
      <c r="AE17" s="124">
        <f>AC22</f>
        <v>-1033087.8906249998</v>
      </c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-6875</v>
      </c>
      <c r="X18" s="136">
        <f>-(F4/D21+G4/I21)/3</f>
        <v>-23750</v>
      </c>
      <c r="Y18" s="2"/>
      <c r="Z18" s="123">
        <v>-3.5284683239775465E-6</v>
      </c>
      <c r="AA18" s="123">
        <v>1.4113873295910186E-5</v>
      </c>
      <c r="AB18" s="123">
        <v>-4.619085805934242E-5</v>
      </c>
      <c r="AC18" s="2"/>
      <c r="AD18" s="2"/>
      <c r="AE18" s="124">
        <f>AD22</f>
        <v>-1033087.8906249998</v>
      </c>
      <c r="AF18" s="2"/>
      <c r="AG18" s="2"/>
      <c r="AH18" s="123">
        <f>C4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10</v>
      </c>
      <c r="AJ19" s="2"/>
      <c r="AK19" s="8">
        <f>AK56</f>
        <v>4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4</v>
      </c>
      <c r="AL20" s="8">
        <f>AE59</f>
        <v>-21.501804956896564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21.501804956896549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8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28.792780172413796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-573999.99999999988</v>
      </c>
      <c r="AC22" s="124">
        <f>-E7*E4^3/(24*I18)-F7*F4^3/(24*D21)</f>
        <v>-1033087.8906249998</v>
      </c>
      <c r="AD22" s="124">
        <f>-F7*F4^3/(24*D21)-G7*G4^3/(24*I21)+(H7*H4^2/2)*G4/(6*I21)</f>
        <v>-1033087.8906249998</v>
      </c>
      <c r="AE22" s="2"/>
      <c r="AF22" s="2"/>
      <c r="AG22" s="2"/>
      <c r="AH22" s="2"/>
      <c r="AI22" s="2"/>
      <c r="AJ22" s="2"/>
      <c r="AK22" s="8">
        <f>AK21</f>
        <v>8</v>
      </c>
      <c r="AL22" s="8">
        <f>AE68</f>
        <v>-28.792780172413813</v>
      </c>
      <c r="AM22" s="2"/>
      <c r="AN22" s="22"/>
    </row>
    <row r="23" spans="1:46" x14ac:dyDescent="0.2">
      <c r="V23" s="24" t="s">
        <v>99</v>
      </c>
      <c r="W23" s="8">
        <v>35.163685344827577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13.5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10</v>
      </c>
      <c r="AJ24" s="2"/>
      <c r="AK24" s="8">
        <f>AK23</f>
        <v>13.5</v>
      </c>
      <c r="AL24" s="8">
        <f>AE77</f>
        <v>-35.163685344827599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4</v>
      </c>
      <c r="AI25" s="123">
        <f>AI24</f>
        <v>10</v>
      </c>
      <c r="AJ25" s="2"/>
      <c r="AK25" s="8">
        <f>AK59</f>
        <v>17.5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4</v>
      </c>
      <c r="AI26" s="123">
        <f>AI25+D7</f>
        <v>24.349999999999998</v>
      </c>
      <c r="AJ26" s="3"/>
      <c r="AK26" s="8">
        <f>AK25</f>
        <v>17.5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24.349999999999998</v>
      </c>
      <c r="AJ27" s="3"/>
      <c r="AK27" s="8">
        <f>AK60</f>
        <v>17.5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23.324548760775855</v>
      </c>
      <c r="X28" s="8">
        <f>(W21-Z21+D7*D4^2/2)/D4</f>
        <v>34.075451239224137</v>
      </c>
      <c r="Y28" s="8">
        <f>E7*E4-Z28</f>
        <v>26.877256196120683</v>
      </c>
      <c r="Z28" s="8">
        <f>(W22-W21+E7*E4^2/2)/E4</f>
        <v>30.522743803879308</v>
      </c>
      <c r="AA28" s="8">
        <f>F7*F4-AB28</f>
        <v>38.304153605015664</v>
      </c>
      <c r="AB28" s="8">
        <f>(W23-W22+F7*F4^2/2)/F4</f>
        <v>40.620846394984319</v>
      </c>
      <c r="AC28" s="8">
        <f>G7*G4-AD28</f>
        <v>37.490921336206888</v>
      </c>
      <c r="AD28" s="8">
        <f>(Z22-W23+G7*G4^2/2)/G4</f>
        <v>19.909078663793103</v>
      </c>
      <c r="AE28" s="8">
        <f>H7*H4</f>
        <v>0</v>
      </c>
      <c r="AF28" s="3"/>
      <c r="AG28" s="3"/>
      <c r="AH28" s="123">
        <f>AH24</f>
        <v>0</v>
      </c>
      <c r="AI28" s="123">
        <f>AI24</f>
        <v>10</v>
      </c>
      <c r="AJ28" s="3"/>
      <c r="AK28" s="8">
        <f>AK27</f>
        <v>17.5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4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23.324548760775855</v>
      </c>
      <c r="Y32" s="8">
        <f>X28+Y28</f>
        <v>60.95270743534482</v>
      </c>
      <c r="Z32" s="8">
        <f>Z28+AA28</f>
        <v>68.826897408894979</v>
      </c>
      <c r="AA32" s="8">
        <f>AB28+AC28</f>
        <v>78.111767731191208</v>
      </c>
      <c r="AB32" s="8">
        <f>AD28+AE28</f>
        <v>19.909078663793103</v>
      </c>
      <c r="AC32" s="2"/>
      <c r="AD32" s="2"/>
      <c r="AE32" s="2"/>
      <c r="AF32" s="2"/>
      <c r="AG32" s="2"/>
      <c r="AH32" s="8">
        <f>AK57</f>
        <v>8</v>
      </c>
      <c r="AI32" s="123">
        <f>AI31</f>
        <v>10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8</v>
      </c>
      <c r="AI33" s="123">
        <f>AI32+E7</f>
        <v>24.349999999999998</v>
      </c>
      <c r="AJ33" s="2"/>
      <c r="AK33" s="196" t="s">
        <v>23</v>
      </c>
      <c r="AL33" s="8">
        <f>W28/D7</f>
        <v>1.6254040948275859</v>
      </c>
      <c r="AM33" s="8">
        <f>C4+AL33</f>
        <v>1.6254040948275859</v>
      </c>
      <c r="AN33" s="129">
        <f>W28*AL33-D7*AL33^2/2+AE50</f>
        <v>18.955908532885388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4</v>
      </c>
      <c r="AI34" s="123">
        <f>AI33</f>
        <v>24.349999999999998</v>
      </c>
      <c r="AJ34" s="2"/>
      <c r="AK34" s="197" t="s">
        <v>82</v>
      </c>
      <c r="AL34" s="8">
        <f>Y28/E7</f>
        <v>1.8729795258620687</v>
      </c>
      <c r="AM34" s="8">
        <f>C4+D4+AL34</f>
        <v>5.8729795258620685</v>
      </c>
      <c r="AN34" s="129">
        <f>Y28*AL34-E7*AL34^2/2+AE59</f>
        <v>3.6684703264451706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4</v>
      </c>
      <c r="AI35" s="123">
        <f>AI31</f>
        <v>10</v>
      </c>
      <c r="AJ35" s="2"/>
      <c r="AK35" s="197" t="s">
        <v>101</v>
      </c>
      <c r="AL35" s="8">
        <f>AA28/F7</f>
        <v>2.6692789968652035</v>
      </c>
      <c r="AM35" s="8">
        <f>C4+D4+E4+AL35</f>
        <v>10.669278996865204</v>
      </c>
      <c r="AN35" s="129">
        <f>AA28*AL35-F7*AL35^2/2+AE68</f>
        <v>22.329456182869627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4</v>
      </c>
      <c r="Z36" s="132">
        <v>0</v>
      </c>
      <c r="AA36" s="2"/>
      <c r="AB36" s="133">
        <f>AK57</f>
        <v>8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2.6126077586206895</v>
      </c>
      <c r="AM36" s="8">
        <f>C4+D4+E4+F4+AL36</f>
        <v>16.11260775862069</v>
      </c>
      <c r="AN36" s="129">
        <f>AC28*AL36-G7*AL36^2/2+AE77</f>
        <v>13.810850635578433</v>
      </c>
    </row>
    <row r="37" spans="22:40" x14ac:dyDescent="0.2">
      <c r="V37" s="131">
        <f>V36</f>
        <v>0</v>
      </c>
      <c r="W37" s="133">
        <f>-X32</f>
        <v>-23.324548760775855</v>
      </c>
      <c r="X37" s="2"/>
      <c r="Y37" s="133">
        <f>Y36</f>
        <v>4</v>
      </c>
      <c r="Z37" s="133">
        <f>-Y32</f>
        <v>-60.95270743534482</v>
      </c>
      <c r="AA37" s="2"/>
      <c r="AB37" s="133">
        <f>AB36</f>
        <v>8</v>
      </c>
      <c r="AC37" s="133">
        <f>-Z32</f>
        <v>-68.826897408894979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8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13.5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13.5</v>
      </c>
      <c r="W40" s="132">
        <v>0</v>
      </c>
      <c r="X40" s="2"/>
      <c r="Y40" s="133">
        <f>AK59</f>
        <v>17.5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13.5</v>
      </c>
      <c r="AI40" s="123">
        <f>AI39+F7</f>
        <v>24.349999999999998</v>
      </c>
      <c r="AJ40" s="2"/>
      <c r="AK40" s="8">
        <f>AM33</f>
        <v>1.6254040948275859</v>
      </c>
      <c r="AL40" s="123">
        <v>0</v>
      </c>
      <c r="AM40" s="2"/>
      <c r="AN40" s="22"/>
    </row>
    <row r="41" spans="22:40" x14ac:dyDescent="0.2">
      <c r="V41" s="131">
        <f>V40</f>
        <v>13.5</v>
      </c>
      <c r="W41" s="133">
        <f>-AA32</f>
        <v>-78.111767731191208</v>
      </c>
      <c r="X41" s="2"/>
      <c r="Y41" s="133">
        <f>Y40</f>
        <v>17.5</v>
      </c>
      <c r="Z41" s="133">
        <f>-AB32</f>
        <v>-19.909078663793103</v>
      </c>
      <c r="AA41" s="2"/>
      <c r="AB41" s="2"/>
      <c r="AC41" s="2"/>
      <c r="AD41" s="2"/>
      <c r="AE41" s="2"/>
      <c r="AF41" s="2"/>
      <c r="AG41" s="2"/>
      <c r="AH41" s="8">
        <f>AH38</f>
        <v>8</v>
      </c>
      <c r="AI41" s="123">
        <f>AI40</f>
        <v>24.349999999999998</v>
      </c>
      <c r="AJ41" s="2"/>
      <c r="AK41" s="8">
        <f>AK40</f>
        <v>1.6254040948275859</v>
      </c>
      <c r="AL41" s="8">
        <f>AN33</f>
        <v>18.955908532885388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8</v>
      </c>
      <c r="AI42" s="123">
        <f>AI38</f>
        <v>10</v>
      </c>
      <c r="AJ42" s="2"/>
      <c r="AK42" s="8">
        <f>AM34</f>
        <v>5.8729795258620685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5.8729795258620685</v>
      </c>
      <c r="AL43" s="8">
        <f>AN34</f>
        <v>3.6684703264451706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10.669278996865204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13.5</v>
      </c>
      <c r="AI45" s="123">
        <f>AI17</f>
        <v>10</v>
      </c>
      <c r="AJ45" s="2"/>
      <c r="AK45" s="8">
        <f>AK44</f>
        <v>10.669278996865204</v>
      </c>
      <c r="AL45" s="8">
        <f>AN35</f>
        <v>22.329456182869627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17.5</v>
      </c>
      <c r="AI46" s="123">
        <f>AI45</f>
        <v>10</v>
      </c>
      <c r="AJ46" s="2"/>
      <c r="AK46" s="8">
        <f>AM36</f>
        <v>16.11260775862069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23.324548760775855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17.5</v>
      </c>
      <c r="AI47" s="123">
        <f>AI46+G7</f>
        <v>24.349999999999998</v>
      </c>
      <c r="AJ47" s="2"/>
      <c r="AK47" s="8">
        <f>AK46</f>
        <v>16.11260775862069</v>
      </c>
      <c r="AL47" s="8">
        <f>AN36</f>
        <v>13.810850635578433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0.5</v>
      </c>
      <c r="AA48" s="10">
        <f t="shared" si="0"/>
        <v>9.8685243803879281</v>
      </c>
      <c r="AB48" s="10">
        <f t="shared" si="1"/>
        <v>16.149548760775858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13.5</v>
      </c>
      <c r="AI48" s="123">
        <f>AI47</f>
        <v>24.349999999999998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</v>
      </c>
      <c r="AA49" s="10">
        <f t="shared" si="0"/>
        <v>16.149548760775858</v>
      </c>
      <c r="AB49" s="10">
        <f t="shared" si="1"/>
        <v>8.9745487607758569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13.5</v>
      </c>
      <c r="AI49" s="123">
        <f>AI45</f>
        <v>10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1.5</v>
      </c>
      <c r="AA50" s="10">
        <f t="shared" si="0"/>
        <v>18.843073141163785</v>
      </c>
      <c r="AB50" s="10">
        <f t="shared" si="1"/>
        <v>1.7995487607758562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</v>
      </c>
      <c r="AA51" s="10">
        <f t="shared" si="0"/>
        <v>17.949097521551714</v>
      </c>
      <c r="AB51" s="10">
        <f t="shared" si="1"/>
        <v>-5.3754512392241409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23.324548760775855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2.5</v>
      </c>
      <c r="AA52" s="10">
        <f t="shared" si="0"/>
        <v>13.467621901939644</v>
      </c>
      <c r="AB52" s="10">
        <f t="shared" si="1"/>
        <v>-12.550451239224138</v>
      </c>
      <c r="AC52" s="3"/>
      <c r="AD52" s="10">
        <f t="shared" si="3"/>
        <v>0.5</v>
      </c>
      <c r="AE52" s="10">
        <f t="shared" si="4"/>
        <v>9.8685243803879281</v>
      </c>
      <c r="AF52" s="10">
        <f t="shared" si="4"/>
        <v>16.149548760775858</v>
      </c>
      <c r="AG52" s="2"/>
      <c r="AH52" s="8">
        <f>AK59</f>
        <v>17.5</v>
      </c>
      <c r="AI52" s="123">
        <f>AI17</f>
        <v>10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</v>
      </c>
      <c r="AA53" s="10">
        <f t="shared" si="0"/>
        <v>5.3986462823275758</v>
      </c>
      <c r="AB53" s="10">
        <f t="shared" si="1"/>
        <v>-19.725451239224142</v>
      </c>
      <c r="AC53" s="3"/>
      <c r="AD53" s="10">
        <f t="shared" si="3"/>
        <v>1</v>
      </c>
      <c r="AE53" s="10">
        <f t="shared" si="4"/>
        <v>16.149548760775858</v>
      </c>
      <c r="AF53" s="10">
        <f t="shared" si="4"/>
        <v>8.9745487607758569</v>
      </c>
      <c r="AG53" s="2"/>
      <c r="AH53" s="8">
        <f>AK60</f>
        <v>17.5</v>
      </c>
      <c r="AI53" s="123">
        <f>AI52</f>
        <v>10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3.5</v>
      </c>
      <c r="AA54" s="10">
        <f t="shared" si="0"/>
        <v>-6.2578293372844911</v>
      </c>
      <c r="AB54" s="10">
        <f t="shared" si="1"/>
        <v>-26.900451239224139</v>
      </c>
      <c r="AC54" s="2"/>
      <c r="AD54" s="10">
        <f t="shared" si="3"/>
        <v>1.5</v>
      </c>
      <c r="AE54" s="10">
        <f t="shared" si="4"/>
        <v>18.843073141163785</v>
      </c>
      <c r="AF54" s="10">
        <f t="shared" si="4"/>
        <v>1.7995487607758562</v>
      </c>
      <c r="AG54" s="2"/>
      <c r="AH54" s="8">
        <f>AH53</f>
        <v>17.5</v>
      </c>
      <c r="AI54" s="123">
        <f>AI53+H7</f>
        <v>10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4</v>
      </c>
      <c r="AA55" s="10">
        <f t="shared" si="0"/>
        <v>-21.501804956896564</v>
      </c>
      <c r="AB55" s="10">
        <f t="shared" si="1"/>
        <v>-34.075451239224137</v>
      </c>
      <c r="AC55" s="2"/>
      <c r="AD55" s="10">
        <f t="shared" si="3"/>
        <v>2</v>
      </c>
      <c r="AE55" s="10">
        <f t="shared" si="4"/>
        <v>17.949097521551714</v>
      </c>
      <c r="AF55" s="10">
        <f t="shared" si="4"/>
        <v>-5.3754512392241409</v>
      </c>
      <c r="AG55" s="2"/>
      <c r="AH55" s="8">
        <f>AH52</f>
        <v>17.5</v>
      </c>
      <c r="AI55" s="123">
        <f>AI54</f>
        <v>10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2.5</v>
      </c>
      <c r="AE56" s="10">
        <f t="shared" si="4"/>
        <v>13.467621901939644</v>
      </c>
      <c r="AF56" s="10">
        <f t="shared" si="4"/>
        <v>-12.550451239224138</v>
      </c>
      <c r="AG56" s="2"/>
      <c r="AH56" s="8">
        <f>AH52</f>
        <v>17.5</v>
      </c>
      <c r="AI56" s="123">
        <f>AI52</f>
        <v>10</v>
      </c>
      <c r="AJ56" s="2"/>
      <c r="AK56" s="8">
        <f>AK55+D4</f>
        <v>4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</v>
      </c>
      <c r="AE57" s="10">
        <f t="shared" si="4"/>
        <v>5.3986462823275758</v>
      </c>
      <c r="AF57" s="10">
        <f t="shared" si="4"/>
        <v>-19.725451239224142</v>
      </c>
      <c r="AG57" s="2"/>
      <c r="AH57" s="2"/>
      <c r="AI57" s="2"/>
      <c r="AJ57" s="2"/>
      <c r="AK57" s="8">
        <f>AK56+E4</f>
        <v>8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3.5</v>
      </c>
      <c r="AE58" s="10">
        <f t="shared" si="4"/>
        <v>-6.2578293372844911</v>
      </c>
      <c r="AF58" s="10">
        <f t="shared" si="4"/>
        <v>-26.900451239224139</v>
      </c>
      <c r="AG58" s="2"/>
      <c r="AH58" s="2"/>
      <c r="AI58" s="2"/>
      <c r="AJ58" s="2"/>
      <c r="AK58" s="8">
        <f>AK57+F4</f>
        <v>13.5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-21.501804956896549</v>
      </c>
      <c r="X59" s="140">
        <f t="shared" ref="X59:X67" si="6">-$E$7*V59+$Y$28</f>
        <v>26.877256196120683</v>
      </c>
      <c r="Y59" s="2"/>
      <c r="Z59" s="172">
        <v>0</v>
      </c>
      <c r="AA59" s="172">
        <f t="shared" ref="AA59:AA67" si="7">-$W$22-$F$7*Z59^2/2+$AA$28*Z59</f>
        <v>-28.792780172413796</v>
      </c>
      <c r="AB59" s="172">
        <f t="shared" ref="AB59:AB67" si="8">-$F$7*Z59+$AA$28</f>
        <v>38.304153605015664</v>
      </c>
      <c r="AC59" s="2"/>
      <c r="AD59" s="10">
        <f t="shared" si="3"/>
        <v>4</v>
      </c>
      <c r="AE59" s="10">
        <f t="shared" si="4"/>
        <v>-21.501804956896564</v>
      </c>
      <c r="AF59" s="10">
        <f t="shared" si="4"/>
        <v>-34.075451239224137</v>
      </c>
      <c r="AG59" s="2"/>
      <c r="AH59" s="2"/>
      <c r="AI59" s="2"/>
      <c r="AJ59" s="2"/>
      <c r="AK59" s="8">
        <f>AK58+G4</f>
        <v>17.5</v>
      </c>
      <c r="AL59" s="123">
        <v>0</v>
      </c>
      <c r="AM59" s="2"/>
      <c r="AN59" s="22"/>
    </row>
    <row r="60" spans="13:40" x14ac:dyDescent="0.2">
      <c r="V60" s="139">
        <f>$E$4/8</f>
        <v>0.5</v>
      </c>
      <c r="W60" s="140">
        <f t="shared" si="5"/>
        <v>-9.8569268588362071</v>
      </c>
      <c r="X60" s="140">
        <f t="shared" si="6"/>
        <v>19.702256196120686</v>
      </c>
      <c r="Y60" s="2"/>
      <c r="Z60" s="172">
        <f>$F$4/8</f>
        <v>0.6875</v>
      </c>
      <c r="AA60" s="172">
        <f t="shared" si="7"/>
        <v>-5.8499831627155281</v>
      </c>
      <c r="AB60" s="172">
        <f t="shared" si="8"/>
        <v>28.438528605015666</v>
      </c>
      <c r="AC60" s="2"/>
      <c r="AD60" s="140">
        <f t="shared" ref="AD60:AD68" si="9">$AD$59+V59</f>
        <v>4</v>
      </c>
      <c r="AE60" s="140">
        <f t="shared" ref="AE60:AF68" si="10">W59</f>
        <v>-21.501804956896549</v>
      </c>
      <c r="AF60" s="140">
        <f t="shared" si="10"/>
        <v>26.877256196120683</v>
      </c>
      <c r="AG60" s="2"/>
      <c r="AH60" s="2"/>
      <c r="AI60" s="2"/>
      <c r="AJ60" s="2"/>
      <c r="AK60" s="8">
        <f>AK59+H4</f>
        <v>17.5</v>
      </c>
      <c r="AL60" s="123">
        <v>0</v>
      </c>
      <c r="AM60" s="2"/>
      <c r="AN60" s="22"/>
    </row>
    <row r="61" spans="13:40" x14ac:dyDescent="0.2">
      <c r="V61" s="139">
        <f>2*$E$4/8</f>
        <v>1</v>
      </c>
      <c r="W61" s="140">
        <f t="shared" si="5"/>
        <v>-1.7995487607758633</v>
      </c>
      <c r="X61" s="140">
        <f t="shared" si="6"/>
        <v>12.527256196120685</v>
      </c>
      <c r="Y61" s="2"/>
      <c r="Z61" s="172">
        <f>2*$F$4/8</f>
        <v>1.375</v>
      </c>
      <c r="AA61" s="172">
        <f t="shared" si="7"/>
        <v>10.310196659482742</v>
      </c>
      <c r="AB61" s="172">
        <f t="shared" si="8"/>
        <v>18.572903605015668</v>
      </c>
      <c r="AC61" s="2"/>
      <c r="AD61" s="140">
        <f t="shared" si="9"/>
        <v>4.5</v>
      </c>
      <c r="AE61" s="140">
        <f t="shared" si="10"/>
        <v>-9.8569268588362071</v>
      </c>
      <c r="AF61" s="140">
        <f t="shared" si="10"/>
        <v>19.702256196120686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1.5</v>
      </c>
      <c r="W62" s="140">
        <f t="shared" si="5"/>
        <v>2.6703293372844783</v>
      </c>
      <c r="X62" s="140">
        <f t="shared" si="6"/>
        <v>5.3522561961206847</v>
      </c>
      <c r="Y62" s="2"/>
      <c r="Z62" s="172">
        <f>3*$F$4/8</f>
        <v>2.0625</v>
      </c>
      <c r="AA62" s="172">
        <f t="shared" si="7"/>
        <v>19.687759294181021</v>
      </c>
      <c r="AB62" s="172">
        <f t="shared" si="8"/>
        <v>8.7072786050156665</v>
      </c>
      <c r="AC62" s="2"/>
      <c r="AD62" s="140">
        <f t="shared" si="9"/>
        <v>5</v>
      </c>
      <c r="AE62" s="140">
        <f t="shared" si="10"/>
        <v>-1.7995487607758633</v>
      </c>
      <c r="AF62" s="140">
        <f t="shared" si="10"/>
        <v>12.527256196120685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</v>
      </c>
      <c r="W63" s="140">
        <f t="shared" si="5"/>
        <v>3.5527074353448214</v>
      </c>
      <c r="X63" s="140">
        <f t="shared" si="6"/>
        <v>-1.8227438038793125</v>
      </c>
      <c r="Y63" s="2"/>
      <c r="Z63" s="172">
        <f>4*$F$4/8</f>
        <v>2.75</v>
      </c>
      <c r="AA63" s="172">
        <f t="shared" si="7"/>
        <v>22.282704741379291</v>
      </c>
      <c r="AB63" s="172">
        <f t="shared" si="8"/>
        <v>-1.1583463949843278</v>
      </c>
      <c r="AC63" s="2"/>
      <c r="AD63" s="140">
        <f t="shared" si="9"/>
        <v>5.5</v>
      </c>
      <c r="AE63" s="140">
        <f t="shared" si="10"/>
        <v>2.6703293372844783</v>
      </c>
      <c r="AF63" s="140">
        <f t="shared" si="10"/>
        <v>5.3522561961206847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2.5</v>
      </c>
      <c r="W64" s="140">
        <f t="shared" si="5"/>
        <v>0.84758553340518006</v>
      </c>
      <c r="X64" s="140">
        <f t="shared" si="6"/>
        <v>-8.9977438038793096</v>
      </c>
      <c r="Y64" s="2"/>
      <c r="Z64" s="172">
        <f>5*$F$4/8</f>
        <v>3.4375</v>
      </c>
      <c r="AA64" s="172">
        <f t="shared" si="7"/>
        <v>18.095033001077553</v>
      </c>
      <c r="AB64" s="172">
        <f t="shared" si="8"/>
        <v>-11.023971394984329</v>
      </c>
      <c r="AC64" s="2"/>
      <c r="AD64" s="140">
        <f t="shared" si="9"/>
        <v>6</v>
      </c>
      <c r="AE64" s="140">
        <f t="shared" si="10"/>
        <v>3.5527074353448214</v>
      </c>
      <c r="AF64" s="140">
        <f t="shared" si="10"/>
        <v>-1.8227438038793125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</v>
      </c>
      <c r="W65" s="140">
        <f t="shared" si="5"/>
        <v>-5.4450363685344882</v>
      </c>
      <c r="X65" s="140">
        <f t="shared" si="6"/>
        <v>-16.172743803879314</v>
      </c>
      <c r="Y65" s="2"/>
      <c r="Z65" s="172">
        <f>6*$F$4/8</f>
        <v>4.125</v>
      </c>
      <c r="AA65" s="172">
        <f t="shared" si="7"/>
        <v>7.1247440732758491</v>
      </c>
      <c r="AB65" s="172">
        <f t="shared" si="8"/>
        <v>-20.889596394984331</v>
      </c>
      <c r="AC65" s="2"/>
      <c r="AD65" s="140">
        <f t="shared" si="9"/>
        <v>6.5</v>
      </c>
      <c r="AE65" s="140">
        <f t="shared" si="10"/>
        <v>0.84758553340518006</v>
      </c>
      <c r="AF65" s="140">
        <f t="shared" si="10"/>
        <v>-8.9977438038793096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3.5</v>
      </c>
      <c r="W66" s="140">
        <f t="shared" si="5"/>
        <v>-15.325158270474148</v>
      </c>
      <c r="X66" s="140">
        <f t="shared" si="6"/>
        <v>-23.347743803879311</v>
      </c>
      <c r="Y66" s="2"/>
      <c r="Z66" s="172">
        <f>7*$F$4/8</f>
        <v>4.8125</v>
      </c>
      <c r="AA66" s="172">
        <f t="shared" si="7"/>
        <v>-10.628162042025906</v>
      </c>
      <c r="AB66" s="172">
        <f t="shared" si="8"/>
        <v>-30.755221394984325</v>
      </c>
      <c r="AC66" s="2"/>
      <c r="AD66" s="140">
        <f t="shared" si="9"/>
        <v>7</v>
      </c>
      <c r="AE66" s="140">
        <f t="shared" si="10"/>
        <v>-5.4450363685344882</v>
      </c>
      <c r="AF66" s="140">
        <f t="shared" si="10"/>
        <v>-16.172743803879314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4</v>
      </c>
      <c r="W67" s="140">
        <f t="shared" si="5"/>
        <v>-28.792780172413813</v>
      </c>
      <c r="X67" s="140">
        <f t="shared" si="6"/>
        <v>-30.522743803879308</v>
      </c>
      <c r="Y67" s="2"/>
      <c r="Z67" s="172">
        <f>8*$F$4/8</f>
        <v>5.5</v>
      </c>
      <c r="AA67" s="172">
        <f t="shared" si="7"/>
        <v>-35.163685344827599</v>
      </c>
      <c r="AB67" s="172">
        <f t="shared" si="8"/>
        <v>-40.620846394984319</v>
      </c>
      <c r="AC67" s="2"/>
      <c r="AD67" s="140">
        <f t="shared" si="9"/>
        <v>7.5</v>
      </c>
      <c r="AE67" s="140">
        <f t="shared" si="10"/>
        <v>-15.325158270474148</v>
      </c>
      <c r="AF67" s="140">
        <f t="shared" si="10"/>
        <v>-23.347743803879311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8</v>
      </c>
      <c r="AE68" s="140">
        <f t="shared" si="10"/>
        <v>-28.792780172413813</v>
      </c>
      <c r="AF68" s="140">
        <f t="shared" si="10"/>
        <v>-30.522743803879308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8</v>
      </c>
      <c r="AE69" s="172">
        <f t="shared" ref="AE69:AF77" si="12">AA59</f>
        <v>-28.792780172413796</v>
      </c>
      <c r="AF69" s="172">
        <f t="shared" si="12"/>
        <v>38.304153605015664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8.6875</v>
      </c>
      <c r="AE70" s="172">
        <f t="shared" si="12"/>
        <v>-5.8499831627155281</v>
      </c>
      <c r="AF70" s="172">
        <f t="shared" si="12"/>
        <v>28.438528605015666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9.375</v>
      </c>
      <c r="AE71" s="172">
        <f t="shared" si="12"/>
        <v>10.310196659482742</v>
      </c>
      <c r="AF71" s="172">
        <f t="shared" si="12"/>
        <v>18.572903605015668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-35.163685344827577</v>
      </c>
      <c r="X72" s="200">
        <f t="shared" ref="X72:X80" si="14">-$G$7*V72+$AC$28</f>
        <v>37.490921336206888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10.0625</v>
      </c>
      <c r="AE72" s="172">
        <f t="shared" si="12"/>
        <v>19.687759294181021</v>
      </c>
      <c r="AF72" s="172">
        <f t="shared" si="12"/>
        <v>8.7072786050156665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0.5</v>
      </c>
      <c r="W73" s="200">
        <f t="shared" si="13"/>
        <v>-18.211974676724136</v>
      </c>
      <c r="X73" s="200">
        <f t="shared" si="14"/>
        <v>30.315921336206891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10.75</v>
      </c>
      <c r="AE73" s="172">
        <f t="shared" si="12"/>
        <v>22.282704741379291</v>
      </c>
      <c r="AF73" s="172">
        <f t="shared" si="12"/>
        <v>-1.1583463949843278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</v>
      </c>
      <c r="W74" s="200">
        <f t="shared" si="13"/>
        <v>-4.8477640086206861</v>
      </c>
      <c r="X74" s="200">
        <f t="shared" si="14"/>
        <v>23.14092133620689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11.4375</v>
      </c>
      <c r="AE74" s="172">
        <f t="shared" si="12"/>
        <v>18.095033001077553</v>
      </c>
      <c r="AF74" s="172">
        <f t="shared" si="12"/>
        <v>-11.023971394984329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1.5</v>
      </c>
      <c r="W75" s="200">
        <f t="shared" si="13"/>
        <v>4.9289466594827545</v>
      </c>
      <c r="X75" s="200">
        <f t="shared" si="14"/>
        <v>15.96592133620689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12.125</v>
      </c>
      <c r="AE75" s="172">
        <f t="shared" si="12"/>
        <v>7.1247440732758491</v>
      </c>
      <c r="AF75" s="172">
        <f t="shared" si="12"/>
        <v>-20.889596394984331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</v>
      </c>
      <c r="W76" s="200">
        <f t="shared" si="13"/>
        <v>11.118157327586204</v>
      </c>
      <c r="X76" s="200">
        <f t="shared" si="14"/>
        <v>8.7909213362068925</v>
      </c>
      <c r="Y76" s="2"/>
      <c r="Z76" s="122"/>
      <c r="AA76" s="122"/>
      <c r="AB76" s="122"/>
      <c r="AC76" s="2"/>
      <c r="AD76" s="172">
        <f t="shared" si="11"/>
        <v>12.8125</v>
      </c>
      <c r="AE76" s="172">
        <f t="shared" si="12"/>
        <v>-10.628162042025906</v>
      </c>
      <c r="AF76" s="172">
        <f t="shared" si="12"/>
        <v>-30.755221394984325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2.5</v>
      </c>
      <c r="W77" s="200">
        <f t="shared" si="13"/>
        <v>13.719867995689654</v>
      </c>
      <c r="X77" s="200">
        <f t="shared" si="14"/>
        <v>1.6159213362068954</v>
      </c>
      <c r="Y77" s="2"/>
      <c r="Z77" s="3"/>
      <c r="AA77" s="3"/>
      <c r="AB77" s="3"/>
      <c r="AC77" s="2"/>
      <c r="AD77" s="172">
        <f t="shared" si="11"/>
        <v>13.5</v>
      </c>
      <c r="AE77" s="172">
        <f t="shared" si="12"/>
        <v>-35.163685344827599</v>
      </c>
      <c r="AF77" s="172">
        <f t="shared" si="12"/>
        <v>-40.620846394984319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</v>
      </c>
      <c r="W78" s="200">
        <f t="shared" si="13"/>
        <v>12.734078663793099</v>
      </c>
      <c r="X78" s="200">
        <f t="shared" si="14"/>
        <v>-5.5590786637931089</v>
      </c>
      <c r="Y78" s="2"/>
      <c r="Z78" s="3"/>
      <c r="AA78" s="3"/>
      <c r="AB78" s="3"/>
      <c r="AC78" s="2"/>
      <c r="AD78" s="200">
        <f t="shared" ref="AD78:AD86" si="15">$AD$77+V72</f>
        <v>13.5</v>
      </c>
      <c r="AE78" s="200">
        <f t="shared" ref="AE78:AF86" si="16">W72</f>
        <v>-35.163685344827577</v>
      </c>
      <c r="AF78" s="200">
        <f t="shared" si="16"/>
        <v>37.490921336206888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3.5</v>
      </c>
      <c r="W79" s="200">
        <f t="shared" si="13"/>
        <v>8.1607893318965523</v>
      </c>
      <c r="X79" s="200">
        <f t="shared" si="14"/>
        <v>-12.734078663793106</v>
      </c>
      <c r="Y79" s="2"/>
      <c r="Z79" s="3"/>
      <c r="AA79" s="3"/>
      <c r="AB79" s="3"/>
      <c r="AC79" s="2"/>
      <c r="AD79" s="200">
        <f t="shared" si="15"/>
        <v>14</v>
      </c>
      <c r="AE79" s="200">
        <f t="shared" si="16"/>
        <v>-18.211974676724136</v>
      </c>
      <c r="AF79" s="200">
        <f t="shared" si="16"/>
        <v>30.315921336206891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4</v>
      </c>
      <c r="W80" s="200">
        <f t="shared" si="13"/>
        <v>0</v>
      </c>
      <c r="X80" s="200">
        <f t="shared" si="14"/>
        <v>-19.909078663793103</v>
      </c>
      <c r="Y80" s="2"/>
      <c r="Z80" s="3"/>
      <c r="AA80" s="3"/>
      <c r="AB80" s="3"/>
      <c r="AC80" s="2"/>
      <c r="AD80" s="200">
        <f t="shared" si="15"/>
        <v>14.5</v>
      </c>
      <c r="AE80" s="200">
        <f t="shared" si="16"/>
        <v>-4.8477640086206861</v>
      </c>
      <c r="AF80" s="200">
        <f t="shared" si="16"/>
        <v>23.14092133620689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15</v>
      </c>
      <c r="AE81" s="200">
        <f t="shared" si="16"/>
        <v>4.9289466594827545</v>
      </c>
      <c r="AF81" s="200">
        <f t="shared" si="16"/>
        <v>15.96592133620689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15.5</v>
      </c>
      <c r="AE82" s="200">
        <f t="shared" si="16"/>
        <v>11.118157327586204</v>
      </c>
      <c r="AF82" s="200">
        <f t="shared" si="16"/>
        <v>8.7909213362068925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16</v>
      </c>
      <c r="AE83" s="200">
        <f t="shared" si="16"/>
        <v>13.719867995689654</v>
      </c>
      <c r="AF83" s="200">
        <f t="shared" si="16"/>
        <v>1.6159213362068954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16.5</v>
      </c>
      <c r="AE84" s="200">
        <f t="shared" si="16"/>
        <v>12.734078663793099</v>
      </c>
      <c r="AF84" s="200">
        <f t="shared" si="16"/>
        <v>-5.5590786637931089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17</v>
      </c>
      <c r="AE85" s="200">
        <f t="shared" si="16"/>
        <v>8.1607893318965523</v>
      </c>
      <c r="AF85" s="200">
        <f t="shared" si="16"/>
        <v>-12.734078663793106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17.5</v>
      </c>
      <c r="AE86" s="200">
        <f t="shared" si="16"/>
        <v>0</v>
      </c>
      <c r="AF86" s="200">
        <f t="shared" si="16"/>
        <v>-19.909078663793103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17.5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17.5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17.5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17.5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5"/>
  <dimension ref="A1:AT100"/>
  <sheetViews>
    <sheetView zoomScale="85" zoomScaleNormal="85" workbookViewId="0">
      <selection activeCell="G21" sqref="G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4</v>
      </c>
      <c r="E4" s="14">
        <f>'CCCC-Trave'!E15</f>
        <v>4</v>
      </c>
      <c r="F4" s="14">
        <f>'CCCC-Trave'!F15</f>
        <v>5.5</v>
      </c>
      <c r="G4" s="14">
        <f>'CCCC-Trave'!G15</f>
        <v>4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43</v>
      </c>
      <c r="C7" s="14">
        <f>'CCCC-Trave'!C27</f>
        <v>0</v>
      </c>
      <c r="D7" s="14">
        <f>'CCCC-Trave'!D27</f>
        <v>10.39</v>
      </c>
      <c r="E7" s="14">
        <f>'CCCC-Trave'!E27</f>
        <v>14.349999999999998</v>
      </c>
      <c r="F7" s="14">
        <f>'CCCC-Trave'!F27</f>
        <v>10.39</v>
      </c>
      <c r="G7" s="14">
        <f>'CCCC-Trave'!G27</f>
        <v>14.349999999999998</v>
      </c>
      <c r="H7" s="14">
        <f>'CCCC-Trave'!H27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144">
        <f>-(D4/D18+E4/I18)/3</f>
        <v>-20000</v>
      </c>
      <c r="W16" s="192">
        <f>-E4/(6*I18)</f>
        <v>-5000</v>
      </c>
      <c r="X16" s="192">
        <v>0</v>
      </c>
      <c r="Y16" s="19"/>
      <c r="Z16" s="193">
        <f t="array" ref="Z16:AB18">MINVERSE(V16:X18)</f>
        <v>-5.3047313552526068E-5</v>
      </c>
      <c r="AA16" s="193">
        <v>1.2189254210104252E-5</v>
      </c>
      <c r="AB16" s="193">
        <v>-3.5284683239775461E-6</v>
      </c>
      <c r="AC16" s="19"/>
      <c r="AD16" s="19"/>
      <c r="AE16" s="194">
        <f>AB22</f>
        <v>-494799.99999999994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-5000</v>
      </c>
      <c r="W17" s="136">
        <f>-(E4/I18+F4/D21)/3</f>
        <v>-23750</v>
      </c>
      <c r="X17" s="136">
        <f>-F4/(6*D21)</f>
        <v>-6875</v>
      </c>
      <c r="Y17" s="2"/>
      <c r="Z17" s="123">
        <v>1.2189254210104252E-5</v>
      </c>
      <c r="AA17" s="123">
        <v>-4.8757016840417008E-5</v>
      </c>
      <c r="AB17" s="123">
        <v>1.4113873295910184E-5</v>
      </c>
      <c r="AC17" s="2"/>
      <c r="AD17" s="2"/>
      <c r="AE17" s="124">
        <f>AC22</f>
        <v>-827198.828125</v>
      </c>
      <c r="AF17" s="2"/>
      <c r="AG17" s="2"/>
      <c r="AH17" s="123">
        <v>0</v>
      </c>
      <c r="AI17" s="123">
        <f>5+MAX('CCCC-car.1'!AI17:AI56)</f>
        <v>29.349999999999998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-6875</v>
      </c>
      <c r="X18" s="136">
        <f>-(F4/D21+G4/I21)/3</f>
        <v>-23750</v>
      </c>
      <c r="Y18" s="2"/>
      <c r="Z18" s="123">
        <v>-3.5284683239775465E-6</v>
      </c>
      <c r="AA18" s="123">
        <v>1.4113873295910186E-5</v>
      </c>
      <c r="AB18" s="123">
        <v>-4.619085805934242E-5</v>
      </c>
      <c r="AC18" s="2"/>
      <c r="AD18" s="2"/>
      <c r="AE18" s="124">
        <f>AD22</f>
        <v>-827198.828125</v>
      </c>
      <c r="AF18" s="2"/>
      <c r="AG18" s="2"/>
      <c r="AH18" s="123">
        <f>C4</f>
        <v>0</v>
      </c>
      <c r="AI18" s="123">
        <f>AI17</f>
        <v>29.349999999999998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29.349999999999998</v>
      </c>
      <c r="AJ19" s="2"/>
      <c r="AK19" s="8">
        <f>AK56</f>
        <v>4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29.349999999999998</v>
      </c>
      <c r="AJ20" s="2"/>
      <c r="AK20" s="8">
        <f>AK19</f>
        <v>4</v>
      </c>
      <c r="AL20" s="8">
        <f>AE59</f>
        <v>-19.083618810144344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19.083618810144344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29.349999999999998</v>
      </c>
      <c r="AJ21" s="2"/>
      <c r="AK21" s="8">
        <f>AK57</f>
        <v>8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22.625524759422614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-494799.99999999994</v>
      </c>
      <c r="AC22" s="124">
        <f>-E7*E4^3/(24*I18)-F7*F4^3/(24*D21)</f>
        <v>-827198.828125</v>
      </c>
      <c r="AD22" s="124">
        <f>-F7*F4^3/(24*D21)-G7*G4^3/(24*I21)+(H7*H4^2/2)*G4/(6*I21)</f>
        <v>-827198.828125</v>
      </c>
      <c r="AE22" s="2"/>
      <c r="AF22" s="2"/>
      <c r="AG22" s="2"/>
      <c r="AH22" s="2"/>
      <c r="AI22" s="2"/>
      <c r="AJ22" s="2"/>
      <c r="AK22" s="8">
        <f>AK21</f>
        <v>8</v>
      </c>
      <c r="AL22" s="8">
        <f>AE68</f>
        <v>-22.625524759422618</v>
      </c>
      <c r="AM22" s="2"/>
      <c r="AN22" s="22"/>
    </row>
    <row r="23" spans="1:46" x14ac:dyDescent="0.2">
      <c r="V23" s="24" t="s">
        <v>99</v>
      </c>
      <c r="W23" s="8">
        <v>28.279930332798713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13.5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29.349999999999998</v>
      </c>
      <c r="AJ24" s="2"/>
      <c r="AK24" s="8">
        <f>AK23</f>
        <v>13.5</v>
      </c>
      <c r="AL24" s="8">
        <f>AE77</f>
        <v>-28.279930332798699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4</v>
      </c>
      <c r="AI25" s="123">
        <f>AI24</f>
        <v>29.349999999999998</v>
      </c>
      <c r="AJ25" s="2"/>
      <c r="AK25" s="8">
        <f>AK59</f>
        <v>17.5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4</v>
      </c>
      <c r="AI26" s="123">
        <f>AI25+D7</f>
        <v>39.739999999999995</v>
      </c>
      <c r="AJ26" s="3"/>
      <c r="AK26" s="8">
        <f>AK25</f>
        <v>17.5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39.739999999999995</v>
      </c>
      <c r="AJ27" s="3"/>
      <c r="AK27" s="8">
        <f>AK60</f>
        <v>17.5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16.009095297463915</v>
      </c>
      <c r="X28" s="8">
        <f>(W21-Z21+D7*D4^2/2)/D4</f>
        <v>25.550904702536087</v>
      </c>
      <c r="Y28" s="8">
        <f>E7*E4-Z28</f>
        <v>27.814523512680427</v>
      </c>
      <c r="Z28" s="8">
        <f>(W22-W21+E7*E4^2/2)/E4</f>
        <v>29.585476487319564</v>
      </c>
      <c r="AA28" s="8">
        <f>F7*F4-AB28</f>
        <v>27.544426259386167</v>
      </c>
      <c r="AB28" s="8">
        <f>(W23-W22+F7*F4^2/2)/F4</f>
        <v>29.600573740613836</v>
      </c>
      <c r="AC28" s="8">
        <f>G7*G4-AD28</f>
        <v>35.769982583199678</v>
      </c>
      <c r="AD28" s="8">
        <f>(Z22-W23+G7*G4^2/2)/G4</f>
        <v>21.630017416800317</v>
      </c>
      <c r="AE28" s="8">
        <f>H7*H4</f>
        <v>0</v>
      </c>
      <c r="AF28" s="3"/>
      <c r="AG28" s="3"/>
      <c r="AH28" s="123">
        <f>AH24</f>
        <v>0</v>
      </c>
      <c r="AI28" s="123">
        <f>AI24</f>
        <v>29.349999999999998</v>
      </c>
      <c r="AJ28" s="3"/>
      <c r="AK28" s="8">
        <f>AK27</f>
        <v>17.5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4</v>
      </c>
      <c r="AI31" s="123">
        <f>AI17</f>
        <v>29.349999999999998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16.009095297463915</v>
      </c>
      <c r="Y32" s="8">
        <f>X28+Y28</f>
        <v>53.365428215216511</v>
      </c>
      <c r="Z32" s="8">
        <f>Z28+AA28</f>
        <v>57.129902746705731</v>
      </c>
      <c r="AA32" s="8">
        <f>AB28+AC28</f>
        <v>65.370556323813517</v>
      </c>
      <c r="AB32" s="8">
        <f>AD28+AE28</f>
        <v>21.630017416800317</v>
      </c>
      <c r="AC32" s="2"/>
      <c r="AD32" s="2"/>
      <c r="AE32" s="2"/>
      <c r="AF32" s="2"/>
      <c r="AG32" s="2"/>
      <c r="AH32" s="8">
        <f>AK57</f>
        <v>8</v>
      </c>
      <c r="AI32" s="123">
        <f>AI31</f>
        <v>29.349999999999998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8</v>
      </c>
      <c r="AI33" s="123">
        <f>AI32+E7</f>
        <v>43.699999999999996</v>
      </c>
      <c r="AJ33" s="2"/>
      <c r="AK33" s="196" t="s">
        <v>23</v>
      </c>
      <c r="AL33" s="8">
        <f>W28/D7</f>
        <v>1.5408176417193373</v>
      </c>
      <c r="AM33" s="8">
        <f>C4+AL33</f>
        <v>1.5408176417193373</v>
      </c>
      <c r="AN33" s="129">
        <f>W28*AL33-D7*AL33^2/2+AE50</f>
        <v>12.333548231149239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4</v>
      </c>
      <c r="AI34" s="123">
        <f>AI33</f>
        <v>43.699999999999996</v>
      </c>
      <c r="AJ34" s="2"/>
      <c r="AK34" s="197" t="s">
        <v>82</v>
      </c>
      <c r="AL34" s="8">
        <f>Y28/E7</f>
        <v>1.938294321441145</v>
      </c>
      <c r="AM34" s="8">
        <f>C4+D4+AL34</f>
        <v>5.9382943214411448</v>
      </c>
      <c r="AN34" s="129">
        <f>Y28*AL34-E7*AL34^2/2+AE59</f>
        <v>7.8727476789654958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4</v>
      </c>
      <c r="AI35" s="123">
        <f>AI31</f>
        <v>29.349999999999998</v>
      </c>
      <c r="AJ35" s="2"/>
      <c r="AK35" s="197" t="s">
        <v>101</v>
      </c>
      <c r="AL35" s="8">
        <f>AA28/F7</f>
        <v>2.6510516130304298</v>
      </c>
      <c r="AM35" s="8">
        <f>C4+D4+E4+AL35</f>
        <v>10.651051613030429</v>
      </c>
      <c r="AN35" s="129">
        <f>AA28*AL35-F7*AL35^2/2+AE68</f>
        <v>13.885323073049094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4</v>
      </c>
      <c r="Z36" s="132">
        <v>0</v>
      </c>
      <c r="AA36" s="2"/>
      <c r="AB36" s="133">
        <f>AK57</f>
        <v>8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2.4926817131149606</v>
      </c>
      <c r="AM36" s="8">
        <f>C4+D4+E4+F4+AL36</f>
        <v>15.99268171311496</v>
      </c>
      <c r="AN36" s="129">
        <f>AC28*AL36-G7*AL36^2/2+AE77</f>
        <v>16.301660398992539</v>
      </c>
    </row>
    <row r="37" spans="22:40" x14ac:dyDescent="0.2">
      <c r="V37" s="131">
        <f>V36</f>
        <v>0</v>
      </c>
      <c r="W37" s="133">
        <f>-X32</f>
        <v>-16.009095297463915</v>
      </c>
      <c r="X37" s="2"/>
      <c r="Y37" s="133">
        <f>Y36</f>
        <v>4</v>
      </c>
      <c r="Z37" s="133">
        <f>-Y32</f>
        <v>-53.365428215216511</v>
      </c>
      <c r="AA37" s="2"/>
      <c r="AB37" s="133">
        <f>AB36</f>
        <v>8</v>
      </c>
      <c r="AC37" s="133">
        <f>-Z32</f>
        <v>-57.129902746705731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8</v>
      </c>
      <c r="AI38" s="123">
        <f>AI17</f>
        <v>29.349999999999998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13.5</v>
      </c>
      <c r="AI39" s="123">
        <f>AI38</f>
        <v>29.349999999999998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13.5</v>
      </c>
      <c r="W40" s="132">
        <v>0</v>
      </c>
      <c r="X40" s="2"/>
      <c r="Y40" s="133">
        <f>AK59</f>
        <v>17.5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13.5</v>
      </c>
      <c r="AI40" s="123">
        <f>AI39+F7</f>
        <v>39.739999999999995</v>
      </c>
      <c r="AJ40" s="2"/>
      <c r="AK40" s="8">
        <f>AM33</f>
        <v>1.5408176417193373</v>
      </c>
      <c r="AL40" s="123">
        <v>0</v>
      </c>
      <c r="AM40" s="2"/>
      <c r="AN40" s="22"/>
    </row>
    <row r="41" spans="22:40" x14ac:dyDescent="0.2">
      <c r="V41" s="131">
        <f>V40</f>
        <v>13.5</v>
      </c>
      <c r="W41" s="133">
        <f>-AA32</f>
        <v>-65.370556323813517</v>
      </c>
      <c r="X41" s="2"/>
      <c r="Y41" s="133">
        <f>Y40</f>
        <v>17.5</v>
      </c>
      <c r="Z41" s="133">
        <f>-AB32</f>
        <v>-21.630017416800317</v>
      </c>
      <c r="AA41" s="2"/>
      <c r="AB41" s="2"/>
      <c r="AC41" s="2"/>
      <c r="AD41" s="2"/>
      <c r="AE41" s="2"/>
      <c r="AF41" s="2"/>
      <c r="AG41" s="2"/>
      <c r="AH41" s="8">
        <f>AH38</f>
        <v>8</v>
      </c>
      <c r="AI41" s="123">
        <f>AI40</f>
        <v>39.739999999999995</v>
      </c>
      <c r="AJ41" s="2"/>
      <c r="AK41" s="8">
        <f>AK40</f>
        <v>1.5408176417193373</v>
      </c>
      <c r="AL41" s="8">
        <f>AN33</f>
        <v>12.333548231149239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8</v>
      </c>
      <c r="AI42" s="123">
        <f>AI38</f>
        <v>29.349999999999998</v>
      </c>
      <c r="AJ42" s="2"/>
      <c r="AK42" s="8">
        <f>AM34</f>
        <v>5.9382943214411448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5.9382943214411448</v>
      </c>
      <c r="AL43" s="8">
        <f>AN34</f>
        <v>7.8727476789654958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10.651051613030429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13.5</v>
      </c>
      <c r="AI45" s="123">
        <f>AI17</f>
        <v>29.349999999999998</v>
      </c>
      <c r="AJ45" s="2"/>
      <c r="AK45" s="8">
        <f>AK44</f>
        <v>10.651051613030429</v>
      </c>
      <c r="AL45" s="8">
        <f>AN35</f>
        <v>13.885323073049094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17.5</v>
      </c>
      <c r="AI46" s="123">
        <f>AI45</f>
        <v>29.349999999999998</v>
      </c>
      <c r="AJ46" s="2"/>
      <c r="AK46" s="8">
        <f>AM36</f>
        <v>15.99268171311496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16.009095297463915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17.5</v>
      </c>
      <c r="AI47" s="123">
        <f>AI46+G7</f>
        <v>43.699999999999996</v>
      </c>
      <c r="AJ47" s="2"/>
      <c r="AK47" s="8">
        <f>AK46</f>
        <v>15.99268171311496</v>
      </c>
      <c r="AL47" s="8">
        <f>AN36</f>
        <v>16.301660398992539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0.5</v>
      </c>
      <c r="AA48" s="10">
        <f t="shared" si="0"/>
        <v>6.7057976487319575</v>
      </c>
      <c r="AB48" s="10">
        <f t="shared" si="1"/>
        <v>10.814095297463915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13.5</v>
      </c>
      <c r="AI48" s="123">
        <f>AI47</f>
        <v>43.699999999999996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</v>
      </c>
      <c r="AA49" s="10">
        <f t="shared" si="0"/>
        <v>10.814095297463915</v>
      </c>
      <c r="AB49" s="10">
        <f t="shared" si="1"/>
        <v>5.6190952974639146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13.5</v>
      </c>
      <c r="AI49" s="123">
        <f>AI45</f>
        <v>29.349999999999998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1.5</v>
      </c>
      <c r="AA50" s="10">
        <f t="shared" si="0"/>
        <v>12.324892946195872</v>
      </c>
      <c r="AB50" s="10">
        <f t="shared" si="1"/>
        <v>0.42409529746391428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</v>
      </c>
      <c r="AA51" s="10">
        <f t="shared" si="0"/>
        <v>11.238190594927829</v>
      </c>
      <c r="AB51" s="10">
        <f t="shared" si="1"/>
        <v>-4.770904702536086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16.009095297463915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2.5</v>
      </c>
      <c r="AA52" s="10">
        <f t="shared" si="0"/>
        <v>7.5539882436597878</v>
      </c>
      <c r="AB52" s="10">
        <f t="shared" si="1"/>
        <v>-9.9659047025360863</v>
      </c>
      <c r="AC52" s="3"/>
      <c r="AD52" s="10">
        <f t="shared" si="3"/>
        <v>0.5</v>
      </c>
      <c r="AE52" s="10">
        <f t="shared" si="4"/>
        <v>6.7057976487319575</v>
      </c>
      <c r="AF52" s="10">
        <f t="shared" si="4"/>
        <v>10.814095297463915</v>
      </c>
      <c r="AG52" s="2"/>
      <c r="AH52" s="8">
        <f>AK59</f>
        <v>17.5</v>
      </c>
      <c r="AI52" s="123">
        <f>AI17</f>
        <v>29.349999999999998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</v>
      </c>
      <c r="AA53" s="10">
        <f t="shared" si="0"/>
        <v>1.2722858923917428</v>
      </c>
      <c r="AB53" s="10">
        <f t="shared" si="1"/>
        <v>-15.160904702536087</v>
      </c>
      <c r="AC53" s="3"/>
      <c r="AD53" s="10">
        <f t="shared" si="3"/>
        <v>1</v>
      </c>
      <c r="AE53" s="10">
        <f t="shared" si="4"/>
        <v>10.814095297463915</v>
      </c>
      <c r="AF53" s="10">
        <f t="shared" si="4"/>
        <v>5.6190952974639146</v>
      </c>
      <c r="AG53" s="2"/>
      <c r="AH53" s="8">
        <f>AK60</f>
        <v>17.5</v>
      </c>
      <c r="AI53" s="123">
        <f>AI52</f>
        <v>29.349999999999998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3.5</v>
      </c>
      <c r="AA54" s="10">
        <f t="shared" si="0"/>
        <v>-7.6069164588762987</v>
      </c>
      <c r="AB54" s="10">
        <f t="shared" si="1"/>
        <v>-20.355904702536087</v>
      </c>
      <c r="AC54" s="2"/>
      <c r="AD54" s="10">
        <f t="shared" si="3"/>
        <v>1.5</v>
      </c>
      <c r="AE54" s="10">
        <f t="shared" si="4"/>
        <v>12.324892946195872</v>
      </c>
      <c r="AF54" s="10">
        <f t="shared" si="4"/>
        <v>0.42409529746391428</v>
      </c>
      <c r="AG54" s="2"/>
      <c r="AH54" s="8">
        <f>AH53</f>
        <v>17.5</v>
      </c>
      <c r="AI54" s="123">
        <f>AI53+H7</f>
        <v>29.349999999999998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4</v>
      </c>
      <c r="AA55" s="10">
        <f t="shared" si="0"/>
        <v>-19.083618810144344</v>
      </c>
      <c r="AB55" s="10">
        <f t="shared" si="1"/>
        <v>-25.550904702536087</v>
      </c>
      <c r="AC55" s="2"/>
      <c r="AD55" s="10">
        <f t="shared" si="3"/>
        <v>2</v>
      </c>
      <c r="AE55" s="10">
        <f t="shared" si="4"/>
        <v>11.238190594927829</v>
      </c>
      <c r="AF55" s="10">
        <f t="shared" si="4"/>
        <v>-4.770904702536086</v>
      </c>
      <c r="AG55" s="2"/>
      <c r="AH55" s="8">
        <f>AH52</f>
        <v>17.5</v>
      </c>
      <c r="AI55" s="123">
        <f>AI54</f>
        <v>29.349999999999998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2.5</v>
      </c>
      <c r="AE56" s="10">
        <f t="shared" si="4"/>
        <v>7.5539882436597878</v>
      </c>
      <c r="AF56" s="10">
        <f t="shared" si="4"/>
        <v>-9.9659047025360863</v>
      </c>
      <c r="AG56" s="2"/>
      <c r="AH56" s="8">
        <f>AH52</f>
        <v>17.5</v>
      </c>
      <c r="AI56" s="123">
        <f>AI52</f>
        <v>29.349999999999998</v>
      </c>
      <c r="AJ56" s="2"/>
      <c r="AK56" s="8">
        <f>AK55+D4</f>
        <v>4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</v>
      </c>
      <c r="AE57" s="10">
        <f t="shared" si="4"/>
        <v>1.2722858923917428</v>
      </c>
      <c r="AF57" s="10">
        <f t="shared" si="4"/>
        <v>-15.160904702536087</v>
      </c>
      <c r="AG57" s="2"/>
      <c r="AH57" s="2"/>
      <c r="AI57" s="2"/>
      <c r="AJ57" s="2"/>
      <c r="AK57" s="8">
        <f>AK56+E4</f>
        <v>8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3.5</v>
      </c>
      <c r="AE58" s="10">
        <f t="shared" si="4"/>
        <v>-7.6069164588762987</v>
      </c>
      <c r="AF58" s="10">
        <f t="shared" si="4"/>
        <v>-20.355904702536087</v>
      </c>
      <c r="AG58" s="2"/>
      <c r="AH58" s="2"/>
      <c r="AI58" s="2"/>
      <c r="AJ58" s="2"/>
      <c r="AK58" s="8">
        <f>AK57+F4</f>
        <v>13.5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-19.083618810144344</v>
      </c>
      <c r="X59" s="140">
        <f t="shared" ref="X59:X67" si="6">-$E$7*V59+$Y$28</f>
        <v>27.814523512680427</v>
      </c>
      <c r="Y59" s="2"/>
      <c r="Z59" s="172">
        <v>0</v>
      </c>
      <c r="AA59" s="172">
        <f t="shared" ref="AA59:AA67" si="7">-$W$22-$F$7*Z59^2/2+$AA$28*Z59</f>
        <v>-22.625524759422614</v>
      </c>
      <c r="AB59" s="172">
        <f t="shared" ref="AB59:AB67" si="8">-$F$7*Z59+$AA$28</f>
        <v>27.544426259386167</v>
      </c>
      <c r="AC59" s="2"/>
      <c r="AD59" s="10">
        <f t="shared" si="3"/>
        <v>4</v>
      </c>
      <c r="AE59" s="10">
        <f t="shared" si="4"/>
        <v>-19.083618810144344</v>
      </c>
      <c r="AF59" s="10">
        <f t="shared" si="4"/>
        <v>-25.550904702536087</v>
      </c>
      <c r="AG59" s="2"/>
      <c r="AH59" s="2"/>
      <c r="AI59" s="2"/>
      <c r="AJ59" s="2"/>
      <c r="AK59" s="8">
        <f>AK58+G4</f>
        <v>17.5</v>
      </c>
      <c r="AL59" s="123">
        <v>0</v>
      </c>
      <c r="AM59" s="2"/>
      <c r="AN59" s="22"/>
    </row>
    <row r="60" spans="13:40" x14ac:dyDescent="0.2">
      <c r="V60" s="139">
        <f>$E$4/8</f>
        <v>0.5</v>
      </c>
      <c r="W60" s="140">
        <f t="shared" si="5"/>
        <v>-6.9701070538041296</v>
      </c>
      <c r="X60" s="140">
        <f t="shared" si="6"/>
        <v>20.639523512680427</v>
      </c>
      <c r="Y60" s="2"/>
      <c r="Z60" s="172">
        <f>$F$4/8</f>
        <v>0.6875</v>
      </c>
      <c r="AA60" s="172">
        <f t="shared" si="7"/>
        <v>-6.1441809248446262</v>
      </c>
      <c r="AB60" s="172">
        <f t="shared" si="8"/>
        <v>20.401301259386166</v>
      </c>
      <c r="AC60" s="2"/>
      <c r="AD60" s="140">
        <f t="shared" ref="AD60:AD68" si="9">$AD$59+V59</f>
        <v>4</v>
      </c>
      <c r="AE60" s="140">
        <f t="shared" ref="AE60:AF68" si="10">W59</f>
        <v>-19.083618810144344</v>
      </c>
      <c r="AF60" s="140">
        <f t="shared" si="10"/>
        <v>27.814523512680427</v>
      </c>
      <c r="AG60" s="2"/>
      <c r="AH60" s="2"/>
      <c r="AI60" s="2"/>
      <c r="AJ60" s="2"/>
      <c r="AK60" s="8">
        <f>AK59+H4</f>
        <v>17.5</v>
      </c>
      <c r="AL60" s="123">
        <v>0</v>
      </c>
      <c r="AM60" s="2"/>
      <c r="AN60" s="22"/>
    </row>
    <row r="61" spans="13:40" x14ac:dyDescent="0.2">
      <c r="V61" s="139">
        <f>2*$E$4/8</f>
        <v>1</v>
      </c>
      <c r="W61" s="140">
        <f t="shared" si="5"/>
        <v>1.5559047025360861</v>
      </c>
      <c r="X61" s="140">
        <f t="shared" si="6"/>
        <v>13.464523512680429</v>
      </c>
      <c r="Y61" s="2"/>
      <c r="Z61" s="172">
        <f>2*$F$4/8</f>
        <v>1.375</v>
      </c>
      <c r="AA61" s="172">
        <f t="shared" si="7"/>
        <v>5.4262644722333633</v>
      </c>
      <c r="AB61" s="172">
        <f t="shared" si="8"/>
        <v>13.258176259386167</v>
      </c>
      <c r="AC61" s="2"/>
      <c r="AD61" s="140">
        <f t="shared" si="9"/>
        <v>4.5</v>
      </c>
      <c r="AE61" s="140">
        <f t="shared" si="10"/>
        <v>-6.9701070538041296</v>
      </c>
      <c r="AF61" s="140">
        <f t="shared" si="10"/>
        <v>20.639523512680427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1.5</v>
      </c>
      <c r="W62" s="140">
        <f t="shared" si="5"/>
        <v>6.4944164588763016</v>
      </c>
      <c r="X62" s="140">
        <f t="shared" si="6"/>
        <v>6.2895235126804288</v>
      </c>
      <c r="Y62" s="2"/>
      <c r="Z62" s="172">
        <f>3*$F$4/8</f>
        <v>2.0625</v>
      </c>
      <c r="AA62" s="172">
        <f t="shared" si="7"/>
        <v>12.085811431811351</v>
      </c>
      <c r="AB62" s="172">
        <f t="shared" si="8"/>
        <v>6.115051259386167</v>
      </c>
      <c r="AC62" s="2"/>
      <c r="AD62" s="140">
        <f t="shared" si="9"/>
        <v>5</v>
      </c>
      <c r="AE62" s="140">
        <f t="shared" si="10"/>
        <v>1.5559047025360861</v>
      </c>
      <c r="AF62" s="140">
        <f t="shared" si="10"/>
        <v>13.464523512680429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</v>
      </c>
      <c r="W63" s="140">
        <f t="shared" si="5"/>
        <v>7.8454282152165149</v>
      </c>
      <c r="X63" s="140">
        <f t="shared" si="6"/>
        <v>-0.88547648731956841</v>
      </c>
      <c r="Y63" s="2"/>
      <c r="Z63" s="172">
        <f>4*$F$4/8</f>
        <v>2.75</v>
      </c>
      <c r="AA63" s="172">
        <f t="shared" si="7"/>
        <v>13.834459953889336</v>
      </c>
      <c r="AB63" s="172">
        <f t="shared" si="8"/>
        <v>-1.0280737406138343</v>
      </c>
      <c r="AC63" s="2"/>
      <c r="AD63" s="140">
        <f t="shared" si="9"/>
        <v>5.5</v>
      </c>
      <c r="AE63" s="140">
        <f t="shared" si="10"/>
        <v>6.4944164588763016</v>
      </c>
      <c r="AF63" s="140">
        <f t="shared" si="10"/>
        <v>6.2895235126804288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2.5</v>
      </c>
      <c r="W64" s="140">
        <f t="shared" si="5"/>
        <v>5.6089399715567296</v>
      </c>
      <c r="X64" s="140">
        <f t="shared" si="6"/>
        <v>-8.0604764873195656</v>
      </c>
      <c r="Y64" s="2"/>
      <c r="Z64" s="172">
        <f>5*$F$4/8</f>
        <v>3.4375</v>
      </c>
      <c r="AA64" s="172">
        <f t="shared" si="7"/>
        <v>10.672210038467327</v>
      </c>
      <c r="AB64" s="172">
        <f t="shared" si="8"/>
        <v>-8.1711987406138356</v>
      </c>
      <c r="AC64" s="2"/>
      <c r="AD64" s="140">
        <f t="shared" si="9"/>
        <v>6</v>
      </c>
      <c r="AE64" s="140">
        <f t="shared" si="10"/>
        <v>7.8454282152165149</v>
      </c>
      <c r="AF64" s="140">
        <f t="shared" si="10"/>
        <v>-0.88547648731956841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</v>
      </c>
      <c r="W65" s="140">
        <f t="shared" si="5"/>
        <v>-0.21504827210304711</v>
      </c>
      <c r="X65" s="140">
        <f t="shared" si="6"/>
        <v>-15.23547648731957</v>
      </c>
      <c r="Y65" s="2"/>
      <c r="Z65" s="172">
        <f>6*$F$4/8</f>
        <v>4.125</v>
      </c>
      <c r="AA65" s="172">
        <f t="shared" si="7"/>
        <v>2.5990616855453084</v>
      </c>
      <c r="AB65" s="172">
        <f t="shared" si="8"/>
        <v>-15.314323740613833</v>
      </c>
      <c r="AC65" s="2"/>
      <c r="AD65" s="140">
        <f t="shared" si="9"/>
        <v>6.5</v>
      </c>
      <c r="AE65" s="140">
        <f t="shared" si="10"/>
        <v>5.6089399715567296</v>
      </c>
      <c r="AF65" s="140">
        <f t="shared" si="10"/>
        <v>-8.0604764873195656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3.5</v>
      </c>
      <c r="W66" s="140">
        <f t="shared" si="5"/>
        <v>-9.6265365157628366</v>
      </c>
      <c r="X66" s="140">
        <f t="shared" si="6"/>
        <v>-22.410476487319567</v>
      </c>
      <c r="Y66" s="2"/>
      <c r="Z66" s="172">
        <f>7*$F$4/8</f>
        <v>4.8125</v>
      </c>
      <c r="AA66" s="172">
        <f t="shared" si="7"/>
        <v>-10.384985104876705</v>
      </c>
      <c r="AB66" s="172">
        <f t="shared" si="8"/>
        <v>-22.457448740613838</v>
      </c>
      <c r="AC66" s="2"/>
      <c r="AD66" s="140">
        <f t="shared" si="9"/>
        <v>7</v>
      </c>
      <c r="AE66" s="140">
        <f t="shared" si="10"/>
        <v>-0.21504827210304711</v>
      </c>
      <c r="AF66" s="140">
        <f t="shared" si="10"/>
        <v>-15.23547648731957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4</v>
      </c>
      <c r="W67" s="140">
        <f t="shared" si="5"/>
        <v>-22.625524759422618</v>
      </c>
      <c r="X67" s="140">
        <f t="shared" si="6"/>
        <v>-29.585476487319564</v>
      </c>
      <c r="Y67" s="2"/>
      <c r="Z67" s="172">
        <f>8*$F$4/8</f>
        <v>5.5</v>
      </c>
      <c r="AA67" s="172">
        <f t="shared" si="7"/>
        <v>-28.279930332798699</v>
      </c>
      <c r="AB67" s="172">
        <f t="shared" si="8"/>
        <v>-29.600573740613836</v>
      </c>
      <c r="AC67" s="2"/>
      <c r="AD67" s="140">
        <f t="shared" si="9"/>
        <v>7.5</v>
      </c>
      <c r="AE67" s="140">
        <f t="shared" si="10"/>
        <v>-9.6265365157628366</v>
      </c>
      <c r="AF67" s="140">
        <f t="shared" si="10"/>
        <v>-22.410476487319567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8</v>
      </c>
      <c r="AE68" s="140">
        <f t="shared" si="10"/>
        <v>-22.625524759422618</v>
      </c>
      <c r="AF68" s="140">
        <f t="shared" si="10"/>
        <v>-29.585476487319564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8</v>
      </c>
      <c r="AE69" s="172">
        <f t="shared" ref="AE69:AF77" si="12">AA59</f>
        <v>-22.625524759422614</v>
      </c>
      <c r="AF69" s="172">
        <f t="shared" si="12"/>
        <v>27.544426259386167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8.6875</v>
      </c>
      <c r="AE70" s="172">
        <f t="shared" si="12"/>
        <v>-6.1441809248446262</v>
      </c>
      <c r="AF70" s="172">
        <f t="shared" si="12"/>
        <v>20.401301259386166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9.375</v>
      </c>
      <c r="AE71" s="172">
        <f t="shared" si="12"/>
        <v>5.4262644722333633</v>
      </c>
      <c r="AF71" s="172">
        <f t="shared" si="12"/>
        <v>13.258176259386167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-28.279930332798713</v>
      </c>
      <c r="X72" s="200">
        <f t="shared" ref="X72:X80" si="14">-$G$7*V72+$AC$28</f>
        <v>35.769982583199678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10.0625</v>
      </c>
      <c r="AE72" s="172">
        <f t="shared" si="12"/>
        <v>12.085811431811351</v>
      </c>
      <c r="AF72" s="172">
        <f t="shared" si="12"/>
        <v>6.115051259386167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0.5</v>
      </c>
      <c r="W73" s="200">
        <f t="shared" si="13"/>
        <v>-12.188689041198874</v>
      </c>
      <c r="X73" s="200">
        <f t="shared" si="14"/>
        <v>28.59498258319968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10.75</v>
      </c>
      <c r="AE73" s="172">
        <f t="shared" si="12"/>
        <v>13.834459953889336</v>
      </c>
      <c r="AF73" s="172">
        <f t="shared" si="12"/>
        <v>-1.0280737406138343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</v>
      </c>
      <c r="W74" s="200">
        <f t="shared" si="13"/>
        <v>0.31505225040096718</v>
      </c>
      <c r="X74" s="200">
        <f t="shared" si="14"/>
        <v>21.41998258319968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11.4375</v>
      </c>
      <c r="AE74" s="172">
        <f t="shared" si="12"/>
        <v>10.672210038467327</v>
      </c>
      <c r="AF74" s="172">
        <f t="shared" si="12"/>
        <v>-8.1711987406138356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1.5</v>
      </c>
      <c r="W75" s="200">
        <f t="shared" si="13"/>
        <v>9.231293542000806</v>
      </c>
      <c r="X75" s="200">
        <f t="shared" si="14"/>
        <v>14.244982583199679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12.125</v>
      </c>
      <c r="AE75" s="172">
        <f t="shared" si="12"/>
        <v>2.5990616855453084</v>
      </c>
      <c r="AF75" s="172">
        <f t="shared" si="12"/>
        <v>-15.314323740613833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</v>
      </c>
      <c r="W76" s="200">
        <f t="shared" si="13"/>
        <v>14.560034833600646</v>
      </c>
      <c r="X76" s="200">
        <f t="shared" si="14"/>
        <v>7.0699825831996819</v>
      </c>
      <c r="Y76" s="2"/>
      <c r="Z76" s="122"/>
      <c r="AA76" s="122"/>
      <c r="AB76" s="122"/>
      <c r="AC76" s="2"/>
      <c r="AD76" s="172">
        <f t="shared" si="11"/>
        <v>12.8125</v>
      </c>
      <c r="AE76" s="172">
        <f t="shared" si="12"/>
        <v>-10.384985104876705</v>
      </c>
      <c r="AF76" s="172">
        <f t="shared" si="12"/>
        <v>-22.457448740613838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2.5</v>
      </c>
      <c r="W77" s="200">
        <f t="shared" si="13"/>
        <v>16.301276125200502</v>
      </c>
      <c r="X77" s="200">
        <f t="shared" si="14"/>
        <v>-0.10501741680031529</v>
      </c>
      <c r="Y77" s="2"/>
      <c r="Z77" s="3"/>
      <c r="AA77" s="3"/>
      <c r="AB77" s="3"/>
      <c r="AC77" s="2"/>
      <c r="AD77" s="172">
        <f t="shared" si="11"/>
        <v>13.5</v>
      </c>
      <c r="AE77" s="172">
        <f t="shared" si="12"/>
        <v>-28.279930332798699</v>
      </c>
      <c r="AF77" s="172">
        <f t="shared" si="12"/>
        <v>-29.600573740613836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</v>
      </c>
      <c r="W78" s="200">
        <f t="shared" si="13"/>
        <v>14.455017416800331</v>
      </c>
      <c r="X78" s="200">
        <f t="shared" si="14"/>
        <v>-7.2800174168003196</v>
      </c>
      <c r="Y78" s="2"/>
      <c r="Z78" s="3"/>
      <c r="AA78" s="3"/>
      <c r="AB78" s="3"/>
      <c r="AC78" s="2"/>
      <c r="AD78" s="200">
        <f t="shared" ref="AD78:AD86" si="15">$AD$77+V72</f>
        <v>13.5</v>
      </c>
      <c r="AE78" s="200">
        <f t="shared" ref="AE78:AF86" si="16">W72</f>
        <v>-28.279930332798713</v>
      </c>
      <c r="AF78" s="200">
        <f t="shared" si="16"/>
        <v>35.769982583199678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3.5</v>
      </c>
      <c r="W79" s="200">
        <f t="shared" si="13"/>
        <v>9.0212587084001683</v>
      </c>
      <c r="X79" s="200">
        <f t="shared" si="14"/>
        <v>-14.455017416800317</v>
      </c>
      <c r="Y79" s="2"/>
      <c r="Z79" s="3"/>
      <c r="AA79" s="3"/>
      <c r="AB79" s="3"/>
      <c r="AC79" s="2"/>
      <c r="AD79" s="200">
        <f t="shared" si="15"/>
        <v>14</v>
      </c>
      <c r="AE79" s="200">
        <f t="shared" si="16"/>
        <v>-12.188689041198874</v>
      </c>
      <c r="AF79" s="200">
        <f t="shared" si="16"/>
        <v>28.59498258319968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4</v>
      </c>
      <c r="W80" s="200">
        <f t="shared" si="13"/>
        <v>0</v>
      </c>
      <c r="X80" s="200">
        <f t="shared" si="14"/>
        <v>-21.630017416800314</v>
      </c>
      <c r="Y80" s="2"/>
      <c r="Z80" s="3"/>
      <c r="AA80" s="3"/>
      <c r="AB80" s="3"/>
      <c r="AC80" s="2"/>
      <c r="AD80" s="200">
        <f t="shared" si="15"/>
        <v>14.5</v>
      </c>
      <c r="AE80" s="200">
        <f t="shared" si="16"/>
        <v>0.31505225040096718</v>
      </c>
      <c r="AF80" s="200">
        <f t="shared" si="16"/>
        <v>21.41998258319968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15</v>
      </c>
      <c r="AE81" s="200">
        <f t="shared" si="16"/>
        <v>9.231293542000806</v>
      </c>
      <c r="AF81" s="200">
        <f t="shared" si="16"/>
        <v>14.244982583199679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15.5</v>
      </c>
      <c r="AE82" s="200">
        <f t="shared" si="16"/>
        <v>14.560034833600646</v>
      </c>
      <c r="AF82" s="200">
        <f t="shared" si="16"/>
        <v>7.0699825831996819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16</v>
      </c>
      <c r="AE83" s="200">
        <f t="shared" si="16"/>
        <v>16.301276125200502</v>
      </c>
      <c r="AF83" s="200">
        <f t="shared" si="16"/>
        <v>-0.10501741680031529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16.5</v>
      </c>
      <c r="AE84" s="200">
        <f t="shared" si="16"/>
        <v>14.455017416800331</v>
      </c>
      <c r="AF84" s="200">
        <f t="shared" si="16"/>
        <v>-7.2800174168003196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17</v>
      </c>
      <c r="AE85" s="200">
        <f t="shared" si="16"/>
        <v>9.0212587084001683</v>
      </c>
      <c r="AF85" s="200">
        <f t="shared" si="16"/>
        <v>-14.455017416800317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17.5</v>
      </c>
      <c r="AE86" s="200">
        <f t="shared" si="16"/>
        <v>0</v>
      </c>
      <c r="AF86" s="200">
        <f t="shared" si="16"/>
        <v>-21.630017416800314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17.5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17.5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17.5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17.5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6"/>
  <dimension ref="A1:AT100"/>
  <sheetViews>
    <sheetView zoomScale="85" zoomScaleNormal="85" workbookViewId="0">
      <selection activeCell="I21" sqref="I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4</v>
      </c>
      <c r="E4" s="14">
        <f>'CCCC-Trave'!E15</f>
        <v>4</v>
      </c>
      <c r="F4" s="14">
        <f>'CCCC-Trave'!F15</f>
        <v>5.5</v>
      </c>
      <c r="G4" s="14">
        <f>'CCCC-Trave'!G15</f>
        <v>4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44</v>
      </c>
      <c r="C7" s="14">
        <f>'CCCC-Trave'!C28</f>
        <v>0</v>
      </c>
      <c r="D7" s="14">
        <f>'CCCC-Trave'!D28</f>
        <v>14.349999999999998</v>
      </c>
      <c r="E7" s="14">
        <f>'CCCC-Trave'!E28</f>
        <v>10.39</v>
      </c>
      <c r="F7" s="14">
        <f>'CCCC-Trave'!F28</f>
        <v>14.349999999999998</v>
      </c>
      <c r="G7" s="14">
        <f>'CCCC-Trave'!G28</f>
        <v>10.39</v>
      </c>
      <c r="H7" s="14">
        <f>'CCCC-Trave'!H28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144">
        <f>-(D4/D18+E4/I18)/3</f>
        <v>-20000</v>
      </c>
      <c r="W16" s="192">
        <f>-E4/(6*I18)</f>
        <v>-5000</v>
      </c>
      <c r="X16" s="192">
        <v>0</v>
      </c>
      <c r="Y16" s="19"/>
      <c r="Z16" s="193">
        <f t="array" ref="Z16:AB18">MINVERSE(V16:X18)</f>
        <v>-5.3047313552526068E-5</v>
      </c>
      <c r="AA16" s="193">
        <v>1.2189254210104252E-5</v>
      </c>
      <c r="AB16" s="193">
        <v>-3.5284683239775461E-6</v>
      </c>
      <c r="AC16" s="19"/>
      <c r="AD16" s="19"/>
      <c r="AE16" s="194">
        <f>AB22</f>
        <v>-494799.99999999994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-5000</v>
      </c>
      <c r="W17" s="136">
        <f>-(E4/I18+F4/D21)/3</f>
        <v>-23750</v>
      </c>
      <c r="X17" s="136">
        <f>-F4/(6*D21)</f>
        <v>-6875</v>
      </c>
      <c r="Y17" s="2"/>
      <c r="Z17" s="123">
        <v>1.2189254210104252E-5</v>
      </c>
      <c r="AA17" s="123">
        <v>-4.8757016840417008E-5</v>
      </c>
      <c r="AB17" s="123">
        <v>1.4113873295910184E-5</v>
      </c>
      <c r="AC17" s="2"/>
      <c r="AD17" s="2"/>
      <c r="AE17" s="124">
        <f>AC22</f>
        <v>-953887.89062499988</v>
      </c>
      <c r="AF17" s="2"/>
      <c r="AG17" s="2"/>
      <c r="AH17" s="123">
        <v>0</v>
      </c>
      <c r="AI17" s="123">
        <f>5+MAX('CCCC-car.2'!AI17:AI56)</f>
        <v>48.699999999999996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-6875</v>
      </c>
      <c r="X18" s="136">
        <f>-(F4/D21+G4/I21)/3</f>
        <v>-23750</v>
      </c>
      <c r="Y18" s="2"/>
      <c r="Z18" s="123">
        <v>-3.5284683239775465E-6</v>
      </c>
      <c r="AA18" s="123">
        <v>1.4113873295910186E-5</v>
      </c>
      <c r="AB18" s="123">
        <v>-4.619085805934242E-5</v>
      </c>
      <c r="AC18" s="2"/>
      <c r="AD18" s="2"/>
      <c r="AE18" s="124">
        <f>AD22</f>
        <v>-953887.89062499988</v>
      </c>
      <c r="AF18" s="2"/>
      <c r="AG18" s="2"/>
      <c r="AH18" s="123">
        <f>C4</f>
        <v>0</v>
      </c>
      <c r="AI18" s="123">
        <f>AI17</f>
        <v>48.699999999999996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48.699999999999996</v>
      </c>
      <c r="AJ19" s="2"/>
      <c r="AK19" s="8">
        <f>AK56</f>
        <v>4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48.699999999999996</v>
      </c>
      <c r="AJ20" s="2"/>
      <c r="AK20" s="8">
        <f>AK19</f>
        <v>4</v>
      </c>
      <c r="AL20" s="8">
        <f>AE59</f>
        <v>-17.986391965717729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17.986391965717722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48.699999999999996</v>
      </c>
      <c r="AJ21" s="2"/>
      <c r="AK21" s="8">
        <f>AK57</f>
        <v>8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27.014432137129116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-494799.99999999994</v>
      </c>
      <c r="AC22" s="124">
        <f>-E7*E4^3/(24*I18)-F7*F4^3/(24*D21)</f>
        <v>-953887.89062499988</v>
      </c>
      <c r="AD22" s="124">
        <f>-F7*F4^3/(24*D21)-G7*G4^3/(24*I21)+(H7*H4^2/2)*G4/(6*I21)</f>
        <v>-953887.89062499988</v>
      </c>
      <c r="AE22" s="2"/>
      <c r="AF22" s="2"/>
      <c r="AG22" s="2"/>
      <c r="AH22" s="2"/>
      <c r="AI22" s="2"/>
      <c r="AJ22" s="2"/>
      <c r="AK22" s="8">
        <f>AK21</f>
        <v>8</v>
      </c>
      <c r="AL22" s="8">
        <f>AE68</f>
        <v>-27.01443213712912</v>
      </c>
      <c r="AM22" s="2"/>
      <c r="AN22" s="22"/>
    </row>
    <row r="23" spans="1:46" x14ac:dyDescent="0.2">
      <c r="V23" s="24" t="s">
        <v>99</v>
      </c>
      <c r="W23" s="8">
        <v>32.343733460304726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13.5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48.699999999999996</v>
      </c>
      <c r="AJ24" s="2"/>
      <c r="AK24" s="8">
        <f>AK23</f>
        <v>13.5</v>
      </c>
      <c r="AL24" s="8">
        <f>AE77</f>
        <v>-32.343733460304719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4</v>
      </c>
      <c r="AI25" s="123">
        <f>AI24</f>
        <v>48.699999999999996</v>
      </c>
      <c r="AJ25" s="2"/>
      <c r="AK25" s="8">
        <f>AK59</f>
        <v>17.5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4</v>
      </c>
      <c r="AI26" s="123">
        <f>AI25+D7</f>
        <v>63.05</v>
      </c>
      <c r="AJ26" s="3"/>
      <c r="AK26" s="8">
        <f>AK25</f>
        <v>17.5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63.05</v>
      </c>
      <c r="AJ27" s="3"/>
      <c r="AK27" s="8">
        <f>AK60</f>
        <v>17.5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24.203402008570563</v>
      </c>
      <c r="X28" s="8">
        <f>(W21-Z21+D7*D4^2/2)/D4</f>
        <v>33.196597991429428</v>
      </c>
      <c r="Y28" s="8">
        <f>E7*E4-Z28</f>
        <v>18.522989957147153</v>
      </c>
      <c r="Z28" s="8">
        <f>(W22-W21+E7*E4^2/2)/E4</f>
        <v>23.037010042852849</v>
      </c>
      <c r="AA28" s="8">
        <f>F7*F4-AB28</f>
        <v>38.493536123058973</v>
      </c>
      <c r="AB28" s="8">
        <f>(W23-W22+F7*F4^2/2)/F4</f>
        <v>40.43146387694101</v>
      </c>
      <c r="AC28" s="8">
        <f>G7*G4-AD28</f>
        <v>28.865933365076181</v>
      </c>
      <c r="AD28" s="8">
        <f>(Z22-W23+G7*G4^2/2)/G4</f>
        <v>12.69406663492382</v>
      </c>
      <c r="AE28" s="8">
        <f>H7*H4</f>
        <v>0</v>
      </c>
      <c r="AF28" s="3"/>
      <c r="AG28" s="3"/>
      <c r="AH28" s="123">
        <f>AH24</f>
        <v>0</v>
      </c>
      <c r="AI28" s="123">
        <f>AI24</f>
        <v>48.699999999999996</v>
      </c>
      <c r="AJ28" s="3"/>
      <c r="AK28" s="8">
        <f>AK27</f>
        <v>17.5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4</v>
      </c>
      <c r="AI31" s="123">
        <f>AI17</f>
        <v>48.699999999999996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24.203402008570563</v>
      </c>
      <c r="Y32" s="8">
        <f>X28+Y28</f>
        <v>51.719587948576581</v>
      </c>
      <c r="Z32" s="8">
        <f>Z28+AA28</f>
        <v>61.530546165911822</v>
      </c>
      <c r="AA32" s="8">
        <f>AB28+AC28</f>
        <v>69.297397242017183</v>
      </c>
      <c r="AB32" s="8">
        <f>AD28+AE28</f>
        <v>12.69406663492382</v>
      </c>
      <c r="AC32" s="2"/>
      <c r="AD32" s="2"/>
      <c r="AE32" s="2"/>
      <c r="AF32" s="2"/>
      <c r="AG32" s="2"/>
      <c r="AH32" s="8">
        <f>AK57</f>
        <v>8</v>
      </c>
      <c r="AI32" s="123">
        <f>AI31</f>
        <v>48.699999999999996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8</v>
      </c>
      <c r="AI33" s="123">
        <f>AI32+E7</f>
        <v>59.089999999999996</v>
      </c>
      <c r="AJ33" s="2"/>
      <c r="AK33" s="196" t="s">
        <v>23</v>
      </c>
      <c r="AL33" s="8">
        <f>W28/D7</f>
        <v>1.6866482235937676</v>
      </c>
      <c r="AM33" s="8">
        <f>C4+AL33</f>
        <v>1.6866482235937676</v>
      </c>
      <c r="AN33" s="129">
        <f>W28*AL33-D7*AL33^2/2+AE50</f>
        <v>20.411312501340685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4</v>
      </c>
      <c r="AI34" s="123">
        <f>AI33</f>
        <v>59.089999999999996</v>
      </c>
      <c r="AJ34" s="2"/>
      <c r="AK34" s="197" t="s">
        <v>82</v>
      </c>
      <c r="AL34" s="8">
        <f>Y28/E7</f>
        <v>1.7827709294655585</v>
      </c>
      <c r="AM34" s="8">
        <f>C4+D4+AL34</f>
        <v>5.782770929465558</v>
      </c>
      <c r="AN34" s="129">
        <f>Y28*AL34-E7*AL34^2/2+AE59</f>
        <v>-1.4752679545255099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4</v>
      </c>
      <c r="AI35" s="123">
        <f>AI31</f>
        <v>48.699999999999996</v>
      </c>
      <c r="AJ35" s="2"/>
      <c r="AK35" s="197" t="s">
        <v>101</v>
      </c>
      <c r="AL35" s="8">
        <f>AA28/F7</f>
        <v>2.6824763848821589</v>
      </c>
      <c r="AM35" s="8">
        <f>C4+D4+E4+AL35</f>
        <v>10.682476384882159</v>
      </c>
      <c r="AN35" s="129">
        <f>AA28*AL35-F7*AL35^2/2+AE68</f>
        <v>24.614568673227886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4</v>
      </c>
      <c r="Z36" s="132">
        <v>0</v>
      </c>
      <c r="AA36" s="2"/>
      <c r="AB36" s="133">
        <f>AK57</f>
        <v>8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2.7782419023172453</v>
      </c>
      <c r="AM36" s="8">
        <f>C4+D4+E4+F4+AL36</f>
        <v>16.278241902317244</v>
      </c>
      <c r="AN36" s="129">
        <f>AC28*AL36-G7*AL36^2/2+AE77</f>
        <v>7.7545393518713368</v>
      </c>
    </row>
    <row r="37" spans="22:40" x14ac:dyDescent="0.2">
      <c r="V37" s="131">
        <f>V36</f>
        <v>0</v>
      </c>
      <c r="W37" s="133">
        <f>-X32</f>
        <v>-24.203402008570563</v>
      </c>
      <c r="X37" s="2"/>
      <c r="Y37" s="133">
        <f>Y36</f>
        <v>4</v>
      </c>
      <c r="Z37" s="133">
        <f>-Y32</f>
        <v>-51.719587948576581</v>
      </c>
      <c r="AA37" s="2"/>
      <c r="AB37" s="133">
        <f>AB36</f>
        <v>8</v>
      </c>
      <c r="AC37" s="133">
        <f>-Z32</f>
        <v>-61.530546165911822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8</v>
      </c>
      <c r="AI38" s="123">
        <f>AI17</f>
        <v>48.699999999999996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13.5</v>
      </c>
      <c r="AI39" s="123">
        <f>AI38</f>
        <v>48.699999999999996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13.5</v>
      </c>
      <c r="W40" s="132">
        <v>0</v>
      </c>
      <c r="X40" s="2"/>
      <c r="Y40" s="133">
        <f>AK59</f>
        <v>17.5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13.5</v>
      </c>
      <c r="AI40" s="123">
        <f>AI39+F7</f>
        <v>63.05</v>
      </c>
      <c r="AJ40" s="2"/>
      <c r="AK40" s="8">
        <f>AM33</f>
        <v>1.6866482235937676</v>
      </c>
      <c r="AL40" s="123">
        <v>0</v>
      </c>
      <c r="AM40" s="2"/>
      <c r="AN40" s="22"/>
    </row>
    <row r="41" spans="22:40" x14ac:dyDescent="0.2">
      <c r="V41" s="131">
        <f>V40</f>
        <v>13.5</v>
      </c>
      <c r="W41" s="133">
        <f>-AA32</f>
        <v>-69.297397242017183</v>
      </c>
      <c r="X41" s="2"/>
      <c r="Y41" s="133">
        <f>Y40</f>
        <v>17.5</v>
      </c>
      <c r="Z41" s="133">
        <f>-AB32</f>
        <v>-12.69406663492382</v>
      </c>
      <c r="AA41" s="2"/>
      <c r="AB41" s="2"/>
      <c r="AC41" s="2"/>
      <c r="AD41" s="2"/>
      <c r="AE41" s="2"/>
      <c r="AF41" s="2"/>
      <c r="AG41" s="2"/>
      <c r="AH41" s="8">
        <f>AH38</f>
        <v>8</v>
      </c>
      <c r="AI41" s="123">
        <f>AI40</f>
        <v>63.05</v>
      </c>
      <c r="AJ41" s="2"/>
      <c r="AK41" s="8">
        <f>AK40</f>
        <v>1.6866482235937676</v>
      </c>
      <c r="AL41" s="8">
        <f>AN33</f>
        <v>20.411312501340685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8</v>
      </c>
      <c r="AI42" s="123">
        <f>AI38</f>
        <v>48.699999999999996</v>
      </c>
      <c r="AJ42" s="2"/>
      <c r="AK42" s="8">
        <f>AM34</f>
        <v>5.782770929465558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5.782770929465558</v>
      </c>
      <c r="AL43" s="8">
        <f>AN34</f>
        <v>-1.4752679545255099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10.682476384882159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13.5</v>
      </c>
      <c r="AI45" s="123">
        <f>AI17</f>
        <v>48.699999999999996</v>
      </c>
      <c r="AJ45" s="2"/>
      <c r="AK45" s="8">
        <f>AK44</f>
        <v>10.682476384882159</v>
      </c>
      <c r="AL45" s="8">
        <f>AN35</f>
        <v>24.614568673227886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17.5</v>
      </c>
      <c r="AI46" s="123">
        <f>AI45</f>
        <v>48.699999999999996</v>
      </c>
      <c r="AJ46" s="2"/>
      <c r="AK46" s="8">
        <f>AM36</f>
        <v>16.278241902317244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24.203402008570563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17.5</v>
      </c>
      <c r="AI47" s="123">
        <f>AI46+G7</f>
        <v>59.089999999999996</v>
      </c>
      <c r="AJ47" s="2"/>
      <c r="AK47" s="8">
        <f>AK46</f>
        <v>16.278241902317244</v>
      </c>
      <c r="AL47" s="8">
        <f>AN36</f>
        <v>7.7545393518713368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0.5</v>
      </c>
      <c r="AA48" s="10">
        <f t="shared" si="0"/>
        <v>10.307951004285282</v>
      </c>
      <c r="AB48" s="10">
        <f t="shared" si="1"/>
        <v>17.028402008570566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13.5</v>
      </c>
      <c r="AI48" s="123">
        <f>AI47</f>
        <v>59.089999999999996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</v>
      </c>
      <c r="AA49" s="10">
        <f t="shared" si="0"/>
        <v>17.028402008570566</v>
      </c>
      <c r="AB49" s="10">
        <f t="shared" si="1"/>
        <v>9.8534020085705656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13.5</v>
      </c>
      <c r="AI49" s="123">
        <f>AI45</f>
        <v>48.699999999999996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1.5</v>
      </c>
      <c r="AA50" s="10">
        <f t="shared" si="0"/>
        <v>20.161353012855848</v>
      </c>
      <c r="AB50" s="10">
        <f t="shared" si="1"/>
        <v>2.6784020085705649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</v>
      </c>
      <c r="AA51" s="10">
        <f t="shared" si="0"/>
        <v>19.706804017141131</v>
      </c>
      <c r="AB51" s="10">
        <f t="shared" si="1"/>
        <v>-4.4965979914294323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24.203402008570563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2.5</v>
      </c>
      <c r="AA52" s="10">
        <f t="shared" si="0"/>
        <v>15.664755021426416</v>
      </c>
      <c r="AB52" s="10">
        <f t="shared" si="1"/>
        <v>-11.671597991429429</v>
      </c>
      <c r="AC52" s="3"/>
      <c r="AD52" s="10">
        <f t="shared" si="3"/>
        <v>0.5</v>
      </c>
      <c r="AE52" s="10">
        <f t="shared" si="4"/>
        <v>10.307951004285282</v>
      </c>
      <c r="AF52" s="10">
        <f t="shared" si="4"/>
        <v>17.028402008570566</v>
      </c>
      <c r="AG52" s="2"/>
      <c r="AH52" s="8">
        <f>AK59</f>
        <v>17.5</v>
      </c>
      <c r="AI52" s="123">
        <f>AI17</f>
        <v>48.699999999999996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</v>
      </c>
      <c r="AA53" s="10">
        <f t="shared" si="0"/>
        <v>8.0352060257117017</v>
      </c>
      <c r="AB53" s="10">
        <f t="shared" si="1"/>
        <v>-18.846597991429434</v>
      </c>
      <c r="AC53" s="3"/>
      <c r="AD53" s="10">
        <f t="shared" si="3"/>
        <v>1</v>
      </c>
      <c r="AE53" s="10">
        <f t="shared" si="4"/>
        <v>17.028402008570566</v>
      </c>
      <c r="AF53" s="10">
        <f t="shared" si="4"/>
        <v>9.8534020085705656</v>
      </c>
      <c r="AG53" s="2"/>
      <c r="AH53" s="8">
        <f>AK60</f>
        <v>17.5</v>
      </c>
      <c r="AI53" s="123">
        <f>AI52</f>
        <v>48.699999999999996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3.5</v>
      </c>
      <c r="AA54" s="10">
        <f t="shared" si="0"/>
        <v>-3.1818429700030038</v>
      </c>
      <c r="AB54" s="10">
        <f t="shared" si="1"/>
        <v>-26.021597991429431</v>
      </c>
      <c r="AC54" s="2"/>
      <c r="AD54" s="10">
        <f t="shared" si="3"/>
        <v>1.5</v>
      </c>
      <c r="AE54" s="10">
        <f t="shared" si="4"/>
        <v>20.161353012855848</v>
      </c>
      <c r="AF54" s="10">
        <f t="shared" si="4"/>
        <v>2.6784020085705649</v>
      </c>
      <c r="AG54" s="2"/>
      <c r="AH54" s="8">
        <f>AH53</f>
        <v>17.5</v>
      </c>
      <c r="AI54" s="123">
        <f>AI53+H7</f>
        <v>48.699999999999996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4</v>
      </c>
      <c r="AA55" s="10">
        <f t="shared" si="0"/>
        <v>-17.986391965717729</v>
      </c>
      <c r="AB55" s="10">
        <f t="shared" si="1"/>
        <v>-33.196597991429428</v>
      </c>
      <c r="AC55" s="2"/>
      <c r="AD55" s="10">
        <f t="shared" si="3"/>
        <v>2</v>
      </c>
      <c r="AE55" s="10">
        <f t="shared" si="4"/>
        <v>19.706804017141131</v>
      </c>
      <c r="AF55" s="10">
        <f t="shared" si="4"/>
        <v>-4.4965979914294323</v>
      </c>
      <c r="AG55" s="2"/>
      <c r="AH55" s="8">
        <f>AH52</f>
        <v>17.5</v>
      </c>
      <c r="AI55" s="123">
        <f>AI54</f>
        <v>48.699999999999996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2.5</v>
      </c>
      <c r="AE56" s="10">
        <f t="shared" si="4"/>
        <v>15.664755021426416</v>
      </c>
      <c r="AF56" s="10">
        <f t="shared" si="4"/>
        <v>-11.671597991429429</v>
      </c>
      <c r="AG56" s="2"/>
      <c r="AH56" s="8">
        <f>AH52</f>
        <v>17.5</v>
      </c>
      <c r="AI56" s="123">
        <f>AI52</f>
        <v>48.699999999999996</v>
      </c>
      <c r="AJ56" s="2"/>
      <c r="AK56" s="8">
        <f>AK55+D4</f>
        <v>4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</v>
      </c>
      <c r="AE57" s="10">
        <f t="shared" si="4"/>
        <v>8.0352060257117017</v>
      </c>
      <c r="AF57" s="10">
        <f t="shared" si="4"/>
        <v>-18.846597991429434</v>
      </c>
      <c r="AG57" s="2"/>
      <c r="AH57" s="2"/>
      <c r="AI57" s="2"/>
      <c r="AJ57" s="2"/>
      <c r="AK57" s="8">
        <f>AK56+E4</f>
        <v>8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3.5</v>
      </c>
      <c r="AE58" s="10">
        <f t="shared" si="4"/>
        <v>-3.1818429700030038</v>
      </c>
      <c r="AF58" s="10">
        <f t="shared" si="4"/>
        <v>-26.021597991429431</v>
      </c>
      <c r="AG58" s="2"/>
      <c r="AH58" s="2"/>
      <c r="AI58" s="2"/>
      <c r="AJ58" s="2"/>
      <c r="AK58" s="8">
        <f>AK57+F4</f>
        <v>13.5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-17.986391965717722</v>
      </c>
      <c r="X59" s="140">
        <f t="shared" ref="X59:X67" si="6">-$E$7*V59+$Y$28</f>
        <v>18.522989957147153</v>
      </c>
      <c r="Y59" s="2"/>
      <c r="Z59" s="172">
        <v>0</v>
      </c>
      <c r="AA59" s="172">
        <f t="shared" ref="AA59:AA67" si="7">-$W$22-$F$7*Z59^2/2+$AA$28*Z59</f>
        <v>-27.014432137129116</v>
      </c>
      <c r="AB59" s="172">
        <f t="shared" ref="AB59:AB67" si="8">-$F$7*Z59+$AA$28</f>
        <v>38.493536123058973</v>
      </c>
      <c r="AC59" s="2"/>
      <c r="AD59" s="10">
        <f t="shared" si="3"/>
        <v>4</v>
      </c>
      <c r="AE59" s="10">
        <f t="shared" si="4"/>
        <v>-17.986391965717729</v>
      </c>
      <c r="AF59" s="10">
        <f t="shared" si="4"/>
        <v>-33.196597991429428</v>
      </c>
      <c r="AG59" s="2"/>
      <c r="AH59" s="2"/>
      <c r="AI59" s="2"/>
      <c r="AJ59" s="2"/>
      <c r="AK59" s="8">
        <f>AK58+G4</f>
        <v>17.5</v>
      </c>
      <c r="AL59" s="123">
        <v>0</v>
      </c>
      <c r="AM59" s="2"/>
      <c r="AN59" s="22"/>
    </row>
    <row r="60" spans="13:40" x14ac:dyDescent="0.2">
      <c r="V60" s="139">
        <f>$E$4/8</f>
        <v>0.5</v>
      </c>
      <c r="W60" s="140">
        <f t="shared" si="5"/>
        <v>-10.023646987144144</v>
      </c>
      <c r="X60" s="140">
        <f t="shared" si="6"/>
        <v>13.327989957147153</v>
      </c>
      <c r="Y60" s="2"/>
      <c r="Z60" s="172">
        <f>$F$4/8</f>
        <v>0.6875</v>
      </c>
      <c r="AA60" s="172">
        <f t="shared" si="7"/>
        <v>-3.9414346462760719</v>
      </c>
      <c r="AB60" s="172">
        <f t="shared" si="8"/>
        <v>28.627911123058976</v>
      </c>
      <c r="AC60" s="2"/>
      <c r="AD60" s="140">
        <f t="shared" ref="AD60:AD68" si="9">$AD$59+V59</f>
        <v>4</v>
      </c>
      <c r="AE60" s="140">
        <f t="shared" ref="AE60:AF68" si="10">W59</f>
        <v>-17.986391965717722</v>
      </c>
      <c r="AF60" s="140">
        <f t="shared" si="10"/>
        <v>18.522989957147153</v>
      </c>
      <c r="AG60" s="2"/>
      <c r="AH60" s="2"/>
      <c r="AI60" s="2"/>
      <c r="AJ60" s="2"/>
      <c r="AK60" s="8">
        <f>AK59+H4</f>
        <v>17.5</v>
      </c>
      <c r="AL60" s="123">
        <v>0</v>
      </c>
      <c r="AM60" s="2"/>
      <c r="AN60" s="22"/>
    </row>
    <row r="61" spans="13:40" x14ac:dyDescent="0.2">
      <c r="V61" s="139">
        <f>2*$E$4/8</f>
        <v>1</v>
      </c>
      <c r="W61" s="140">
        <f t="shared" si="5"/>
        <v>-4.6584020085705689</v>
      </c>
      <c r="X61" s="140">
        <f t="shared" si="6"/>
        <v>8.1329899571471529</v>
      </c>
      <c r="Y61" s="2"/>
      <c r="Z61" s="172">
        <f>2*$F$4/8</f>
        <v>1.375</v>
      </c>
      <c r="AA61" s="172">
        <f t="shared" si="7"/>
        <v>12.348945657076975</v>
      </c>
      <c r="AB61" s="172">
        <f t="shared" si="8"/>
        <v>18.762286123058978</v>
      </c>
      <c r="AC61" s="2"/>
      <c r="AD61" s="140">
        <f t="shared" si="9"/>
        <v>4.5</v>
      </c>
      <c r="AE61" s="140">
        <f t="shared" si="10"/>
        <v>-10.023646987144144</v>
      </c>
      <c r="AF61" s="140">
        <f t="shared" si="10"/>
        <v>13.327989957147153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1.5</v>
      </c>
      <c r="W62" s="140">
        <f t="shared" si="5"/>
        <v>-1.8906570299969907</v>
      </c>
      <c r="X62" s="140">
        <f t="shared" si="6"/>
        <v>2.9379899571471526</v>
      </c>
      <c r="Y62" s="2"/>
      <c r="Z62" s="172">
        <f>3*$F$4/8</f>
        <v>2.0625</v>
      </c>
      <c r="AA62" s="172">
        <f t="shared" si="7"/>
        <v>21.85670877293002</v>
      </c>
      <c r="AB62" s="172">
        <f t="shared" si="8"/>
        <v>8.8966611230589763</v>
      </c>
      <c r="AC62" s="2"/>
      <c r="AD62" s="140">
        <f t="shared" si="9"/>
        <v>5</v>
      </c>
      <c r="AE62" s="140">
        <f t="shared" si="10"/>
        <v>-4.6584020085705689</v>
      </c>
      <c r="AF62" s="140">
        <f t="shared" si="10"/>
        <v>8.1329899571471529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</v>
      </c>
      <c r="W63" s="140">
        <f t="shared" si="5"/>
        <v>-1.7204120514234162</v>
      </c>
      <c r="X63" s="140">
        <f t="shared" si="6"/>
        <v>-2.2570100428528477</v>
      </c>
      <c r="Y63" s="2"/>
      <c r="Z63" s="172">
        <f>4*$F$4/8</f>
        <v>2.75</v>
      </c>
      <c r="AA63" s="172">
        <f t="shared" si="7"/>
        <v>24.581854701283078</v>
      </c>
      <c r="AB63" s="172">
        <f t="shared" si="8"/>
        <v>-0.96896387694101804</v>
      </c>
      <c r="AC63" s="2"/>
      <c r="AD63" s="140">
        <f t="shared" si="9"/>
        <v>5.5</v>
      </c>
      <c r="AE63" s="140">
        <f t="shared" si="10"/>
        <v>-1.8906570299969907</v>
      </c>
      <c r="AF63" s="140">
        <f t="shared" si="10"/>
        <v>2.9379899571471526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2.5</v>
      </c>
      <c r="W64" s="140">
        <f t="shared" si="5"/>
        <v>-4.1476670728498348</v>
      </c>
      <c r="X64" s="140">
        <f t="shared" si="6"/>
        <v>-7.452010042852848</v>
      </c>
      <c r="Y64" s="2"/>
      <c r="Z64" s="172">
        <f>5*$F$4/8</f>
        <v>3.4375</v>
      </c>
      <c r="AA64" s="172">
        <f t="shared" si="7"/>
        <v>20.524383442136113</v>
      </c>
      <c r="AB64" s="172">
        <f t="shared" si="8"/>
        <v>-10.834588876941019</v>
      </c>
      <c r="AC64" s="2"/>
      <c r="AD64" s="140">
        <f t="shared" si="9"/>
        <v>6</v>
      </c>
      <c r="AE64" s="140">
        <f t="shared" si="10"/>
        <v>-1.7204120514234162</v>
      </c>
      <c r="AF64" s="140">
        <f t="shared" si="10"/>
        <v>-2.2570100428528477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</v>
      </c>
      <c r="W65" s="140">
        <f t="shared" si="5"/>
        <v>-9.1724220942762642</v>
      </c>
      <c r="X65" s="140">
        <f t="shared" si="6"/>
        <v>-12.647010042852848</v>
      </c>
      <c r="Y65" s="2"/>
      <c r="Z65" s="172">
        <f>6*$F$4/8</f>
        <v>4.125</v>
      </c>
      <c r="AA65" s="172">
        <f t="shared" si="7"/>
        <v>9.6842949954891537</v>
      </c>
      <c r="AB65" s="172">
        <f t="shared" si="8"/>
        <v>-20.700213876941021</v>
      </c>
      <c r="AC65" s="2"/>
      <c r="AD65" s="140">
        <f t="shared" si="9"/>
        <v>6.5</v>
      </c>
      <c r="AE65" s="140">
        <f t="shared" si="10"/>
        <v>-4.1476670728498348</v>
      </c>
      <c r="AF65" s="140">
        <f t="shared" si="10"/>
        <v>-7.452010042852848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3.5</v>
      </c>
      <c r="W66" s="140">
        <f t="shared" si="5"/>
        <v>-16.794677115702683</v>
      </c>
      <c r="X66" s="140">
        <f t="shared" si="6"/>
        <v>-17.842010042852849</v>
      </c>
      <c r="Y66" s="2"/>
      <c r="Z66" s="172">
        <f>7*$F$4/8</f>
        <v>4.8125</v>
      </c>
      <c r="AA66" s="172">
        <f t="shared" si="7"/>
        <v>-7.9384106386577855</v>
      </c>
      <c r="AB66" s="172">
        <f t="shared" si="8"/>
        <v>-30.565838876941015</v>
      </c>
      <c r="AC66" s="2"/>
      <c r="AD66" s="140">
        <f t="shared" si="9"/>
        <v>7</v>
      </c>
      <c r="AE66" s="140">
        <f t="shared" si="10"/>
        <v>-9.1724220942762642</v>
      </c>
      <c r="AF66" s="140">
        <f t="shared" si="10"/>
        <v>-12.647010042852848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4</v>
      </c>
      <c r="W67" s="140">
        <f t="shared" si="5"/>
        <v>-27.01443213712912</v>
      </c>
      <c r="X67" s="140">
        <f t="shared" si="6"/>
        <v>-23.037010042852849</v>
      </c>
      <c r="Y67" s="2"/>
      <c r="Z67" s="172">
        <f>8*$F$4/8</f>
        <v>5.5</v>
      </c>
      <c r="AA67" s="172">
        <f t="shared" si="7"/>
        <v>-32.343733460304719</v>
      </c>
      <c r="AB67" s="172">
        <f t="shared" si="8"/>
        <v>-40.43146387694101</v>
      </c>
      <c r="AC67" s="2"/>
      <c r="AD67" s="140">
        <f t="shared" si="9"/>
        <v>7.5</v>
      </c>
      <c r="AE67" s="140">
        <f t="shared" si="10"/>
        <v>-16.794677115702683</v>
      </c>
      <c r="AF67" s="140">
        <f t="shared" si="10"/>
        <v>-17.842010042852849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8</v>
      </c>
      <c r="AE68" s="140">
        <f t="shared" si="10"/>
        <v>-27.01443213712912</v>
      </c>
      <c r="AF68" s="140">
        <f t="shared" si="10"/>
        <v>-23.037010042852849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8</v>
      </c>
      <c r="AE69" s="172">
        <f t="shared" ref="AE69:AF77" si="12">AA59</f>
        <v>-27.014432137129116</v>
      </c>
      <c r="AF69" s="172">
        <f t="shared" si="12"/>
        <v>38.493536123058973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8.6875</v>
      </c>
      <c r="AE70" s="172">
        <f t="shared" si="12"/>
        <v>-3.9414346462760719</v>
      </c>
      <c r="AF70" s="172">
        <f t="shared" si="12"/>
        <v>28.627911123058976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9.375</v>
      </c>
      <c r="AE71" s="172">
        <f t="shared" si="12"/>
        <v>12.348945657076975</v>
      </c>
      <c r="AF71" s="172">
        <f t="shared" si="12"/>
        <v>18.762286123058978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-32.343733460304726</v>
      </c>
      <c r="X72" s="200">
        <f t="shared" ref="X72:X80" si="14">-$G$7*V72+$AC$28</f>
        <v>28.865933365076181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10.0625</v>
      </c>
      <c r="AE72" s="172">
        <f t="shared" si="12"/>
        <v>21.85670877293002</v>
      </c>
      <c r="AF72" s="172">
        <f t="shared" si="12"/>
        <v>8.8966611230589763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0.5</v>
      </c>
      <c r="W73" s="200">
        <f t="shared" si="13"/>
        <v>-19.209516777766634</v>
      </c>
      <c r="X73" s="200">
        <f t="shared" si="14"/>
        <v>23.670933365076181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10.75</v>
      </c>
      <c r="AE73" s="172">
        <f t="shared" si="12"/>
        <v>24.581854701283078</v>
      </c>
      <c r="AF73" s="172">
        <f t="shared" si="12"/>
        <v>-0.96896387694101804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</v>
      </c>
      <c r="W74" s="200">
        <f t="shared" si="13"/>
        <v>-8.6728000952285456</v>
      </c>
      <c r="X74" s="200">
        <f t="shared" si="14"/>
        <v>18.47593336507618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11.4375</v>
      </c>
      <c r="AE74" s="172">
        <f t="shared" si="12"/>
        <v>20.524383442136113</v>
      </c>
      <c r="AF74" s="172">
        <f t="shared" si="12"/>
        <v>-10.834588876941019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1.5</v>
      </c>
      <c r="W75" s="200">
        <f t="shared" si="13"/>
        <v>-0.73358341269045724</v>
      </c>
      <c r="X75" s="200">
        <f t="shared" si="14"/>
        <v>13.28093336507618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12.125</v>
      </c>
      <c r="AE75" s="172">
        <f t="shared" si="12"/>
        <v>9.6842949954891537</v>
      </c>
      <c r="AF75" s="172">
        <f t="shared" si="12"/>
        <v>-20.700213876941021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</v>
      </c>
      <c r="W76" s="200">
        <f t="shared" si="13"/>
        <v>4.6081332698476345</v>
      </c>
      <c r="X76" s="200">
        <f t="shared" si="14"/>
        <v>8.0859333650761798</v>
      </c>
      <c r="Y76" s="2"/>
      <c r="Z76" s="122"/>
      <c r="AA76" s="122"/>
      <c r="AB76" s="122"/>
      <c r="AC76" s="2"/>
      <c r="AD76" s="172">
        <f t="shared" si="11"/>
        <v>12.8125</v>
      </c>
      <c r="AE76" s="172">
        <f t="shared" si="12"/>
        <v>-7.9384106386577855</v>
      </c>
      <c r="AF76" s="172">
        <f t="shared" si="12"/>
        <v>-30.565838876941015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2.5</v>
      </c>
      <c r="W77" s="200">
        <f t="shared" si="13"/>
        <v>7.3523499523857367</v>
      </c>
      <c r="X77" s="200">
        <f t="shared" si="14"/>
        <v>2.8909333650761795</v>
      </c>
      <c r="Y77" s="2"/>
      <c r="Z77" s="3"/>
      <c r="AA77" s="3"/>
      <c r="AB77" s="3"/>
      <c r="AC77" s="2"/>
      <c r="AD77" s="172">
        <f t="shared" si="11"/>
        <v>13.5</v>
      </c>
      <c r="AE77" s="172">
        <f t="shared" si="12"/>
        <v>-32.343733460304719</v>
      </c>
      <c r="AF77" s="172">
        <f t="shared" si="12"/>
        <v>-40.43146387694101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</v>
      </c>
      <c r="W78" s="200">
        <f t="shared" si="13"/>
        <v>7.4990666349238069</v>
      </c>
      <c r="X78" s="200">
        <f t="shared" si="14"/>
        <v>-2.3040666349238208</v>
      </c>
      <c r="Y78" s="2"/>
      <c r="Z78" s="3"/>
      <c r="AA78" s="3"/>
      <c r="AB78" s="3"/>
      <c r="AC78" s="2"/>
      <c r="AD78" s="200">
        <f t="shared" ref="AD78:AD86" si="15">$AD$77+V72</f>
        <v>13.5</v>
      </c>
      <c r="AE78" s="200">
        <f t="shared" ref="AE78:AF86" si="16">W72</f>
        <v>-32.343733460304726</v>
      </c>
      <c r="AF78" s="200">
        <f t="shared" si="16"/>
        <v>28.865933365076181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3.5</v>
      </c>
      <c r="W79" s="200">
        <f t="shared" si="13"/>
        <v>5.0482833174618946</v>
      </c>
      <c r="X79" s="200">
        <f t="shared" si="14"/>
        <v>-7.4990666349238211</v>
      </c>
      <c r="Y79" s="2"/>
      <c r="Z79" s="3"/>
      <c r="AA79" s="3"/>
      <c r="AB79" s="3"/>
      <c r="AC79" s="2"/>
      <c r="AD79" s="200">
        <f t="shared" si="15"/>
        <v>14</v>
      </c>
      <c r="AE79" s="200">
        <f t="shared" si="16"/>
        <v>-19.209516777766634</v>
      </c>
      <c r="AF79" s="200">
        <f t="shared" si="16"/>
        <v>23.670933365076181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4</v>
      </c>
      <c r="W80" s="200">
        <f t="shared" si="13"/>
        <v>0</v>
      </c>
      <c r="X80" s="200">
        <f t="shared" si="14"/>
        <v>-12.694066634923821</v>
      </c>
      <c r="Y80" s="2"/>
      <c r="Z80" s="3"/>
      <c r="AA80" s="3"/>
      <c r="AB80" s="3"/>
      <c r="AC80" s="2"/>
      <c r="AD80" s="200">
        <f t="shared" si="15"/>
        <v>14.5</v>
      </c>
      <c r="AE80" s="200">
        <f t="shared" si="16"/>
        <v>-8.6728000952285456</v>
      </c>
      <c r="AF80" s="200">
        <f t="shared" si="16"/>
        <v>18.47593336507618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15</v>
      </c>
      <c r="AE81" s="200">
        <f t="shared" si="16"/>
        <v>-0.73358341269045724</v>
      </c>
      <c r="AF81" s="200">
        <f t="shared" si="16"/>
        <v>13.28093336507618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15.5</v>
      </c>
      <c r="AE82" s="200">
        <f t="shared" si="16"/>
        <v>4.6081332698476345</v>
      </c>
      <c r="AF82" s="200">
        <f t="shared" si="16"/>
        <v>8.0859333650761798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16</v>
      </c>
      <c r="AE83" s="200">
        <f t="shared" si="16"/>
        <v>7.3523499523857367</v>
      </c>
      <c r="AF83" s="200">
        <f t="shared" si="16"/>
        <v>2.8909333650761795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16.5</v>
      </c>
      <c r="AE84" s="200">
        <f t="shared" si="16"/>
        <v>7.4990666349238069</v>
      </c>
      <c r="AF84" s="200">
        <f t="shared" si="16"/>
        <v>-2.3040666349238208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17</v>
      </c>
      <c r="AE85" s="200">
        <f t="shared" si="16"/>
        <v>5.0482833174618946</v>
      </c>
      <c r="AF85" s="200">
        <f t="shared" si="16"/>
        <v>-7.4990666349238211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17.5</v>
      </c>
      <c r="AE86" s="200">
        <f t="shared" si="16"/>
        <v>0</v>
      </c>
      <c r="AF86" s="200">
        <f t="shared" si="16"/>
        <v>-12.694066634923821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17.5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17.5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17.5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17.5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7"/>
  <dimension ref="A1:AT100"/>
  <sheetViews>
    <sheetView topLeftCell="A6" zoomScale="85" zoomScaleNormal="85" workbookViewId="0">
      <selection activeCell="K27" sqref="K27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4</v>
      </c>
      <c r="E4" s="14">
        <f>'CCCC-Trave'!E15</f>
        <v>4</v>
      </c>
      <c r="F4" s="14">
        <f>'CCCC-Trave'!F15</f>
        <v>5.5</v>
      </c>
      <c r="G4" s="14">
        <f>'CCCC-Trave'!G15</f>
        <v>4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45</v>
      </c>
      <c r="C7" s="14">
        <f>'CCCC-Trave'!C29</f>
        <v>0</v>
      </c>
      <c r="D7" s="14">
        <f>'CCCC-Trave'!D29</f>
        <v>14.349999999999998</v>
      </c>
      <c r="E7" s="14">
        <f>'CCCC-Trave'!E29</f>
        <v>14.349999999999998</v>
      </c>
      <c r="F7" s="14">
        <f>'CCCC-Trave'!F29</f>
        <v>10.39</v>
      </c>
      <c r="G7" s="14">
        <f>'CCCC-Trave'!G29</f>
        <v>14.349999999999998</v>
      </c>
      <c r="H7" s="14">
        <f>'CCCC-Trave'!H29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144">
        <f>-(D4/D18+E4/I18)/3</f>
        <v>-20000</v>
      </c>
      <c r="W16" s="192">
        <f>-E4/(6*I18)</f>
        <v>-5000</v>
      </c>
      <c r="X16" s="192">
        <v>0</v>
      </c>
      <c r="Y16" s="19"/>
      <c r="Z16" s="193">
        <f t="array" ref="Z16:AB18">MINVERSE(V16:X18)</f>
        <v>-5.3047313552526068E-5</v>
      </c>
      <c r="AA16" s="193">
        <v>1.2189254210104252E-5</v>
      </c>
      <c r="AB16" s="193">
        <v>-3.5284683239775461E-6</v>
      </c>
      <c r="AC16" s="19"/>
      <c r="AD16" s="19"/>
      <c r="AE16" s="194">
        <f>AB22</f>
        <v>-573999.99999999988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-5000</v>
      </c>
      <c r="W17" s="136">
        <f>-(E4/I18+F4/D21)/3</f>
        <v>-23750</v>
      </c>
      <c r="X17" s="136">
        <f>-F4/(6*D21)</f>
        <v>-6875</v>
      </c>
      <c r="Y17" s="2"/>
      <c r="Z17" s="123">
        <v>1.2189254210104252E-5</v>
      </c>
      <c r="AA17" s="123">
        <v>-4.8757016840417008E-5</v>
      </c>
      <c r="AB17" s="123">
        <v>1.4113873295910184E-5</v>
      </c>
      <c r="AC17" s="2"/>
      <c r="AD17" s="2"/>
      <c r="AE17" s="124">
        <f>AC22</f>
        <v>-827198.828125</v>
      </c>
      <c r="AF17" s="2"/>
      <c r="AG17" s="2"/>
      <c r="AH17" s="123">
        <v>0</v>
      </c>
      <c r="AI17" s="123">
        <f>5+MAX('CCCC-car.3'!AI17:AI56)</f>
        <v>68.05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-6875</v>
      </c>
      <c r="X18" s="136">
        <f>-(F4/D21+G4/I21)/3</f>
        <v>-23750</v>
      </c>
      <c r="Y18" s="2"/>
      <c r="Z18" s="123">
        <v>-3.5284683239775465E-6</v>
      </c>
      <c r="AA18" s="123">
        <v>1.4113873295910186E-5</v>
      </c>
      <c r="AB18" s="123">
        <v>-4.619085805934242E-5</v>
      </c>
      <c r="AC18" s="2"/>
      <c r="AD18" s="2"/>
      <c r="AE18" s="124">
        <f>AD22</f>
        <v>-827198.828125</v>
      </c>
      <c r="AF18" s="2"/>
      <c r="AG18" s="2"/>
      <c r="AH18" s="123">
        <f>C4</f>
        <v>0</v>
      </c>
      <c r="AI18" s="123">
        <f>AI17</f>
        <v>68.05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68.05</v>
      </c>
      <c r="AJ19" s="2"/>
      <c r="AK19" s="8">
        <f>AK56</f>
        <v>4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68.05</v>
      </c>
      <c r="AJ20" s="2"/>
      <c r="AK20" s="8">
        <f>AK19</f>
        <v>4</v>
      </c>
      <c r="AL20" s="8">
        <f>AE59</f>
        <v>-23.284966043504397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23.284966043504404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68.05</v>
      </c>
      <c r="AJ21" s="2"/>
      <c r="AK21" s="8">
        <f>AK57</f>
        <v>8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21.660135825982362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-573999.99999999988</v>
      </c>
      <c r="AC22" s="124">
        <f>-E7*E4^3/(24*I18)-F7*F4^3/(24*D21)</f>
        <v>-827198.828125</v>
      </c>
      <c r="AD22" s="124">
        <f>-F7*F4^3/(24*D21)-G7*G4^3/(24*I21)+(H7*H4^2/2)*G4/(6*I21)</f>
        <v>-827198.828125</v>
      </c>
      <c r="AE22" s="2"/>
      <c r="AF22" s="2"/>
      <c r="AG22" s="2"/>
      <c r="AH22" s="2"/>
      <c r="AI22" s="2"/>
      <c r="AJ22" s="2"/>
      <c r="AK22" s="8">
        <f>AK21</f>
        <v>8</v>
      </c>
      <c r="AL22" s="8">
        <f>AE68</f>
        <v>-21.660135825982351</v>
      </c>
      <c r="AM22" s="2"/>
      <c r="AN22" s="22"/>
    </row>
    <row r="23" spans="1:46" x14ac:dyDescent="0.2">
      <c r="V23" s="24" t="s">
        <v>99</v>
      </c>
      <c r="W23" s="8">
        <v>28.559385024057736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13.5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68.05</v>
      </c>
      <c r="AJ24" s="2"/>
      <c r="AK24" s="8">
        <f>AK23</f>
        <v>13.5</v>
      </c>
      <c r="AL24" s="8">
        <f>AE77</f>
        <v>-28.559385024057747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4</v>
      </c>
      <c r="AI25" s="123">
        <f>AI24</f>
        <v>68.05</v>
      </c>
      <c r="AJ25" s="2"/>
      <c r="AK25" s="8">
        <f>AK59</f>
        <v>17.5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4</v>
      </c>
      <c r="AI26" s="123">
        <f>AI25+D7</f>
        <v>82.399999999999991</v>
      </c>
      <c r="AJ26" s="3"/>
      <c r="AK26" s="8">
        <f>AK25</f>
        <v>17.5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82.399999999999991</v>
      </c>
      <c r="AJ27" s="3"/>
      <c r="AK27" s="8">
        <f>AK60</f>
        <v>17.5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22.878758489123896</v>
      </c>
      <c r="X28" s="8">
        <f>(W21-Z21+D7*D4^2/2)/D4</f>
        <v>34.521241510876095</v>
      </c>
      <c r="Y28" s="8">
        <f>E7*E4-Z28</f>
        <v>29.106207554380507</v>
      </c>
      <c r="Z28" s="8">
        <f>(W22-W21+E7*E4^2/2)/E4</f>
        <v>28.293792445619484</v>
      </c>
      <c r="AA28" s="8">
        <f>F7*F4-AB28</f>
        <v>27.318091054895387</v>
      </c>
      <c r="AB28" s="8">
        <f>(W23-W22+F7*F4^2/2)/F4</f>
        <v>29.826908945104616</v>
      </c>
      <c r="AC28" s="8">
        <f>G7*G4-AD28</f>
        <v>35.839846256014425</v>
      </c>
      <c r="AD28" s="8">
        <f>(Z22-W23+G7*G4^2/2)/G4</f>
        <v>21.560153743985563</v>
      </c>
      <c r="AE28" s="8">
        <f>H7*H4</f>
        <v>0</v>
      </c>
      <c r="AF28" s="3"/>
      <c r="AG28" s="3"/>
      <c r="AH28" s="123">
        <f>AH24</f>
        <v>0</v>
      </c>
      <c r="AI28" s="123">
        <f>AI24</f>
        <v>68.05</v>
      </c>
      <c r="AJ28" s="3"/>
      <c r="AK28" s="8">
        <f>AK27</f>
        <v>17.5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4</v>
      </c>
      <c r="AI31" s="123">
        <f>AI17</f>
        <v>68.05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22.878758489123896</v>
      </c>
      <c r="Y32" s="8">
        <f>X28+Y28</f>
        <v>63.627449065256599</v>
      </c>
      <c r="Z32" s="8">
        <f>Z28+AA28</f>
        <v>55.611883500514871</v>
      </c>
      <c r="AA32" s="8">
        <f>AB28+AC28</f>
        <v>65.666755201119045</v>
      </c>
      <c r="AB32" s="8">
        <f>AD28+AE28</f>
        <v>21.560153743985563</v>
      </c>
      <c r="AC32" s="2"/>
      <c r="AD32" s="2"/>
      <c r="AE32" s="2"/>
      <c r="AF32" s="2"/>
      <c r="AG32" s="2"/>
      <c r="AH32" s="8">
        <f>AK57</f>
        <v>8</v>
      </c>
      <c r="AI32" s="123">
        <f>AI31</f>
        <v>68.05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8</v>
      </c>
      <c r="AI33" s="123">
        <f>AI32+E7</f>
        <v>82.399999999999991</v>
      </c>
      <c r="AJ33" s="2"/>
      <c r="AK33" s="196" t="s">
        <v>23</v>
      </c>
      <c r="AL33" s="8">
        <f>W28/D7</f>
        <v>1.594338570670655</v>
      </c>
      <c r="AM33" s="8">
        <f>C4+AL33</f>
        <v>1.594338570670655</v>
      </c>
      <c r="AN33" s="129">
        <f>W28*AL33-D7*AL33^2/2+AE50</f>
        <v>18.238243554134453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4</v>
      </c>
      <c r="AI34" s="123">
        <f>AI33</f>
        <v>82.399999999999991</v>
      </c>
      <c r="AJ34" s="2"/>
      <c r="AK34" s="197" t="s">
        <v>82</v>
      </c>
      <c r="AL34" s="8">
        <f>Y28/E7</f>
        <v>2.0283071466467257</v>
      </c>
      <c r="AM34" s="8">
        <f>C4+D4+AL34</f>
        <v>6.0283071466467257</v>
      </c>
      <c r="AN34" s="129">
        <f>Y28*AL34-E7*AL34^2/2+AE59</f>
        <v>6.2331983536620506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4</v>
      </c>
      <c r="AI35" s="123">
        <f>AI31</f>
        <v>68.05</v>
      </c>
      <c r="AJ35" s="2"/>
      <c r="AK35" s="197" t="s">
        <v>101</v>
      </c>
      <c r="AL35" s="8">
        <f>AA28/F7</f>
        <v>2.6292676664961872</v>
      </c>
      <c r="AM35" s="8">
        <f>C4+D4+E4+AL35</f>
        <v>10.629267666496187</v>
      </c>
      <c r="AN35" s="129">
        <f>AA28*AL35-F7*AL35^2/2+AE68</f>
        <v>14.253150934535228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4</v>
      </c>
      <c r="Z36" s="132">
        <v>0</v>
      </c>
      <c r="AA36" s="2"/>
      <c r="AB36" s="133">
        <f>AK57</f>
        <v>8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2.4975502617431657</v>
      </c>
      <c r="AM36" s="8">
        <f>C4+D4+E4+F4+AL36</f>
        <v>15.997550261743166</v>
      </c>
      <c r="AN36" s="129">
        <f>AC28*AL36-G7*AL36^2/2+AE77</f>
        <v>16.196523674714086</v>
      </c>
    </row>
    <row r="37" spans="22:40" x14ac:dyDescent="0.2">
      <c r="V37" s="131">
        <f>V36</f>
        <v>0</v>
      </c>
      <c r="W37" s="133">
        <f>-X32</f>
        <v>-22.878758489123896</v>
      </c>
      <c r="X37" s="2"/>
      <c r="Y37" s="133">
        <f>Y36</f>
        <v>4</v>
      </c>
      <c r="Z37" s="133">
        <f>-Y32</f>
        <v>-63.627449065256599</v>
      </c>
      <c r="AA37" s="2"/>
      <c r="AB37" s="133">
        <f>AB36</f>
        <v>8</v>
      </c>
      <c r="AC37" s="133">
        <f>-Z32</f>
        <v>-55.611883500514871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8</v>
      </c>
      <c r="AI38" s="123">
        <f>AI17</f>
        <v>68.05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13.5</v>
      </c>
      <c r="AI39" s="123">
        <f>AI38</f>
        <v>68.05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13.5</v>
      </c>
      <c r="W40" s="132">
        <v>0</v>
      </c>
      <c r="X40" s="2"/>
      <c r="Y40" s="133">
        <f>AK59</f>
        <v>17.5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13.5</v>
      </c>
      <c r="AI40" s="123">
        <f>AI39+F7</f>
        <v>78.44</v>
      </c>
      <c r="AJ40" s="2"/>
      <c r="AK40" s="8">
        <f>AM33</f>
        <v>1.594338570670655</v>
      </c>
      <c r="AL40" s="123">
        <v>0</v>
      </c>
      <c r="AM40" s="2"/>
      <c r="AN40" s="22"/>
    </row>
    <row r="41" spans="22:40" x14ac:dyDescent="0.2">
      <c r="V41" s="131">
        <f>V40</f>
        <v>13.5</v>
      </c>
      <c r="W41" s="133">
        <f>-AA32</f>
        <v>-65.666755201119045</v>
      </c>
      <c r="X41" s="2"/>
      <c r="Y41" s="133">
        <f>Y40</f>
        <v>17.5</v>
      </c>
      <c r="Z41" s="133">
        <f>-AB32</f>
        <v>-21.560153743985563</v>
      </c>
      <c r="AA41" s="2"/>
      <c r="AB41" s="2"/>
      <c r="AC41" s="2"/>
      <c r="AD41" s="2"/>
      <c r="AE41" s="2"/>
      <c r="AF41" s="2"/>
      <c r="AG41" s="2"/>
      <c r="AH41" s="8">
        <f>AH38</f>
        <v>8</v>
      </c>
      <c r="AI41" s="123">
        <f>AI40</f>
        <v>78.44</v>
      </c>
      <c r="AJ41" s="2"/>
      <c r="AK41" s="8">
        <f>AK40</f>
        <v>1.594338570670655</v>
      </c>
      <c r="AL41" s="8">
        <f>AN33</f>
        <v>18.238243554134453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8</v>
      </c>
      <c r="AI42" s="123">
        <f>AI38</f>
        <v>68.05</v>
      </c>
      <c r="AJ42" s="2"/>
      <c r="AK42" s="8">
        <f>AM34</f>
        <v>6.0283071466467257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6.0283071466467257</v>
      </c>
      <c r="AL43" s="8">
        <f>AN34</f>
        <v>6.2331983536620506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10.629267666496187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13.5</v>
      </c>
      <c r="AI45" s="123">
        <f>AI17</f>
        <v>68.05</v>
      </c>
      <c r="AJ45" s="2"/>
      <c r="AK45" s="8">
        <f>AK44</f>
        <v>10.629267666496187</v>
      </c>
      <c r="AL45" s="8">
        <f>AN35</f>
        <v>14.253150934535228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17.5</v>
      </c>
      <c r="AI46" s="123">
        <f>AI45</f>
        <v>68.05</v>
      </c>
      <c r="AJ46" s="2"/>
      <c r="AK46" s="8">
        <f>AM36</f>
        <v>15.997550261743166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22.878758489123896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17.5</v>
      </c>
      <c r="AI47" s="123">
        <f>AI46+G7</f>
        <v>82.399999999999991</v>
      </c>
      <c r="AJ47" s="2"/>
      <c r="AK47" s="8">
        <f>AK46</f>
        <v>15.997550261743166</v>
      </c>
      <c r="AL47" s="8">
        <f>AN36</f>
        <v>16.196523674714086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0.5</v>
      </c>
      <c r="AA48" s="10">
        <f t="shared" si="0"/>
        <v>9.6456292445619489</v>
      </c>
      <c r="AB48" s="10">
        <f t="shared" si="1"/>
        <v>15.703758489123897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13.5</v>
      </c>
      <c r="AI48" s="123">
        <f>AI47</f>
        <v>82.399999999999991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</v>
      </c>
      <c r="AA49" s="10">
        <f t="shared" si="0"/>
        <v>15.703758489123897</v>
      </c>
      <c r="AB49" s="10">
        <f t="shared" si="1"/>
        <v>8.5287584891238986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13.5</v>
      </c>
      <c r="AI49" s="123">
        <f>AI45</f>
        <v>68.05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1.5</v>
      </c>
      <c r="AA50" s="10">
        <f t="shared" si="0"/>
        <v>18.174387733685847</v>
      </c>
      <c r="AB50" s="10">
        <f t="shared" si="1"/>
        <v>1.3537584891238978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</v>
      </c>
      <c r="AA51" s="10">
        <f t="shared" si="0"/>
        <v>17.057516978247797</v>
      </c>
      <c r="AB51" s="10">
        <f t="shared" si="1"/>
        <v>-5.8212415108760993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22.878758489123896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2.5</v>
      </c>
      <c r="AA52" s="10">
        <f t="shared" si="0"/>
        <v>12.353146222809748</v>
      </c>
      <c r="AB52" s="10">
        <f t="shared" si="1"/>
        <v>-12.996241510876096</v>
      </c>
      <c r="AC52" s="3"/>
      <c r="AD52" s="10">
        <f t="shared" si="3"/>
        <v>0.5</v>
      </c>
      <c r="AE52" s="10">
        <f t="shared" si="4"/>
        <v>9.6456292445619489</v>
      </c>
      <c r="AF52" s="10">
        <f t="shared" si="4"/>
        <v>15.703758489123897</v>
      </c>
      <c r="AG52" s="2"/>
      <c r="AH52" s="8">
        <f>AK59</f>
        <v>17.5</v>
      </c>
      <c r="AI52" s="123">
        <f>AI17</f>
        <v>68.05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</v>
      </c>
      <c r="AA53" s="10">
        <f t="shared" si="0"/>
        <v>4.0612754673717006</v>
      </c>
      <c r="AB53" s="10">
        <f t="shared" si="1"/>
        <v>-20.171241510876101</v>
      </c>
      <c r="AC53" s="3"/>
      <c r="AD53" s="10">
        <f t="shared" si="3"/>
        <v>1</v>
      </c>
      <c r="AE53" s="10">
        <f t="shared" si="4"/>
        <v>15.703758489123897</v>
      </c>
      <c r="AF53" s="10">
        <f t="shared" si="4"/>
        <v>8.5287584891238986</v>
      </c>
      <c r="AG53" s="2"/>
      <c r="AH53" s="8">
        <f>AK60</f>
        <v>17.5</v>
      </c>
      <c r="AI53" s="123">
        <f>AI52</f>
        <v>68.05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3.5</v>
      </c>
      <c r="AA54" s="10">
        <f t="shared" si="0"/>
        <v>-7.8180952880663455</v>
      </c>
      <c r="AB54" s="10">
        <f t="shared" si="1"/>
        <v>-27.346241510876098</v>
      </c>
      <c r="AC54" s="2"/>
      <c r="AD54" s="10">
        <f t="shared" si="3"/>
        <v>1.5</v>
      </c>
      <c r="AE54" s="10">
        <f t="shared" si="4"/>
        <v>18.174387733685847</v>
      </c>
      <c r="AF54" s="10">
        <f t="shared" si="4"/>
        <v>1.3537584891238978</v>
      </c>
      <c r="AG54" s="2"/>
      <c r="AH54" s="8">
        <f>AH53</f>
        <v>17.5</v>
      </c>
      <c r="AI54" s="123">
        <f>AI53+H7</f>
        <v>68.05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4</v>
      </c>
      <c r="AA55" s="10">
        <f t="shared" si="0"/>
        <v>-23.284966043504397</v>
      </c>
      <c r="AB55" s="10">
        <f t="shared" si="1"/>
        <v>-34.521241510876095</v>
      </c>
      <c r="AC55" s="2"/>
      <c r="AD55" s="10">
        <f t="shared" si="3"/>
        <v>2</v>
      </c>
      <c r="AE55" s="10">
        <f t="shared" si="4"/>
        <v>17.057516978247797</v>
      </c>
      <c r="AF55" s="10">
        <f t="shared" si="4"/>
        <v>-5.8212415108760993</v>
      </c>
      <c r="AG55" s="2"/>
      <c r="AH55" s="8">
        <f>AH52</f>
        <v>17.5</v>
      </c>
      <c r="AI55" s="123">
        <f>AI54</f>
        <v>68.05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2.5</v>
      </c>
      <c r="AE56" s="10">
        <f t="shared" si="4"/>
        <v>12.353146222809748</v>
      </c>
      <c r="AF56" s="10">
        <f t="shared" si="4"/>
        <v>-12.996241510876096</v>
      </c>
      <c r="AG56" s="2"/>
      <c r="AH56" s="8">
        <f>AH52</f>
        <v>17.5</v>
      </c>
      <c r="AI56" s="123">
        <f>AI52</f>
        <v>68.05</v>
      </c>
      <c r="AJ56" s="2"/>
      <c r="AK56" s="8">
        <f>AK55+D4</f>
        <v>4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</v>
      </c>
      <c r="AE57" s="10">
        <f t="shared" si="4"/>
        <v>4.0612754673717006</v>
      </c>
      <c r="AF57" s="10">
        <f t="shared" si="4"/>
        <v>-20.171241510876101</v>
      </c>
      <c r="AG57" s="2"/>
      <c r="AH57" s="2"/>
      <c r="AI57" s="2"/>
      <c r="AJ57" s="2"/>
      <c r="AK57" s="8">
        <f>AK56+E4</f>
        <v>8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3.5</v>
      </c>
      <c r="AE58" s="10">
        <f t="shared" si="4"/>
        <v>-7.8180952880663455</v>
      </c>
      <c r="AF58" s="10">
        <f t="shared" si="4"/>
        <v>-27.346241510876098</v>
      </c>
      <c r="AG58" s="2"/>
      <c r="AH58" s="2"/>
      <c r="AI58" s="2"/>
      <c r="AJ58" s="2"/>
      <c r="AK58" s="8">
        <f>AK57+F4</f>
        <v>13.5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-23.284966043504404</v>
      </c>
      <c r="X59" s="140">
        <f t="shared" ref="X59:X67" si="6">-$E$7*V59+$Y$28</f>
        <v>29.106207554380507</v>
      </c>
      <c r="Y59" s="2"/>
      <c r="Z59" s="172">
        <v>0</v>
      </c>
      <c r="AA59" s="172">
        <f t="shared" ref="AA59:AA67" si="7">-$W$22-$F$7*Z59^2/2+$AA$28*Z59</f>
        <v>-21.660135825982362</v>
      </c>
      <c r="AB59" s="172">
        <f t="shared" ref="AB59:AB67" si="8">-$F$7*Z59+$AA$28</f>
        <v>27.318091054895387</v>
      </c>
      <c r="AC59" s="2"/>
      <c r="AD59" s="10">
        <f t="shared" si="3"/>
        <v>4</v>
      </c>
      <c r="AE59" s="10">
        <f t="shared" si="4"/>
        <v>-23.284966043504397</v>
      </c>
      <c r="AF59" s="10">
        <f t="shared" si="4"/>
        <v>-34.521241510876095</v>
      </c>
      <c r="AG59" s="2"/>
      <c r="AH59" s="2"/>
      <c r="AI59" s="2"/>
      <c r="AJ59" s="2"/>
      <c r="AK59" s="8">
        <f>AK58+G4</f>
        <v>17.5</v>
      </c>
      <c r="AL59" s="123">
        <v>0</v>
      </c>
      <c r="AM59" s="2"/>
      <c r="AN59" s="22"/>
    </row>
    <row r="60" spans="13:40" x14ac:dyDescent="0.2">
      <c r="V60" s="139">
        <f>$E$4/8</f>
        <v>0.5</v>
      </c>
      <c r="W60" s="140">
        <f t="shared" si="5"/>
        <v>-10.52561226631415</v>
      </c>
      <c r="X60" s="140">
        <f t="shared" si="6"/>
        <v>21.931207554380507</v>
      </c>
      <c r="Y60" s="2"/>
      <c r="Z60" s="172">
        <f>$F$4/8</f>
        <v>0.6875</v>
      </c>
      <c r="AA60" s="172">
        <f t="shared" si="7"/>
        <v>-5.3343974444917848</v>
      </c>
      <c r="AB60" s="172">
        <f t="shared" si="8"/>
        <v>20.174966054895386</v>
      </c>
      <c r="AC60" s="2"/>
      <c r="AD60" s="140">
        <f t="shared" ref="AD60:AD68" si="9">$AD$59+V59</f>
        <v>4</v>
      </c>
      <c r="AE60" s="140">
        <f t="shared" ref="AE60:AF68" si="10">W59</f>
        <v>-23.284966043504404</v>
      </c>
      <c r="AF60" s="140">
        <f t="shared" si="10"/>
        <v>29.106207554380507</v>
      </c>
      <c r="AG60" s="2"/>
      <c r="AH60" s="2"/>
      <c r="AI60" s="2"/>
      <c r="AJ60" s="2"/>
      <c r="AK60" s="8">
        <f>AK59+H4</f>
        <v>17.5</v>
      </c>
      <c r="AL60" s="123">
        <v>0</v>
      </c>
      <c r="AM60" s="2"/>
      <c r="AN60" s="22"/>
    </row>
    <row r="61" spans="13:40" x14ac:dyDescent="0.2">
      <c r="V61" s="139">
        <f>2*$E$4/8</f>
        <v>1</v>
      </c>
      <c r="W61" s="140">
        <f t="shared" si="5"/>
        <v>-1.3537584891238943</v>
      </c>
      <c r="X61" s="140">
        <f t="shared" si="6"/>
        <v>14.756207554380509</v>
      </c>
      <c r="Y61" s="2"/>
      <c r="Z61" s="172">
        <f>2*$F$4/8</f>
        <v>1.375</v>
      </c>
      <c r="AA61" s="172">
        <f t="shared" si="7"/>
        <v>6.080442499498794</v>
      </c>
      <c r="AB61" s="172">
        <f t="shared" si="8"/>
        <v>13.031841054895386</v>
      </c>
      <c r="AC61" s="2"/>
      <c r="AD61" s="140">
        <f t="shared" si="9"/>
        <v>4.5</v>
      </c>
      <c r="AE61" s="140">
        <f t="shared" si="10"/>
        <v>-10.52561226631415</v>
      </c>
      <c r="AF61" s="140">
        <f t="shared" si="10"/>
        <v>21.931207554380507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1.5</v>
      </c>
      <c r="W62" s="140">
        <f t="shared" si="5"/>
        <v>4.2305952880663611</v>
      </c>
      <c r="X62" s="140">
        <f t="shared" si="6"/>
        <v>7.5812075543805086</v>
      </c>
      <c r="Y62" s="2"/>
      <c r="Z62" s="172">
        <f>3*$F$4/8</f>
        <v>2.0625</v>
      </c>
      <c r="AA62" s="172">
        <f t="shared" si="7"/>
        <v>12.584384005989371</v>
      </c>
      <c r="AB62" s="172">
        <f t="shared" si="8"/>
        <v>5.8887160548953865</v>
      </c>
      <c r="AC62" s="2"/>
      <c r="AD62" s="140">
        <f t="shared" si="9"/>
        <v>5</v>
      </c>
      <c r="AE62" s="140">
        <f t="shared" si="10"/>
        <v>-1.3537584891238943</v>
      </c>
      <c r="AF62" s="140">
        <f t="shared" si="10"/>
        <v>14.756207554380509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</v>
      </c>
      <c r="W63" s="140">
        <f t="shared" si="5"/>
        <v>6.2274490652566143</v>
      </c>
      <c r="X63" s="140">
        <f t="shared" si="6"/>
        <v>0.40620755438051148</v>
      </c>
      <c r="Y63" s="2"/>
      <c r="Z63" s="172">
        <f>4*$F$4/8</f>
        <v>2.75</v>
      </c>
      <c r="AA63" s="172">
        <f t="shared" si="7"/>
        <v>14.177427074979946</v>
      </c>
      <c r="AB63" s="172">
        <f t="shared" si="8"/>
        <v>-1.2544089451046148</v>
      </c>
      <c r="AC63" s="2"/>
      <c r="AD63" s="140">
        <f t="shared" si="9"/>
        <v>5.5</v>
      </c>
      <c r="AE63" s="140">
        <f t="shared" si="10"/>
        <v>4.2305952880663611</v>
      </c>
      <c r="AF63" s="140">
        <f t="shared" si="10"/>
        <v>7.5812075543805086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2.5</v>
      </c>
      <c r="W64" s="140">
        <f t="shared" si="5"/>
        <v>4.636802842446869</v>
      </c>
      <c r="X64" s="140">
        <f t="shared" si="6"/>
        <v>-6.7687924456194857</v>
      </c>
      <c r="Y64" s="2"/>
      <c r="Z64" s="172">
        <f>5*$F$4/8</f>
        <v>3.4375</v>
      </c>
      <c r="AA64" s="172">
        <f t="shared" si="7"/>
        <v>10.859571706470533</v>
      </c>
      <c r="AB64" s="172">
        <f t="shared" si="8"/>
        <v>-8.397533945104616</v>
      </c>
      <c r="AC64" s="2"/>
      <c r="AD64" s="140">
        <f t="shared" si="9"/>
        <v>6</v>
      </c>
      <c r="AE64" s="140">
        <f t="shared" si="10"/>
        <v>6.2274490652566143</v>
      </c>
      <c r="AF64" s="140">
        <f t="shared" si="10"/>
        <v>0.40620755438051148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</v>
      </c>
      <c r="W65" s="140">
        <f t="shared" si="5"/>
        <v>-0.54134338036286067</v>
      </c>
      <c r="X65" s="140">
        <f t="shared" si="6"/>
        <v>-13.94379244561949</v>
      </c>
      <c r="Y65" s="2"/>
      <c r="Z65" s="172">
        <f>6*$F$4/8</f>
        <v>4.125</v>
      </c>
      <c r="AA65" s="172">
        <f t="shared" si="7"/>
        <v>2.6308179004610963</v>
      </c>
      <c r="AB65" s="172">
        <f t="shared" si="8"/>
        <v>-15.540658945104614</v>
      </c>
      <c r="AC65" s="2"/>
      <c r="AD65" s="140">
        <f t="shared" si="9"/>
        <v>6.5</v>
      </c>
      <c r="AE65" s="140">
        <f t="shared" si="10"/>
        <v>4.636802842446869</v>
      </c>
      <c r="AF65" s="140">
        <f t="shared" si="10"/>
        <v>-6.7687924456194857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3.5</v>
      </c>
      <c r="W66" s="140">
        <f t="shared" si="5"/>
        <v>-9.3069896031726103</v>
      </c>
      <c r="X66" s="140">
        <f t="shared" si="6"/>
        <v>-21.118792445619487</v>
      </c>
      <c r="Y66" s="2"/>
      <c r="Z66" s="172">
        <f>7*$F$4/8</f>
        <v>4.8125</v>
      </c>
      <c r="AA66" s="172">
        <f t="shared" si="7"/>
        <v>-10.508834343048306</v>
      </c>
      <c r="AB66" s="172">
        <f t="shared" si="8"/>
        <v>-22.683783945104619</v>
      </c>
      <c r="AC66" s="2"/>
      <c r="AD66" s="140">
        <f t="shared" si="9"/>
        <v>7</v>
      </c>
      <c r="AE66" s="140">
        <f t="shared" si="10"/>
        <v>-0.54134338036286067</v>
      </c>
      <c r="AF66" s="140">
        <f t="shared" si="10"/>
        <v>-13.94379244561949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4</v>
      </c>
      <c r="W67" s="140">
        <f t="shared" si="5"/>
        <v>-21.660135825982351</v>
      </c>
      <c r="X67" s="140">
        <f t="shared" si="6"/>
        <v>-28.293792445619484</v>
      </c>
      <c r="Y67" s="2"/>
      <c r="Z67" s="172">
        <f>8*$F$4/8</f>
        <v>5.5</v>
      </c>
      <c r="AA67" s="172">
        <f t="shared" si="7"/>
        <v>-28.559385024057747</v>
      </c>
      <c r="AB67" s="172">
        <f t="shared" si="8"/>
        <v>-29.826908945104616</v>
      </c>
      <c r="AC67" s="2"/>
      <c r="AD67" s="140">
        <f t="shared" si="9"/>
        <v>7.5</v>
      </c>
      <c r="AE67" s="140">
        <f t="shared" si="10"/>
        <v>-9.3069896031726103</v>
      </c>
      <c r="AF67" s="140">
        <f t="shared" si="10"/>
        <v>-21.118792445619487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8</v>
      </c>
      <c r="AE68" s="140">
        <f t="shared" si="10"/>
        <v>-21.660135825982351</v>
      </c>
      <c r="AF68" s="140">
        <f t="shared" si="10"/>
        <v>-28.293792445619484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8</v>
      </c>
      <c r="AE69" s="172">
        <f t="shared" ref="AE69:AF77" si="12">AA59</f>
        <v>-21.660135825982362</v>
      </c>
      <c r="AF69" s="172">
        <f t="shared" si="12"/>
        <v>27.318091054895387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8.6875</v>
      </c>
      <c r="AE70" s="172">
        <f t="shared" si="12"/>
        <v>-5.3343974444917848</v>
      </c>
      <c r="AF70" s="172">
        <f t="shared" si="12"/>
        <v>20.174966054895386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9.375</v>
      </c>
      <c r="AE71" s="172">
        <f t="shared" si="12"/>
        <v>6.080442499498794</v>
      </c>
      <c r="AF71" s="172">
        <f t="shared" si="12"/>
        <v>13.031841054895386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-28.559385024057736</v>
      </c>
      <c r="X72" s="200">
        <f t="shared" ref="X72:X80" si="14">-$G$7*V72+$AC$28</f>
        <v>35.839846256014425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10.0625</v>
      </c>
      <c r="AE72" s="172">
        <f t="shared" si="12"/>
        <v>12.584384005989371</v>
      </c>
      <c r="AF72" s="172">
        <f t="shared" si="12"/>
        <v>5.8887160548953865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0.5</v>
      </c>
      <c r="W73" s="200">
        <f t="shared" si="13"/>
        <v>-12.433211896050523</v>
      </c>
      <c r="X73" s="200">
        <f t="shared" si="14"/>
        <v>28.664846256014428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10.75</v>
      </c>
      <c r="AE73" s="172">
        <f t="shared" si="12"/>
        <v>14.177427074979946</v>
      </c>
      <c r="AF73" s="172">
        <f t="shared" si="12"/>
        <v>-1.2544089451046148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</v>
      </c>
      <c r="W74" s="200">
        <f t="shared" si="13"/>
        <v>0.10546123195668855</v>
      </c>
      <c r="X74" s="200">
        <f t="shared" si="14"/>
        <v>21.489846256014427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11.4375</v>
      </c>
      <c r="AE74" s="172">
        <f t="shared" si="12"/>
        <v>10.859571706470533</v>
      </c>
      <c r="AF74" s="172">
        <f t="shared" si="12"/>
        <v>-8.397533945104616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1.5</v>
      </c>
      <c r="W75" s="200">
        <f t="shared" si="13"/>
        <v>9.0566343599639083</v>
      </c>
      <c r="X75" s="200">
        <f t="shared" si="14"/>
        <v>14.314846256014427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12.125</v>
      </c>
      <c r="AE75" s="172">
        <f t="shared" si="12"/>
        <v>2.6308179004610963</v>
      </c>
      <c r="AF75" s="172">
        <f t="shared" si="12"/>
        <v>-15.540658945104614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</v>
      </c>
      <c r="W76" s="200">
        <f t="shared" si="13"/>
        <v>14.420307487971115</v>
      </c>
      <c r="X76" s="200">
        <f t="shared" si="14"/>
        <v>7.1398462560144296</v>
      </c>
      <c r="Y76" s="2"/>
      <c r="Z76" s="122"/>
      <c r="AA76" s="122"/>
      <c r="AB76" s="122"/>
      <c r="AC76" s="2"/>
      <c r="AD76" s="172">
        <f t="shared" si="11"/>
        <v>12.8125</v>
      </c>
      <c r="AE76" s="172">
        <f t="shared" si="12"/>
        <v>-10.508834343048306</v>
      </c>
      <c r="AF76" s="172">
        <f t="shared" si="12"/>
        <v>-22.683783945104619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2.5</v>
      </c>
      <c r="W77" s="200">
        <f t="shared" si="13"/>
        <v>16.196480615978331</v>
      </c>
      <c r="X77" s="200">
        <f t="shared" si="14"/>
        <v>-3.5153743985567587E-2</v>
      </c>
      <c r="Y77" s="2"/>
      <c r="Z77" s="3"/>
      <c r="AA77" s="3"/>
      <c r="AB77" s="3"/>
      <c r="AC77" s="2"/>
      <c r="AD77" s="172">
        <f t="shared" si="11"/>
        <v>13.5</v>
      </c>
      <c r="AE77" s="172">
        <f t="shared" si="12"/>
        <v>-28.559385024057747</v>
      </c>
      <c r="AF77" s="172">
        <f t="shared" si="12"/>
        <v>-29.826908945104616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</v>
      </c>
      <c r="W78" s="200">
        <f t="shared" si="13"/>
        <v>14.385153743985555</v>
      </c>
      <c r="X78" s="200">
        <f t="shared" si="14"/>
        <v>-7.2101537439855719</v>
      </c>
      <c r="Y78" s="2"/>
      <c r="Z78" s="3"/>
      <c r="AA78" s="3"/>
      <c r="AB78" s="3"/>
      <c r="AC78" s="2"/>
      <c r="AD78" s="200">
        <f t="shared" ref="AD78:AD86" si="15">$AD$77+V72</f>
        <v>13.5</v>
      </c>
      <c r="AE78" s="200">
        <f t="shared" ref="AE78:AF86" si="16">W72</f>
        <v>-28.559385024057736</v>
      </c>
      <c r="AF78" s="200">
        <f t="shared" si="16"/>
        <v>35.839846256014425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3.5</v>
      </c>
      <c r="W79" s="200">
        <f t="shared" si="13"/>
        <v>8.9863268719927731</v>
      </c>
      <c r="X79" s="200">
        <f t="shared" si="14"/>
        <v>-14.385153743985569</v>
      </c>
      <c r="Y79" s="2"/>
      <c r="Z79" s="3"/>
      <c r="AA79" s="3"/>
      <c r="AB79" s="3"/>
      <c r="AC79" s="2"/>
      <c r="AD79" s="200">
        <f t="shared" si="15"/>
        <v>14</v>
      </c>
      <c r="AE79" s="200">
        <f t="shared" si="16"/>
        <v>-12.433211896050523</v>
      </c>
      <c r="AF79" s="200">
        <f t="shared" si="16"/>
        <v>28.664846256014428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4</v>
      </c>
      <c r="W80" s="200">
        <f t="shared" si="13"/>
        <v>0</v>
      </c>
      <c r="X80" s="200">
        <f t="shared" si="14"/>
        <v>-21.560153743985566</v>
      </c>
      <c r="Y80" s="2"/>
      <c r="Z80" s="3"/>
      <c r="AA80" s="3"/>
      <c r="AB80" s="3"/>
      <c r="AC80" s="2"/>
      <c r="AD80" s="200">
        <f t="shared" si="15"/>
        <v>14.5</v>
      </c>
      <c r="AE80" s="200">
        <f t="shared" si="16"/>
        <v>0.10546123195668855</v>
      </c>
      <c r="AF80" s="200">
        <f t="shared" si="16"/>
        <v>21.489846256014427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15</v>
      </c>
      <c r="AE81" s="200">
        <f t="shared" si="16"/>
        <v>9.0566343599639083</v>
      </c>
      <c r="AF81" s="200">
        <f t="shared" si="16"/>
        <v>14.314846256014427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15.5</v>
      </c>
      <c r="AE82" s="200">
        <f t="shared" si="16"/>
        <v>14.420307487971115</v>
      </c>
      <c r="AF82" s="200">
        <f t="shared" si="16"/>
        <v>7.1398462560144296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16</v>
      </c>
      <c r="AE83" s="200">
        <f t="shared" si="16"/>
        <v>16.196480615978331</v>
      </c>
      <c r="AF83" s="200">
        <f t="shared" si="16"/>
        <v>-3.5153743985567587E-2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16.5</v>
      </c>
      <c r="AE84" s="200">
        <f t="shared" si="16"/>
        <v>14.385153743985555</v>
      </c>
      <c r="AF84" s="200">
        <f t="shared" si="16"/>
        <v>-7.2101537439855719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17</v>
      </c>
      <c r="AE85" s="200">
        <f t="shared" si="16"/>
        <v>8.9863268719927731</v>
      </c>
      <c r="AF85" s="200">
        <f t="shared" si="16"/>
        <v>-14.385153743985569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17.5</v>
      </c>
      <c r="AE86" s="200">
        <f t="shared" si="16"/>
        <v>0</v>
      </c>
      <c r="AF86" s="200">
        <f t="shared" si="16"/>
        <v>-21.560153743985566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17.5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17.5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17.5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17.5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8"/>
  <dimension ref="A1:AT100"/>
  <sheetViews>
    <sheetView zoomScaleNormal="100" workbookViewId="0">
      <selection activeCell="K23" sqref="K23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4</v>
      </c>
      <c r="E4" s="14">
        <f>'CCCC-Trave'!E15</f>
        <v>4</v>
      </c>
      <c r="F4" s="14">
        <f>'CCCC-Trave'!F15</f>
        <v>5.5</v>
      </c>
      <c r="G4" s="14">
        <f>'CCCC-Trave'!G15</f>
        <v>4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46</v>
      </c>
      <c r="C7" s="14">
        <f>'CCCC-Trave'!C30</f>
        <v>0</v>
      </c>
      <c r="D7" s="14">
        <f>'CCCC-Trave'!D30</f>
        <v>14.349999999999998</v>
      </c>
      <c r="E7" s="14">
        <f>'CCCC-Trave'!E30</f>
        <v>10.39</v>
      </c>
      <c r="F7" s="14">
        <f>'CCCC-Trave'!F30</f>
        <v>14.349999999999998</v>
      </c>
      <c r="G7" s="14">
        <f>'CCCC-Trave'!G30</f>
        <v>14.349999999999998</v>
      </c>
      <c r="H7" s="14">
        <f>'CCCC-Trave'!H30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144">
        <f>-(D4/D18+E4/I18)/3</f>
        <v>-20000</v>
      </c>
      <c r="W16" s="192">
        <f>-E4/(6*I18)</f>
        <v>-5000</v>
      </c>
      <c r="X16" s="192">
        <v>0</v>
      </c>
      <c r="Y16" s="19"/>
      <c r="Z16" s="193">
        <f t="array" ref="Z16:AB18">MINVERSE(V16:X18)</f>
        <v>-5.3047313552526068E-5</v>
      </c>
      <c r="AA16" s="193">
        <v>1.2189254210104252E-5</v>
      </c>
      <c r="AB16" s="193">
        <v>-3.5284683239775461E-6</v>
      </c>
      <c r="AC16" s="19"/>
      <c r="AD16" s="19"/>
      <c r="AE16" s="194">
        <f>AB22</f>
        <v>-494799.99999999994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-5000</v>
      </c>
      <c r="W17" s="136">
        <f>-(E4/I18+F4/D21)/3</f>
        <v>-23750</v>
      </c>
      <c r="X17" s="136">
        <f>-F4/(6*D21)</f>
        <v>-6875</v>
      </c>
      <c r="Y17" s="2"/>
      <c r="Z17" s="123">
        <v>1.2189254210104252E-5</v>
      </c>
      <c r="AA17" s="123">
        <v>-4.8757016840417008E-5</v>
      </c>
      <c r="AB17" s="123">
        <v>1.4113873295910184E-5</v>
      </c>
      <c r="AC17" s="2"/>
      <c r="AD17" s="2"/>
      <c r="AE17" s="124">
        <f>AC22</f>
        <v>-953887.89062499988</v>
      </c>
      <c r="AF17" s="2"/>
      <c r="AG17" s="2"/>
      <c r="AH17" s="123">
        <v>0</v>
      </c>
      <c r="AI17" s="123">
        <f>5+MAX('CCCC-car.4'!AI17:AI56)</f>
        <v>87.399999999999991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-6875</v>
      </c>
      <c r="X18" s="136">
        <f>-(F4/D21+G4/I21)/3</f>
        <v>-23750</v>
      </c>
      <c r="Y18" s="2"/>
      <c r="Z18" s="123">
        <v>-3.5284683239775465E-6</v>
      </c>
      <c r="AA18" s="123">
        <v>1.4113873295910186E-5</v>
      </c>
      <c r="AB18" s="123">
        <v>-4.619085805934242E-5</v>
      </c>
      <c r="AC18" s="2"/>
      <c r="AD18" s="2"/>
      <c r="AE18" s="124">
        <f>AD22</f>
        <v>-1033087.8906249998</v>
      </c>
      <c r="AF18" s="2"/>
      <c r="AG18" s="2"/>
      <c r="AH18" s="123">
        <f>C4</f>
        <v>0</v>
      </c>
      <c r="AI18" s="123">
        <f>AI17</f>
        <v>87.399999999999991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87.399999999999991</v>
      </c>
      <c r="AJ19" s="2"/>
      <c r="AK19" s="8">
        <f>AK56</f>
        <v>4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87.399999999999991</v>
      </c>
      <c r="AJ20" s="2"/>
      <c r="AK20" s="8">
        <f>AK19</f>
        <v>4</v>
      </c>
      <c r="AL20" s="8">
        <f>AE59</f>
        <v>-18.265846656976748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18.265846656976741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87.399999999999991</v>
      </c>
      <c r="AJ21" s="2"/>
      <c r="AK21" s="8">
        <f>AK57</f>
        <v>8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25.896613372093032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-494799.99999999994</v>
      </c>
      <c r="AC22" s="124">
        <f>-E7*E4^3/(24*I18)-F7*F4^3/(24*D21)</f>
        <v>-953887.89062499988</v>
      </c>
      <c r="AD22" s="124">
        <f>-F7*F4^3/(24*D21)-G7*G4^3/(24*I21)+(H7*H4^2/2)*G4/(6*I21)</f>
        <v>-1033087.8906249998</v>
      </c>
      <c r="AE22" s="2"/>
      <c r="AF22" s="2"/>
      <c r="AG22" s="2"/>
      <c r="AH22" s="2"/>
      <c r="AI22" s="2"/>
      <c r="AJ22" s="2"/>
      <c r="AK22" s="8">
        <f>AK21</f>
        <v>8</v>
      </c>
      <c r="AL22" s="8">
        <f>AE68</f>
        <v>-25.896613372093043</v>
      </c>
      <c r="AM22" s="2"/>
      <c r="AN22" s="22"/>
    </row>
    <row r="23" spans="1:46" x14ac:dyDescent="0.2">
      <c r="V23" s="24" t="s">
        <v>99</v>
      </c>
      <c r="W23" s="8">
        <v>36.002049418604642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13.5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87.399999999999991</v>
      </c>
      <c r="AJ24" s="2"/>
      <c r="AK24" s="8">
        <f>AK23</f>
        <v>13.5</v>
      </c>
      <c r="AL24" s="8">
        <f>AE77</f>
        <v>-36.002049418604656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4</v>
      </c>
      <c r="AI25" s="123">
        <f>AI24</f>
        <v>87.399999999999991</v>
      </c>
      <c r="AJ25" s="2"/>
      <c r="AK25" s="8">
        <f>AK59</f>
        <v>17.5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4</v>
      </c>
      <c r="AI26" s="123">
        <f>AI25+D7</f>
        <v>101.74999999999999</v>
      </c>
      <c r="AJ26" s="3"/>
      <c r="AK26" s="8">
        <f>AK25</f>
        <v>17.5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101.74999999999999</v>
      </c>
      <c r="AJ27" s="3"/>
      <c r="AK27" s="8">
        <f>AK60</f>
        <v>17.5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24.133538335755809</v>
      </c>
      <c r="X28" s="8">
        <f>(W21-Z21+D7*D4^2/2)/D4</f>
        <v>33.266461664244183</v>
      </c>
      <c r="Y28" s="8">
        <f>E7*E4-Z28</f>
        <v>18.872308321220927</v>
      </c>
      <c r="Z28" s="8">
        <f>(W22-W21+E7*E4^2/2)/E4</f>
        <v>22.687691678779075</v>
      </c>
      <c r="AA28" s="8">
        <f>F7*F4-AB28</f>
        <v>37.625147991543336</v>
      </c>
      <c r="AB28" s="8">
        <f>(W23-W22+F7*F4^2/2)/F4</f>
        <v>41.299852008456647</v>
      </c>
      <c r="AC28" s="8">
        <f>G7*G4-AD28</f>
        <v>37.700512354651153</v>
      </c>
      <c r="AD28" s="8">
        <f>(Z22-W23+G7*G4^2/2)/G4</f>
        <v>19.699487645348835</v>
      </c>
      <c r="AE28" s="8">
        <f>H7*H4</f>
        <v>0</v>
      </c>
      <c r="AF28" s="3"/>
      <c r="AG28" s="3"/>
      <c r="AH28" s="123">
        <f>AH24</f>
        <v>0</v>
      </c>
      <c r="AI28" s="123">
        <f>AI24</f>
        <v>87.399999999999991</v>
      </c>
      <c r="AJ28" s="3"/>
      <c r="AK28" s="8">
        <f>AK27</f>
        <v>17.5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4</v>
      </c>
      <c r="AI31" s="123">
        <f>AI17</f>
        <v>87.399999999999991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24.133538335755809</v>
      </c>
      <c r="Y32" s="8">
        <f>X28+Y28</f>
        <v>52.13876998546511</v>
      </c>
      <c r="Z32" s="8">
        <f>Z28+AA28</f>
        <v>60.312839670322411</v>
      </c>
      <c r="AA32" s="8">
        <f>AB28+AC28</f>
        <v>79.000364363107792</v>
      </c>
      <c r="AB32" s="8">
        <f>AD28+AE28</f>
        <v>19.699487645348835</v>
      </c>
      <c r="AC32" s="2"/>
      <c r="AD32" s="2"/>
      <c r="AE32" s="2"/>
      <c r="AF32" s="2"/>
      <c r="AG32" s="2"/>
      <c r="AH32" s="8">
        <f>AK57</f>
        <v>8</v>
      </c>
      <c r="AI32" s="123">
        <f>AI31</f>
        <v>87.399999999999991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8</v>
      </c>
      <c r="AI33" s="123">
        <f>AI32+E7</f>
        <v>97.789999999999992</v>
      </c>
      <c r="AJ33" s="2"/>
      <c r="AK33" s="196" t="s">
        <v>23</v>
      </c>
      <c r="AL33" s="8">
        <f>W28/D7</f>
        <v>1.6817796749655618</v>
      </c>
      <c r="AM33" s="8">
        <f>C4+AL33</f>
        <v>1.6817796749655618</v>
      </c>
      <c r="AN33" s="129">
        <f>W28*AL33-D7*AL33^2/2+AE50</f>
        <v>20.293647129038163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4</v>
      </c>
      <c r="AI34" s="123">
        <f>AI33</f>
        <v>97.789999999999992</v>
      </c>
      <c r="AJ34" s="2"/>
      <c r="AK34" s="197" t="s">
        <v>82</v>
      </c>
      <c r="AL34" s="8">
        <f>Y28/E7</f>
        <v>1.8163915612339678</v>
      </c>
      <c r="AM34" s="8">
        <f>C4+D4+AL34</f>
        <v>5.8163915612339681</v>
      </c>
      <c r="AN34" s="129">
        <f>Y28*AL34-E7*AL34^2/2+AE59</f>
        <v>-1.1260958691411069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4</v>
      </c>
      <c r="AI35" s="123">
        <f>AI31</f>
        <v>87.399999999999991</v>
      </c>
      <c r="AJ35" s="2"/>
      <c r="AK35" s="197" t="s">
        <v>101</v>
      </c>
      <c r="AL35" s="8">
        <f>AA28/F7</f>
        <v>2.6219615325117314</v>
      </c>
      <c r="AM35" s="8">
        <f>C4+D4+E4+AL35</f>
        <v>10.621961532511731</v>
      </c>
      <c r="AN35" s="129">
        <f>AA28*AL35-F7*AL35^2/2+AE68</f>
        <v>23.429231972350777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4</v>
      </c>
      <c r="Z36" s="132">
        <v>0</v>
      </c>
      <c r="AA36" s="2"/>
      <c r="AB36" s="133">
        <f>AK57</f>
        <v>8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2.6272134045053073</v>
      </c>
      <c r="AM36" s="8">
        <f>C4+D4+E4+F4+AL36</f>
        <v>16.127213404505309</v>
      </c>
      <c r="AN36" s="129">
        <f>AC28*AL36-G7*AL36^2/2+AE77</f>
        <v>13.521596288824071</v>
      </c>
    </row>
    <row r="37" spans="22:40" x14ac:dyDescent="0.2">
      <c r="V37" s="131">
        <f>V36</f>
        <v>0</v>
      </c>
      <c r="W37" s="133">
        <f>-X32</f>
        <v>-24.133538335755809</v>
      </c>
      <c r="X37" s="2"/>
      <c r="Y37" s="133">
        <f>Y36</f>
        <v>4</v>
      </c>
      <c r="Z37" s="133">
        <f>-Y32</f>
        <v>-52.13876998546511</v>
      </c>
      <c r="AA37" s="2"/>
      <c r="AB37" s="133">
        <f>AB36</f>
        <v>8</v>
      </c>
      <c r="AC37" s="133">
        <f>-Z32</f>
        <v>-60.312839670322411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8</v>
      </c>
      <c r="AI38" s="123">
        <f>AI17</f>
        <v>87.399999999999991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13.5</v>
      </c>
      <c r="AI39" s="123">
        <f>AI38</f>
        <v>87.399999999999991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13.5</v>
      </c>
      <c r="W40" s="132">
        <v>0</v>
      </c>
      <c r="X40" s="2"/>
      <c r="Y40" s="133">
        <f>AK59</f>
        <v>17.5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13.5</v>
      </c>
      <c r="AI40" s="123">
        <f>AI39+F7</f>
        <v>101.74999999999999</v>
      </c>
      <c r="AJ40" s="2"/>
      <c r="AK40" s="8">
        <f>AM33</f>
        <v>1.6817796749655618</v>
      </c>
      <c r="AL40" s="123">
        <v>0</v>
      </c>
      <c r="AM40" s="2"/>
      <c r="AN40" s="22"/>
    </row>
    <row r="41" spans="22:40" x14ac:dyDescent="0.2">
      <c r="V41" s="131">
        <f>V40</f>
        <v>13.5</v>
      </c>
      <c r="W41" s="133">
        <f>-AA32</f>
        <v>-79.000364363107792</v>
      </c>
      <c r="X41" s="2"/>
      <c r="Y41" s="133">
        <f>Y40</f>
        <v>17.5</v>
      </c>
      <c r="Z41" s="133">
        <f>-AB32</f>
        <v>-19.699487645348835</v>
      </c>
      <c r="AA41" s="2"/>
      <c r="AB41" s="2"/>
      <c r="AC41" s="2"/>
      <c r="AD41" s="2"/>
      <c r="AE41" s="2"/>
      <c r="AF41" s="2"/>
      <c r="AG41" s="2"/>
      <c r="AH41" s="8">
        <f>AH38</f>
        <v>8</v>
      </c>
      <c r="AI41" s="123">
        <f>AI40</f>
        <v>101.74999999999999</v>
      </c>
      <c r="AJ41" s="2"/>
      <c r="AK41" s="8">
        <f>AK40</f>
        <v>1.6817796749655618</v>
      </c>
      <c r="AL41" s="8">
        <f>AN33</f>
        <v>20.293647129038163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8</v>
      </c>
      <c r="AI42" s="123">
        <f>AI38</f>
        <v>87.399999999999991</v>
      </c>
      <c r="AJ42" s="2"/>
      <c r="AK42" s="8">
        <f>AM34</f>
        <v>5.8163915612339681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5.8163915612339681</v>
      </c>
      <c r="AL43" s="8">
        <f>AN34</f>
        <v>-1.1260958691411069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10.621961532511731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13.5</v>
      </c>
      <c r="AI45" s="123">
        <f>AI17</f>
        <v>87.399999999999991</v>
      </c>
      <c r="AJ45" s="2"/>
      <c r="AK45" s="8">
        <f>AK44</f>
        <v>10.621961532511731</v>
      </c>
      <c r="AL45" s="8">
        <f>AN35</f>
        <v>23.429231972350777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17.5</v>
      </c>
      <c r="AI46" s="123">
        <f>AI45</f>
        <v>87.399999999999991</v>
      </c>
      <c r="AJ46" s="2"/>
      <c r="AK46" s="8">
        <f>AM36</f>
        <v>16.127213404505309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24.133538335755809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17.5</v>
      </c>
      <c r="AI47" s="123">
        <f>AI46+G7</f>
        <v>101.74999999999999</v>
      </c>
      <c r="AJ47" s="2"/>
      <c r="AK47" s="8">
        <f>AK46</f>
        <v>16.127213404505309</v>
      </c>
      <c r="AL47" s="8">
        <f>AN36</f>
        <v>13.521596288824071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0.5</v>
      </c>
      <c r="AA48" s="10">
        <f t="shared" si="0"/>
        <v>10.273019167877905</v>
      </c>
      <c r="AB48" s="10">
        <f t="shared" si="1"/>
        <v>16.958538335755811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13.5</v>
      </c>
      <c r="AI48" s="123">
        <f>AI47</f>
        <v>101.74999999999999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</v>
      </c>
      <c r="AA49" s="10">
        <f t="shared" si="0"/>
        <v>16.958538335755811</v>
      </c>
      <c r="AB49" s="10">
        <f t="shared" si="1"/>
        <v>9.7835383357558108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13.5</v>
      </c>
      <c r="AI49" s="123">
        <f>AI45</f>
        <v>87.399999999999991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1.5</v>
      </c>
      <c r="AA50" s="10">
        <f t="shared" si="0"/>
        <v>20.056557503633712</v>
      </c>
      <c r="AB50" s="10">
        <f t="shared" si="1"/>
        <v>2.6085383357558101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</v>
      </c>
      <c r="AA51" s="10">
        <f t="shared" si="0"/>
        <v>19.567076671511622</v>
      </c>
      <c r="AB51" s="10">
        <f t="shared" si="1"/>
        <v>-4.5664616642441871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24.133538335755809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2.5</v>
      </c>
      <c r="AA52" s="10">
        <f t="shared" si="0"/>
        <v>15.490095839389532</v>
      </c>
      <c r="AB52" s="10">
        <f t="shared" si="1"/>
        <v>-11.741461664244184</v>
      </c>
      <c r="AC52" s="3"/>
      <c r="AD52" s="10">
        <f t="shared" si="3"/>
        <v>0.5</v>
      </c>
      <c r="AE52" s="10">
        <f t="shared" si="4"/>
        <v>10.273019167877905</v>
      </c>
      <c r="AF52" s="10">
        <f t="shared" si="4"/>
        <v>16.958538335755811</v>
      </c>
      <c r="AG52" s="2"/>
      <c r="AH52" s="8">
        <f>AK59</f>
        <v>17.5</v>
      </c>
      <c r="AI52" s="123">
        <f>AI17</f>
        <v>87.399999999999991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</v>
      </c>
      <c r="AA53" s="10">
        <f t="shared" si="0"/>
        <v>7.8256150072674302</v>
      </c>
      <c r="AB53" s="10">
        <f t="shared" si="1"/>
        <v>-18.916461664244189</v>
      </c>
      <c r="AC53" s="3"/>
      <c r="AD53" s="10">
        <f t="shared" si="3"/>
        <v>1</v>
      </c>
      <c r="AE53" s="10">
        <f t="shared" si="4"/>
        <v>16.958538335755811</v>
      </c>
      <c r="AF53" s="10">
        <f t="shared" si="4"/>
        <v>9.7835383357558108</v>
      </c>
      <c r="AG53" s="2"/>
      <c r="AH53" s="8">
        <f>AK60</f>
        <v>17.5</v>
      </c>
      <c r="AI53" s="123">
        <f>AI52</f>
        <v>87.399999999999991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3.5</v>
      </c>
      <c r="AA54" s="10">
        <f t="shared" si="0"/>
        <v>-3.4263658248546562</v>
      </c>
      <c r="AB54" s="10">
        <f t="shared" si="1"/>
        <v>-26.091461664244186</v>
      </c>
      <c r="AC54" s="2"/>
      <c r="AD54" s="10">
        <f t="shared" si="3"/>
        <v>1.5</v>
      </c>
      <c r="AE54" s="10">
        <f t="shared" si="4"/>
        <v>20.056557503633712</v>
      </c>
      <c r="AF54" s="10">
        <f t="shared" si="4"/>
        <v>2.6085383357558101</v>
      </c>
      <c r="AG54" s="2"/>
      <c r="AH54" s="8">
        <f>AH53</f>
        <v>17.5</v>
      </c>
      <c r="AI54" s="123">
        <f>AI53+H7</f>
        <v>87.399999999999991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4</v>
      </c>
      <c r="AA55" s="10">
        <f t="shared" si="0"/>
        <v>-18.265846656976748</v>
      </c>
      <c r="AB55" s="10">
        <f t="shared" si="1"/>
        <v>-33.266461664244183</v>
      </c>
      <c r="AC55" s="2"/>
      <c r="AD55" s="10">
        <f t="shared" si="3"/>
        <v>2</v>
      </c>
      <c r="AE55" s="10">
        <f t="shared" si="4"/>
        <v>19.567076671511622</v>
      </c>
      <c r="AF55" s="10">
        <f t="shared" si="4"/>
        <v>-4.5664616642441871</v>
      </c>
      <c r="AG55" s="2"/>
      <c r="AH55" s="8">
        <f>AH52</f>
        <v>17.5</v>
      </c>
      <c r="AI55" s="123">
        <f>AI54</f>
        <v>87.399999999999991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2.5</v>
      </c>
      <c r="AE56" s="10">
        <f t="shared" si="4"/>
        <v>15.490095839389532</v>
      </c>
      <c r="AF56" s="10">
        <f t="shared" si="4"/>
        <v>-11.741461664244184</v>
      </c>
      <c r="AG56" s="2"/>
      <c r="AH56" s="8">
        <f>AH52</f>
        <v>17.5</v>
      </c>
      <c r="AI56" s="123">
        <f>AI52</f>
        <v>87.399999999999991</v>
      </c>
      <c r="AJ56" s="2"/>
      <c r="AK56" s="8">
        <f>AK55+D4</f>
        <v>4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</v>
      </c>
      <c r="AE57" s="10">
        <f t="shared" si="4"/>
        <v>7.8256150072674302</v>
      </c>
      <c r="AF57" s="10">
        <f t="shared" si="4"/>
        <v>-18.916461664244189</v>
      </c>
      <c r="AG57" s="2"/>
      <c r="AH57" s="2"/>
      <c r="AI57" s="2"/>
      <c r="AJ57" s="2"/>
      <c r="AK57" s="8">
        <f>AK56+E4</f>
        <v>8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3.5</v>
      </c>
      <c r="AE58" s="10">
        <f t="shared" si="4"/>
        <v>-3.4263658248546562</v>
      </c>
      <c r="AF58" s="10">
        <f t="shared" si="4"/>
        <v>-26.091461664244186</v>
      </c>
      <c r="AG58" s="2"/>
      <c r="AH58" s="2"/>
      <c r="AI58" s="2"/>
      <c r="AJ58" s="2"/>
      <c r="AK58" s="8">
        <f>AK57+F4</f>
        <v>13.5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-18.265846656976741</v>
      </c>
      <c r="X59" s="140">
        <f t="shared" ref="X59:X67" si="6">-$E$7*V59+$Y$28</f>
        <v>18.872308321220927</v>
      </c>
      <c r="Y59" s="2"/>
      <c r="Z59" s="172">
        <v>0</v>
      </c>
      <c r="AA59" s="172">
        <f t="shared" ref="AA59:AA67" si="7">-$W$22-$F$7*Z59^2/2+$AA$28*Z59</f>
        <v>-25.896613372093032</v>
      </c>
      <c r="AB59" s="172">
        <f t="shared" ref="AB59:AB67" si="8">-$F$7*Z59+$AA$28</f>
        <v>37.625147991543336</v>
      </c>
      <c r="AC59" s="2"/>
      <c r="AD59" s="10">
        <f t="shared" si="3"/>
        <v>4</v>
      </c>
      <c r="AE59" s="10">
        <f t="shared" si="4"/>
        <v>-18.265846656976748</v>
      </c>
      <c r="AF59" s="10">
        <f t="shared" si="4"/>
        <v>-33.266461664244183</v>
      </c>
      <c r="AG59" s="2"/>
      <c r="AH59" s="2"/>
      <c r="AI59" s="2"/>
      <c r="AJ59" s="2"/>
      <c r="AK59" s="8">
        <f>AK58+G4</f>
        <v>17.5</v>
      </c>
      <c r="AL59" s="123">
        <v>0</v>
      </c>
      <c r="AM59" s="2"/>
      <c r="AN59" s="22"/>
    </row>
    <row r="60" spans="13:40" x14ac:dyDescent="0.2">
      <c r="V60" s="139">
        <f>$E$4/8</f>
        <v>0.5</v>
      </c>
      <c r="W60" s="140">
        <f t="shared" si="5"/>
        <v>-10.128442496366276</v>
      </c>
      <c r="X60" s="140">
        <f t="shared" si="6"/>
        <v>13.677308321220927</v>
      </c>
      <c r="Y60" s="2"/>
      <c r="Z60" s="172">
        <f>$F$4/8</f>
        <v>0.6875</v>
      </c>
      <c r="AA60" s="172">
        <f t="shared" si="7"/>
        <v>-3.4206327216569896</v>
      </c>
      <c r="AB60" s="172">
        <f t="shared" si="8"/>
        <v>27.759522991543339</v>
      </c>
      <c r="AC60" s="2"/>
      <c r="AD60" s="140">
        <f t="shared" ref="AD60:AD68" si="9">$AD$59+V59</f>
        <v>4</v>
      </c>
      <c r="AE60" s="140">
        <f t="shared" ref="AE60:AF68" si="10">W59</f>
        <v>-18.265846656976741</v>
      </c>
      <c r="AF60" s="140">
        <f t="shared" si="10"/>
        <v>18.872308321220927</v>
      </c>
      <c r="AG60" s="2"/>
      <c r="AH60" s="2"/>
      <c r="AI60" s="2"/>
      <c r="AJ60" s="2"/>
      <c r="AK60" s="8">
        <f>AK59+H4</f>
        <v>17.5</v>
      </c>
      <c r="AL60" s="123">
        <v>0</v>
      </c>
      <c r="AM60" s="2"/>
      <c r="AN60" s="22"/>
    </row>
    <row r="61" spans="13:40" x14ac:dyDescent="0.2">
      <c r="V61" s="139">
        <f>2*$E$4/8</f>
        <v>1</v>
      </c>
      <c r="W61" s="140">
        <f t="shared" si="5"/>
        <v>-4.588538335755814</v>
      </c>
      <c r="X61" s="140">
        <f t="shared" si="6"/>
        <v>8.4823083212209269</v>
      </c>
      <c r="Y61" s="2"/>
      <c r="Z61" s="172">
        <f>2*$F$4/8</f>
        <v>1.375</v>
      </c>
      <c r="AA61" s="172">
        <f t="shared" si="7"/>
        <v>12.272730741279055</v>
      </c>
      <c r="AB61" s="172">
        <f t="shared" si="8"/>
        <v>17.893897991543341</v>
      </c>
      <c r="AC61" s="2"/>
      <c r="AD61" s="140">
        <f t="shared" si="9"/>
        <v>4.5</v>
      </c>
      <c r="AE61" s="140">
        <f t="shared" si="10"/>
        <v>-10.128442496366276</v>
      </c>
      <c r="AF61" s="140">
        <f t="shared" si="10"/>
        <v>13.677308321220927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1.5</v>
      </c>
      <c r="W62" s="140">
        <f t="shared" si="5"/>
        <v>-1.6461341751453489</v>
      </c>
      <c r="X62" s="140">
        <f t="shared" si="6"/>
        <v>3.2873083212209266</v>
      </c>
      <c r="Y62" s="2"/>
      <c r="Z62" s="172">
        <f>3*$F$4/8</f>
        <v>2.0625</v>
      </c>
      <c r="AA62" s="172">
        <f t="shared" si="7"/>
        <v>21.183477016715102</v>
      </c>
      <c r="AB62" s="172">
        <f t="shared" si="8"/>
        <v>8.0282729915433393</v>
      </c>
      <c r="AC62" s="2"/>
      <c r="AD62" s="140">
        <f t="shared" si="9"/>
        <v>5</v>
      </c>
      <c r="AE62" s="140">
        <f t="shared" si="10"/>
        <v>-4.588538335755814</v>
      </c>
      <c r="AF62" s="140">
        <f t="shared" si="10"/>
        <v>8.4823083212209269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</v>
      </c>
      <c r="W63" s="140">
        <f t="shared" si="5"/>
        <v>-1.3012300145348874</v>
      </c>
      <c r="X63" s="140">
        <f t="shared" si="6"/>
        <v>-1.9076916787790736</v>
      </c>
      <c r="Y63" s="2"/>
      <c r="Z63" s="172">
        <f>4*$F$4/8</f>
        <v>2.75</v>
      </c>
      <c r="AA63" s="172">
        <f t="shared" si="7"/>
        <v>23.311606104651148</v>
      </c>
      <c r="AB63" s="172">
        <f t="shared" si="8"/>
        <v>-1.837352008456655</v>
      </c>
      <c r="AC63" s="2"/>
      <c r="AD63" s="140">
        <f t="shared" si="9"/>
        <v>5.5</v>
      </c>
      <c r="AE63" s="140">
        <f t="shared" si="10"/>
        <v>-1.6461341751453489</v>
      </c>
      <c r="AF63" s="140">
        <f t="shared" si="10"/>
        <v>3.2873083212209266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2.5</v>
      </c>
      <c r="W64" s="140">
        <f t="shared" si="5"/>
        <v>-3.5538258539244225</v>
      </c>
      <c r="X64" s="140">
        <f t="shared" si="6"/>
        <v>-7.1026916787790739</v>
      </c>
      <c r="Y64" s="2"/>
      <c r="Z64" s="172">
        <f>5*$F$4/8</f>
        <v>3.4375</v>
      </c>
      <c r="AA64" s="172">
        <f t="shared" si="7"/>
        <v>18.657118005087199</v>
      </c>
      <c r="AB64" s="172">
        <f t="shared" si="8"/>
        <v>-11.702977008456656</v>
      </c>
      <c r="AC64" s="2"/>
      <c r="AD64" s="140">
        <f t="shared" si="9"/>
        <v>6</v>
      </c>
      <c r="AE64" s="140">
        <f t="shared" si="10"/>
        <v>-1.3012300145348874</v>
      </c>
      <c r="AF64" s="140">
        <f t="shared" si="10"/>
        <v>-1.9076916787790736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</v>
      </c>
      <c r="W65" s="140">
        <f t="shared" si="5"/>
        <v>-8.4039216933139613</v>
      </c>
      <c r="X65" s="140">
        <f t="shared" si="6"/>
        <v>-12.297691678779074</v>
      </c>
      <c r="Y65" s="2"/>
      <c r="Z65" s="172">
        <f>6*$F$4/8</f>
        <v>4.125</v>
      </c>
      <c r="AA65" s="172">
        <f t="shared" si="7"/>
        <v>7.2200127180232414</v>
      </c>
      <c r="AB65" s="172">
        <f t="shared" si="8"/>
        <v>-21.568602008456658</v>
      </c>
      <c r="AC65" s="2"/>
      <c r="AD65" s="140">
        <f t="shared" si="9"/>
        <v>6.5</v>
      </c>
      <c r="AE65" s="140">
        <f t="shared" si="10"/>
        <v>-3.5538258539244225</v>
      </c>
      <c r="AF65" s="140">
        <f t="shared" si="10"/>
        <v>-7.1026916787790739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3.5</v>
      </c>
      <c r="W66" s="140">
        <f t="shared" si="5"/>
        <v>-15.851517532703497</v>
      </c>
      <c r="X66" s="140">
        <f t="shared" si="6"/>
        <v>-17.492691678779074</v>
      </c>
      <c r="Y66" s="2"/>
      <c r="Z66" s="172">
        <f>7*$F$4/8</f>
        <v>4.8125</v>
      </c>
      <c r="AA66" s="172">
        <f t="shared" si="7"/>
        <v>-10.999709756540739</v>
      </c>
      <c r="AB66" s="172">
        <f t="shared" si="8"/>
        <v>-31.434227008456652</v>
      </c>
      <c r="AC66" s="2"/>
      <c r="AD66" s="140">
        <f t="shared" si="9"/>
        <v>7</v>
      </c>
      <c r="AE66" s="140">
        <f t="shared" si="10"/>
        <v>-8.4039216933139613</v>
      </c>
      <c r="AF66" s="140">
        <f t="shared" si="10"/>
        <v>-12.297691678779074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4</v>
      </c>
      <c r="W67" s="140">
        <f t="shared" si="5"/>
        <v>-25.896613372093043</v>
      </c>
      <c r="X67" s="140">
        <f t="shared" si="6"/>
        <v>-22.687691678779075</v>
      </c>
      <c r="Y67" s="2"/>
      <c r="Z67" s="172">
        <f>8*$F$4/8</f>
        <v>5.5</v>
      </c>
      <c r="AA67" s="172">
        <f t="shared" si="7"/>
        <v>-36.002049418604656</v>
      </c>
      <c r="AB67" s="172">
        <f t="shared" si="8"/>
        <v>-41.299852008456647</v>
      </c>
      <c r="AC67" s="2"/>
      <c r="AD67" s="140">
        <f t="shared" si="9"/>
        <v>7.5</v>
      </c>
      <c r="AE67" s="140">
        <f t="shared" si="10"/>
        <v>-15.851517532703497</v>
      </c>
      <c r="AF67" s="140">
        <f t="shared" si="10"/>
        <v>-17.492691678779074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8</v>
      </c>
      <c r="AE68" s="140">
        <f t="shared" si="10"/>
        <v>-25.896613372093043</v>
      </c>
      <c r="AF68" s="140">
        <f t="shared" si="10"/>
        <v>-22.687691678779075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8</v>
      </c>
      <c r="AE69" s="172">
        <f t="shared" ref="AE69:AF77" si="12">AA59</f>
        <v>-25.896613372093032</v>
      </c>
      <c r="AF69" s="172">
        <f t="shared" si="12"/>
        <v>37.625147991543336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8.6875</v>
      </c>
      <c r="AE70" s="172">
        <f t="shared" si="12"/>
        <v>-3.4206327216569896</v>
      </c>
      <c r="AF70" s="172">
        <f t="shared" si="12"/>
        <v>27.759522991543339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9.375</v>
      </c>
      <c r="AE71" s="172">
        <f t="shared" si="12"/>
        <v>12.272730741279055</v>
      </c>
      <c r="AF71" s="172">
        <f t="shared" si="12"/>
        <v>17.893897991543341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-36.002049418604642</v>
      </c>
      <c r="X72" s="200">
        <f t="shared" ref="X72:X80" si="14">-$G$7*V72+$AC$28</f>
        <v>37.700512354651153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10.0625</v>
      </c>
      <c r="AE72" s="172">
        <f t="shared" si="12"/>
        <v>21.183477016715102</v>
      </c>
      <c r="AF72" s="172">
        <f t="shared" si="12"/>
        <v>8.0282729915433393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0.5</v>
      </c>
      <c r="W73" s="200">
        <f t="shared" si="13"/>
        <v>-18.945543241279069</v>
      </c>
      <c r="X73" s="200">
        <f t="shared" si="14"/>
        <v>30.525512354651156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10.75</v>
      </c>
      <c r="AE73" s="172">
        <f t="shared" si="12"/>
        <v>23.311606104651148</v>
      </c>
      <c r="AF73" s="172">
        <f t="shared" si="12"/>
        <v>-1.837352008456655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</v>
      </c>
      <c r="W74" s="200">
        <f t="shared" si="13"/>
        <v>-5.4765370639534865</v>
      </c>
      <c r="X74" s="200">
        <f t="shared" si="14"/>
        <v>23.350512354651155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11.4375</v>
      </c>
      <c r="AE74" s="172">
        <f t="shared" si="12"/>
        <v>18.657118005087199</v>
      </c>
      <c r="AF74" s="172">
        <f t="shared" si="12"/>
        <v>-11.702977008456656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1.5</v>
      </c>
      <c r="W75" s="200">
        <f t="shared" si="13"/>
        <v>4.4049691133720899</v>
      </c>
      <c r="X75" s="200">
        <f t="shared" si="14"/>
        <v>16.175512354651154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12.125</v>
      </c>
      <c r="AE75" s="172">
        <f t="shared" si="12"/>
        <v>7.2200127180232414</v>
      </c>
      <c r="AF75" s="172">
        <f t="shared" si="12"/>
        <v>-21.568602008456658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</v>
      </c>
      <c r="W76" s="200">
        <f t="shared" si="13"/>
        <v>10.698975290697661</v>
      </c>
      <c r="X76" s="200">
        <f t="shared" si="14"/>
        <v>9.000512354651157</v>
      </c>
      <c r="Y76" s="2"/>
      <c r="Z76" s="122"/>
      <c r="AA76" s="122"/>
      <c r="AB76" s="122"/>
      <c r="AC76" s="2"/>
      <c r="AD76" s="172">
        <f t="shared" si="11"/>
        <v>12.8125</v>
      </c>
      <c r="AE76" s="172">
        <f t="shared" si="12"/>
        <v>-10.999709756540739</v>
      </c>
      <c r="AF76" s="172">
        <f t="shared" si="12"/>
        <v>-31.434227008456652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2.5</v>
      </c>
      <c r="W77" s="200">
        <f t="shared" si="13"/>
        <v>13.405481468023254</v>
      </c>
      <c r="X77" s="200">
        <f t="shared" si="14"/>
        <v>1.8255123546511598</v>
      </c>
      <c r="Y77" s="2"/>
      <c r="Z77" s="3"/>
      <c r="AA77" s="3"/>
      <c r="AB77" s="3"/>
      <c r="AC77" s="2"/>
      <c r="AD77" s="172">
        <f t="shared" si="11"/>
        <v>13.5</v>
      </c>
      <c r="AE77" s="172">
        <f t="shared" si="12"/>
        <v>-36.002049418604656</v>
      </c>
      <c r="AF77" s="172">
        <f t="shared" si="12"/>
        <v>-41.299852008456647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</v>
      </c>
      <c r="W78" s="200">
        <f t="shared" si="13"/>
        <v>12.524487645348827</v>
      </c>
      <c r="X78" s="200">
        <f t="shared" si="14"/>
        <v>-5.3494876453488445</v>
      </c>
      <c r="Y78" s="2"/>
      <c r="Z78" s="3"/>
      <c r="AA78" s="3"/>
      <c r="AB78" s="3"/>
      <c r="AC78" s="2"/>
      <c r="AD78" s="200">
        <f t="shared" ref="AD78:AD86" si="15">$AD$77+V72</f>
        <v>13.5</v>
      </c>
      <c r="AE78" s="200">
        <f t="shared" ref="AE78:AF86" si="16">W72</f>
        <v>-36.002049418604642</v>
      </c>
      <c r="AF78" s="200">
        <f t="shared" si="16"/>
        <v>37.700512354651153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3.5</v>
      </c>
      <c r="W79" s="200">
        <f t="shared" si="13"/>
        <v>8.0559938226744094</v>
      </c>
      <c r="X79" s="200">
        <f t="shared" si="14"/>
        <v>-12.524487645348842</v>
      </c>
      <c r="Y79" s="2"/>
      <c r="Z79" s="3"/>
      <c r="AA79" s="3"/>
      <c r="AB79" s="3"/>
      <c r="AC79" s="2"/>
      <c r="AD79" s="200">
        <f t="shared" si="15"/>
        <v>14</v>
      </c>
      <c r="AE79" s="200">
        <f t="shared" si="16"/>
        <v>-18.945543241279069</v>
      </c>
      <c r="AF79" s="200">
        <f t="shared" si="16"/>
        <v>30.525512354651156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4</v>
      </c>
      <c r="W80" s="200">
        <f t="shared" si="13"/>
        <v>0</v>
      </c>
      <c r="X80" s="200">
        <f t="shared" si="14"/>
        <v>-19.699487645348839</v>
      </c>
      <c r="Y80" s="2"/>
      <c r="Z80" s="3"/>
      <c r="AA80" s="3"/>
      <c r="AB80" s="3"/>
      <c r="AC80" s="2"/>
      <c r="AD80" s="200">
        <f t="shared" si="15"/>
        <v>14.5</v>
      </c>
      <c r="AE80" s="200">
        <f t="shared" si="16"/>
        <v>-5.4765370639534865</v>
      </c>
      <c r="AF80" s="200">
        <f t="shared" si="16"/>
        <v>23.350512354651155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15</v>
      </c>
      <c r="AE81" s="200">
        <f t="shared" si="16"/>
        <v>4.4049691133720899</v>
      </c>
      <c r="AF81" s="200">
        <f t="shared" si="16"/>
        <v>16.175512354651154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15.5</v>
      </c>
      <c r="AE82" s="200">
        <f t="shared" si="16"/>
        <v>10.698975290697661</v>
      </c>
      <c r="AF82" s="200">
        <f t="shared" si="16"/>
        <v>9.000512354651157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16</v>
      </c>
      <c r="AE83" s="200">
        <f t="shared" si="16"/>
        <v>13.405481468023254</v>
      </c>
      <c r="AF83" s="200">
        <f t="shared" si="16"/>
        <v>1.8255123546511598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16.5</v>
      </c>
      <c r="AE84" s="200">
        <f t="shared" si="16"/>
        <v>12.524487645348827</v>
      </c>
      <c r="AF84" s="200">
        <f t="shared" si="16"/>
        <v>-5.3494876453488445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17</v>
      </c>
      <c r="AE85" s="200">
        <f t="shared" si="16"/>
        <v>8.0559938226744094</v>
      </c>
      <c r="AF85" s="200">
        <f t="shared" si="16"/>
        <v>-12.524487645348842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17.5</v>
      </c>
      <c r="AE86" s="200">
        <f t="shared" si="16"/>
        <v>0</v>
      </c>
      <c r="AF86" s="200">
        <f t="shared" si="16"/>
        <v>-19.699487645348839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17.5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17.5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17.5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17.5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29"/>
  <dimension ref="A1:N16"/>
  <sheetViews>
    <sheetView workbookViewId="0">
      <selection activeCell="H7" sqref="H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t="s">
        <v>105</v>
      </c>
      <c r="M1" t="s">
        <v>122</v>
      </c>
    </row>
    <row r="2" spans="1:14" x14ac:dyDescent="0.25">
      <c r="A2" s="29">
        <f>'CCCC-Trave'!C15</f>
        <v>0</v>
      </c>
      <c r="B2" s="30">
        <v>0</v>
      </c>
      <c r="D2" s="29">
        <f>'CCCC-Trave'!C15+'CCCC-Trave'!D15</f>
        <v>4</v>
      </c>
      <c r="E2" s="30">
        <v>0</v>
      </c>
      <c r="G2" s="29">
        <f>'CCCC-Trave'!C15+'CCCC-Trave'!D15+'CCCC-Trave'!E15</f>
        <v>8</v>
      </c>
      <c r="H2" s="30">
        <v>0</v>
      </c>
      <c r="J2" s="29">
        <f>'CCCC-Trave'!$C$15+'CCCC-Trave'!$D$15+'CCCC-Trave'!$E$15+'CCCC-Trave'!$F$15</f>
        <v>13.5</v>
      </c>
      <c r="K2" s="30">
        <v>0</v>
      </c>
      <c r="M2" s="29">
        <f>'CCCC-Trave'!$C$15+'CCCC-Trave'!$D$15+'CCCC-Trave'!$E$15+'CCCC-Trave'!$F$15+'CCCC-Trave'!$G$15</f>
        <v>17.5</v>
      </c>
      <c r="N2" s="30">
        <v>0</v>
      </c>
    </row>
    <row r="3" spans="1:14" x14ac:dyDescent="0.25">
      <c r="A3" s="29">
        <f>A2-0.4</f>
        <v>-0.4</v>
      </c>
      <c r="B3" s="30">
        <v>-6</v>
      </c>
      <c r="D3" s="29">
        <f>D2-0.4</f>
        <v>3.6</v>
      </c>
      <c r="E3" s="30">
        <v>-6</v>
      </c>
      <c r="G3" s="29">
        <f>G2-0.4</f>
        <v>7.6</v>
      </c>
      <c r="H3" s="30">
        <v>-6</v>
      </c>
      <c r="J3" s="29">
        <f>J2-0.4</f>
        <v>13.1</v>
      </c>
      <c r="K3" s="30">
        <v>-6</v>
      </c>
      <c r="M3" s="29">
        <f>M2-0.4</f>
        <v>17.100000000000001</v>
      </c>
      <c r="N3" s="30">
        <v>-6</v>
      </c>
    </row>
    <row r="4" spans="1:14" x14ac:dyDescent="0.25">
      <c r="A4" s="29">
        <f>A2+0.4</f>
        <v>0.4</v>
      </c>
      <c r="B4" s="30">
        <f>B3</f>
        <v>-6</v>
      </c>
      <c r="D4" s="29">
        <f>D2+0.4</f>
        <v>4.4000000000000004</v>
      </c>
      <c r="E4" s="30">
        <f>E3</f>
        <v>-6</v>
      </c>
      <c r="G4" s="29">
        <f>G2+0.4</f>
        <v>8.4</v>
      </c>
      <c r="H4" s="30">
        <f>H3</f>
        <v>-6</v>
      </c>
      <c r="J4" s="29">
        <f>J2+0.4</f>
        <v>13.9</v>
      </c>
      <c r="K4" s="30">
        <f>K3</f>
        <v>-6</v>
      </c>
      <c r="M4" s="29">
        <f>M2+0.4</f>
        <v>17.899999999999999</v>
      </c>
      <c r="N4" s="30">
        <f>N3</f>
        <v>-6</v>
      </c>
    </row>
    <row r="5" spans="1:14" x14ac:dyDescent="0.25">
      <c r="A5" s="31">
        <f>A2</f>
        <v>0</v>
      </c>
      <c r="B5" s="32">
        <f>B2</f>
        <v>0</v>
      </c>
      <c r="D5" s="29">
        <f>D2</f>
        <v>4</v>
      </c>
      <c r="E5" s="30">
        <f>E2</f>
        <v>0</v>
      </c>
      <c r="G5" s="29">
        <f>G2</f>
        <v>8</v>
      </c>
      <c r="H5" s="30">
        <f>H2</f>
        <v>0</v>
      </c>
      <c r="J5" s="29">
        <f>J2</f>
        <v>13.5</v>
      </c>
      <c r="K5" s="30">
        <f>K2</f>
        <v>0</v>
      </c>
      <c r="M5" s="29">
        <f>M2</f>
        <v>17.5</v>
      </c>
      <c r="N5" s="30">
        <f>N2</f>
        <v>0</v>
      </c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7"/>
  <dimension ref="A1:AT100"/>
  <sheetViews>
    <sheetView topLeftCell="A7" zoomScaleNormal="100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'CCC-Trave'!D26</f>
        <v>0</v>
      </c>
      <c r="D7" s="14">
        <f>'CCC-Trave'!E26</f>
        <v>0</v>
      </c>
      <c r="E7" s="14">
        <f>'CCC-Trave'!F26</f>
        <v>0</v>
      </c>
      <c r="F7" s="14">
        <f>'CCC-Trave'!G26</f>
        <v>0</v>
      </c>
      <c r="G7" s="14">
        <f>'CCC-Trave'!H26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5" thickTop="1" thickBot="1" x14ac:dyDescent="0.25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v>10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10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10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10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75" thickBot="1" x14ac:dyDescent="0.25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10</v>
      </c>
      <c r="AJ21" s="2"/>
      <c r="AK21" s="61">
        <f>AK57</f>
        <v>10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10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10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10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10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10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10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10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10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10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10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10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10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75" thickBot="1" x14ac:dyDescent="0.25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10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10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10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10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10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10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10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8"/>
  <dimension ref="A1:AT100"/>
  <sheetViews>
    <sheetView topLeftCell="A8" zoomScale="85" zoomScaleNormal="85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'CCC-Trave'!D27</f>
        <v>0</v>
      </c>
      <c r="D7" s="14">
        <f>'CCC-Trave'!E27</f>
        <v>9.4</v>
      </c>
      <c r="E7" s="14">
        <f>'CCC-Trave'!F27</f>
        <v>9.4</v>
      </c>
      <c r="F7" s="14">
        <f>'CCC-Trave'!G27</f>
        <v>9.4</v>
      </c>
      <c r="G7" s="14">
        <f>'CCC-Trave'!H27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5" thickTop="1" thickBot="1" x14ac:dyDescent="0.25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-822500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-822500</v>
      </c>
      <c r="AF17" s="2"/>
      <c r="AG17" s="2"/>
      <c r="AH17" s="59">
        <v>0</v>
      </c>
      <c r="AI17" s="60">
        <f>5+MAX('CCC-car.1'!AI17:AI49)</f>
        <v>15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15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15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15</v>
      </c>
      <c r="AJ20" s="2"/>
      <c r="AK20" s="61">
        <f>AK19</f>
        <v>4</v>
      </c>
      <c r="AL20" s="87">
        <f>AE59</f>
        <v>-25.307692307692307</v>
      </c>
      <c r="AM20" s="2"/>
      <c r="AN20" s="22"/>
    </row>
    <row r="21" spans="1:46" s="46" customFormat="1" ht="12.75" thickBot="1" x14ac:dyDescent="0.25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25.307692307692314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15</v>
      </c>
      <c r="AJ21" s="2"/>
      <c r="AK21" s="61">
        <f>AK57</f>
        <v>10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25.307692307692307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-822500</v>
      </c>
      <c r="AC22" s="154">
        <f>-E7*E4^3/(24*I18)-F7*F4^3/(24*D21)+Z22*F4/(6*D21)</f>
        <v>-822500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-25.307692307692321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15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15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24.4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24.4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12.473076923076924</v>
      </c>
      <c r="X28" s="71">
        <f>(W21-Z21+D7*D4^2/2)/D4</f>
        <v>25.126923076923077</v>
      </c>
      <c r="Y28" s="156">
        <f>E7*E4-Z28</f>
        <v>28.200000000000003</v>
      </c>
      <c r="Z28" s="71">
        <f>(W22-W21+E7*E4^2/2)/E4</f>
        <v>28.200000000000003</v>
      </c>
      <c r="AA28" s="71">
        <f>F7*F4-AB28</f>
        <v>25.126923076923077</v>
      </c>
      <c r="AB28" s="71">
        <f>(Z22-W22+F7*F4^2/2)/F4</f>
        <v>12.473076923076924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15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15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12.473076923076924</v>
      </c>
      <c r="Y32" s="88">
        <f>X28+Y28</f>
        <v>53.32692307692308</v>
      </c>
      <c r="Z32" s="88">
        <f>Z28+AA28</f>
        <v>53.32692307692308</v>
      </c>
      <c r="AA32" s="69">
        <f>AB28+AC28</f>
        <v>12.473076923076924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15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24.4</v>
      </c>
      <c r="AJ33" s="2"/>
      <c r="AK33" s="157" t="s">
        <v>23</v>
      </c>
      <c r="AL33" s="8">
        <f>W28/D7</f>
        <v>1.3269230769230769</v>
      </c>
      <c r="AM33" s="8">
        <f>C4+AL33</f>
        <v>1.3269230769230769</v>
      </c>
      <c r="AN33" s="129">
        <f>W28*AL33-D7*AL33^2/2+AE50</f>
        <v>8.2754068047337306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24.4</v>
      </c>
      <c r="AJ34" s="2"/>
      <c r="AK34" s="158" t="s">
        <v>82</v>
      </c>
      <c r="AL34" s="8">
        <f>Y28/E7</f>
        <v>3</v>
      </c>
      <c r="AM34" s="8">
        <f>C4+D4+AL34</f>
        <v>7</v>
      </c>
      <c r="AN34" s="129">
        <f>Y28*AL34-E7*AL34^2/2+AE59</f>
        <v>16.992307692307698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15</v>
      </c>
      <c r="AJ35" s="2"/>
      <c r="AK35" s="159" t="s">
        <v>101</v>
      </c>
      <c r="AL35" s="88">
        <f>AA28/F7</f>
        <v>2.6730769230769229</v>
      </c>
      <c r="AM35" s="88">
        <f>C4+D4+E4+AL35</f>
        <v>12.673076923076923</v>
      </c>
      <c r="AN35" s="101">
        <f>AA28*AL35-F7*AL35^2/2+AE68</f>
        <v>8.2754068047337128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12.473076923076924</v>
      </c>
      <c r="X37" s="2"/>
      <c r="Y37" s="74">
        <f>Y36</f>
        <v>4</v>
      </c>
      <c r="Z37" s="75">
        <f>Y32</f>
        <v>53.32692307692308</v>
      </c>
      <c r="AA37" s="2"/>
      <c r="AB37" s="74">
        <f>AB36</f>
        <v>10</v>
      </c>
      <c r="AC37" s="75">
        <f>Z32</f>
        <v>53.32692307692308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15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15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24.4</v>
      </c>
      <c r="AJ40" s="2"/>
      <c r="AK40" s="67">
        <f>AM33</f>
        <v>1.3269230769230769</v>
      </c>
      <c r="AL40" s="60">
        <v>0</v>
      </c>
      <c r="AM40" s="2"/>
      <c r="AN40" s="22"/>
    </row>
    <row r="41" spans="22:40" ht="12.75" thickBot="1" x14ac:dyDescent="0.25">
      <c r="V41" s="103">
        <f>V40</f>
        <v>14</v>
      </c>
      <c r="W41" s="75">
        <f>AA32</f>
        <v>12.473076923076924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24.4</v>
      </c>
      <c r="AJ41" s="2"/>
      <c r="AK41" s="61">
        <f>AK40</f>
        <v>1.3269230769230769</v>
      </c>
      <c r="AL41" s="87">
        <f>AN33</f>
        <v>8.2754068047337306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15</v>
      </c>
      <c r="AJ42" s="2"/>
      <c r="AK42" s="61">
        <f>AM34</f>
        <v>7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7</v>
      </c>
      <c r="AL43" s="87">
        <f>AN34</f>
        <v>16.992307692307698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12.673076923076923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15</v>
      </c>
      <c r="AJ45" s="2"/>
      <c r="AK45" s="63">
        <f>AK44</f>
        <v>12.673076923076923</v>
      </c>
      <c r="AL45" s="69">
        <f>AN35</f>
        <v>8.2754068047337128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15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12.473076923076924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15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5.0615384615384622</v>
      </c>
      <c r="AB48" s="86">
        <f t="shared" si="1"/>
        <v>7.7730769230769239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15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7.7730769230769239</v>
      </c>
      <c r="AB49" s="86">
        <f t="shared" si="1"/>
        <v>3.0730769230769237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15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8.134615384615385</v>
      </c>
      <c r="AB50" s="86">
        <f t="shared" si="1"/>
        <v>-1.6269230769230774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6.1461538461538474</v>
      </c>
      <c r="AB51" s="86">
        <f t="shared" si="1"/>
        <v>-6.3269230769230766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12.473076923076924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1.8076923076923102</v>
      </c>
      <c r="AB52" s="86">
        <f t="shared" si="1"/>
        <v>-11.026923076923076</v>
      </c>
      <c r="AC52" s="3"/>
      <c r="AD52" s="85">
        <f t="shared" si="3"/>
        <v>0.5</v>
      </c>
      <c r="AE52" s="10">
        <f t="shared" si="4"/>
        <v>5.0615384615384622</v>
      </c>
      <c r="AF52" s="86">
        <f t="shared" si="4"/>
        <v>7.7730769230769239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-4.8807692307692321</v>
      </c>
      <c r="AB53" s="86">
        <f t="shared" si="1"/>
        <v>-15.726923076923079</v>
      </c>
      <c r="AC53" s="3"/>
      <c r="AD53" s="85">
        <f t="shared" si="3"/>
        <v>1</v>
      </c>
      <c r="AE53" s="10">
        <f t="shared" si="4"/>
        <v>7.7730769230769239</v>
      </c>
      <c r="AF53" s="86">
        <f t="shared" si="4"/>
        <v>3.0730769230769237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-13.919230769230765</v>
      </c>
      <c r="AB54" s="86">
        <f t="shared" si="1"/>
        <v>-20.426923076923075</v>
      </c>
      <c r="AC54" s="2"/>
      <c r="AD54" s="85">
        <f t="shared" si="3"/>
        <v>1.5</v>
      </c>
      <c r="AE54" s="10">
        <f t="shared" si="4"/>
        <v>8.134615384615385</v>
      </c>
      <c r="AF54" s="86">
        <f t="shared" si="4"/>
        <v>-1.6269230769230774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-25.307692307692307</v>
      </c>
      <c r="AB55" s="169">
        <f t="shared" si="1"/>
        <v>-25.126923076923077</v>
      </c>
      <c r="AC55" s="2"/>
      <c r="AD55" s="85">
        <f t="shared" si="3"/>
        <v>2</v>
      </c>
      <c r="AE55" s="10">
        <f t="shared" si="4"/>
        <v>6.1461538461538474</v>
      </c>
      <c r="AF55" s="86">
        <f t="shared" si="4"/>
        <v>-6.3269230769230766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1.8076923076923102</v>
      </c>
      <c r="AF56" s="86">
        <f t="shared" si="4"/>
        <v>-11.026923076923076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-4.8807692307692321</v>
      </c>
      <c r="AF57" s="86">
        <f t="shared" si="4"/>
        <v>-15.726923076923079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-13.919230769230765</v>
      </c>
      <c r="AF58" s="86">
        <f t="shared" si="4"/>
        <v>-20.426923076923075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-25.307692307692314</v>
      </c>
      <c r="X59" s="170">
        <f t="shared" ref="X59:X67" si="6">-$E$7*V59+$Y$28</f>
        <v>28.200000000000003</v>
      </c>
      <c r="Y59" s="2"/>
      <c r="Z59" s="171">
        <v>0</v>
      </c>
      <c r="AA59" s="172">
        <f t="shared" ref="AA59:AA67" si="7">-$W$22-$F$7*Z59^2/2+$AA$28*Z59</f>
        <v>-25.307692307692307</v>
      </c>
      <c r="AB59" s="173">
        <f t="shared" ref="AB59:AB67" si="8">-$F$7*Z59+$AA$28</f>
        <v>25.126923076923077</v>
      </c>
      <c r="AC59" s="2"/>
      <c r="AD59" s="167">
        <f t="shared" si="3"/>
        <v>4</v>
      </c>
      <c r="AE59" s="168">
        <f t="shared" si="4"/>
        <v>-25.307692307692307</v>
      </c>
      <c r="AF59" s="169">
        <f t="shared" si="4"/>
        <v>-25.126923076923077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">
      <c r="V60" s="139">
        <f>$E$4/8</f>
        <v>0.75</v>
      </c>
      <c r="W60" s="140">
        <f t="shared" si="5"/>
        <v>-6.8014423076923123</v>
      </c>
      <c r="X60" s="170">
        <f t="shared" si="6"/>
        <v>21.150000000000002</v>
      </c>
      <c r="Y60" s="2"/>
      <c r="Z60" s="171">
        <f>$F$4/8</f>
        <v>0.5</v>
      </c>
      <c r="AA60" s="172">
        <f t="shared" si="7"/>
        <v>-13.919230769230769</v>
      </c>
      <c r="AB60" s="173">
        <f t="shared" si="8"/>
        <v>20.426923076923078</v>
      </c>
      <c r="AC60" s="2"/>
      <c r="AD60" s="174">
        <f t="shared" ref="AD60:AD68" si="9">$AD$59+V59</f>
        <v>4</v>
      </c>
      <c r="AE60" s="175">
        <f t="shared" ref="AE60:AF68" si="10">W59</f>
        <v>-25.307692307692314</v>
      </c>
      <c r="AF60" s="176">
        <f t="shared" si="10"/>
        <v>28.200000000000003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1.5</v>
      </c>
      <c r="W61" s="140">
        <f t="shared" si="5"/>
        <v>6.4173076923076877</v>
      </c>
      <c r="X61" s="170">
        <f t="shared" si="6"/>
        <v>14.100000000000001</v>
      </c>
      <c r="Y61" s="2"/>
      <c r="Z61" s="171">
        <f>2*$F$4/8</f>
        <v>1</v>
      </c>
      <c r="AA61" s="172">
        <f t="shared" si="7"/>
        <v>-4.8807692307692285</v>
      </c>
      <c r="AB61" s="173">
        <f t="shared" si="8"/>
        <v>15.726923076923077</v>
      </c>
      <c r="AC61" s="2"/>
      <c r="AD61" s="177">
        <f t="shared" si="9"/>
        <v>4.75</v>
      </c>
      <c r="AE61" s="140">
        <f t="shared" si="10"/>
        <v>-6.8014423076923123</v>
      </c>
      <c r="AF61" s="170">
        <f t="shared" si="10"/>
        <v>21.150000000000002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2.25</v>
      </c>
      <c r="W62" s="140">
        <f t="shared" si="5"/>
        <v>14.348557692307693</v>
      </c>
      <c r="X62" s="170">
        <f t="shared" si="6"/>
        <v>7.0500000000000007</v>
      </c>
      <c r="Y62" s="2"/>
      <c r="Z62" s="171">
        <f>3*$F$4/8</f>
        <v>1.5</v>
      </c>
      <c r="AA62" s="172">
        <f t="shared" si="7"/>
        <v>1.8076923076923066</v>
      </c>
      <c r="AB62" s="173">
        <f t="shared" si="8"/>
        <v>11.026923076923076</v>
      </c>
      <c r="AC62" s="2"/>
      <c r="AD62" s="177">
        <f t="shared" si="9"/>
        <v>5.5</v>
      </c>
      <c r="AE62" s="140">
        <f t="shared" si="10"/>
        <v>6.4173076923076877</v>
      </c>
      <c r="AF62" s="170">
        <f t="shared" si="10"/>
        <v>14.100000000000001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3</v>
      </c>
      <c r="W63" s="140">
        <f t="shared" si="5"/>
        <v>16.992307692307691</v>
      </c>
      <c r="X63" s="170">
        <f t="shared" si="6"/>
        <v>0</v>
      </c>
      <c r="Y63" s="2"/>
      <c r="Z63" s="171">
        <f>4*$F$4/8</f>
        <v>2</v>
      </c>
      <c r="AA63" s="172">
        <f t="shared" si="7"/>
        <v>6.146153846153851</v>
      </c>
      <c r="AB63" s="173">
        <f t="shared" si="8"/>
        <v>6.3269230769230766</v>
      </c>
      <c r="AC63" s="2"/>
      <c r="AD63" s="177">
        <f t="shared" si="9"/>
        <v>6.25</v>
      </c>
      <c r="AE63" s="140">
        <f t="shared" si="10"/>
        <v>14.348557692307693</v>
      </c>
      <c r="AF63" s="170">
        <f t="shared" si="10"/>
        <v>7.0500000000000007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3.75</v>
      </c>
      <c r="W64" s="140">
        <f t="shared" si="5"/>
        <v>14.348557692307693</v>
      </c>
      <c r="X64" s="170">
        <f t="shared" si="6"/>
        <v>-7.0499999999999972</v>
      </c>
      <c r="Y64" s="2"/>
      <c r="Z64" s="171">
        <f>5*$F$4/8</f>
        <v>2.5</v>
      </c>
      <c r="AA64" s="172">
        <f t="shared" si="7"/>
        <v>8.1346153846153868</v>
      </c>
      <c r="AB64" s="173">
        <f t="shared" si="8"/>
        <v>1.6269230769230774</v>
      </c>
      <c r="AC64" s="2"/>
      <c r="AD64" s="177">
        <f t="shared" si="9"/>
        <v>7</v>
      </c>
      <c r="AE64" s="140">
        <f t="shared" si="10"/>
        <v>16.992307692307691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4.5</v>
      </c>
      <c r="W65" s="140">
        <f t="shared" si="5"/>
        <v>6.4173076923077019</v>
      </c>
      <c r="X65" s="170">
        <f t="shared" si="6"/>
        <v>-14.100000000000001</v>
      </c>
      <c r="Y65" s="2"/>
      <c r="Z65" s="171">
        <f>6*$F$4/8</f>
        <v>3</v>
      </c>
      <c r="AA65" s="172">
        <f t="shared" si="7"/>
        <v>7.7730769230769283</v>
      </c>
      <c r="AB65" s="173">
        <f t="shared" si="8"/>
        <v>-3.0730769230769255</v>
      </c>
      <c r="AC65" s="2"/>
      <c r="AD65" s="177">
        <f t="shared" si="9"/>
        <v>7.75</v>
      </c>
      <c r="AE65" s="140">
        <f t="shared" si="10"/>
        <v>14.348557692307693</v>
      </c>
      <c r="AF65" s="170">
        <f t="shared" si="10"/>
        <v>-7.0499999999999972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5.25</v>
      </c>
      <c r="W66" s="140">
        <f t="shared" si="5"/>
        <v>-6.8014423076923265</v>
      </c>
      <c r="X66" s="170">
        <f t="shared" si="6"/>
        <v>-21.15</v>
      </c>
      <c r="Y66" s="2"/>
      <c r="Z66" s="171">
        <f>7*$F$4/8</f>
        <v>3.5</v>
      </c>
      <c r="AA66" s="172">
        <f t="shared" si="7"/>
        <v>5.0615384615384613</v>
      </c>
      <c r="AB66" s="173">
        <f t="shared" si="8"/>
        <v>-7.7730769230769212</v>
      </c>
      <c r="AC66" s="2"/>
      <c r="AD66" s="177">
        <f t="shared" si="9"/>
        <v>8.5</v>
      </c>
      <c r="AE66" s="140">
        <f t="shared" si="10"/>
        <v>6.4173076923077019</v>
      </c>
      <c r="AF66" s="170">
        <f t="shared" si="10"/>
        <v>-14.100000000000001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6</v>
      </c>
      <c r="W67" s="179">
        <f t="shared" si="5"/>
        <v>-25.307692307692321</v>
      </c>
      <c r="X67" s="180">
        <f t="shared" si="6"/>
        <v>-28.200000000000003</v>
      </c>
      <c r="Y67" s="2"/>
      <c r="Z67" s="181">
        <f>8*$F$4/8</f>
        <v>4</v>
      </c>
      <c r="AA67" s="182">
        <f t="shared" si="7"/>
        <v>0</v>
      </c>
      <c r="AB67" s="183">
        <f t="shared" si="8"/>
        <v>-12.473076923076924</v>
      </c>
      <c r="AC67" s="2"/>
      <c r="AD67" s="177">
        <f t="shared" si="9"/>
        <v>9.25</v>
      </c>
      <c r="AE67" s="140">
        <f t="shared" si="10"/>
        <v>-6.8014423076923265</v>
      </c>
      <c r="AF67" s="170">
        <f t="shared" si="10"/>
        <v>-21.15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-25.307692307692321</v>
      </c>
      <c r="AF68" s="180">
        <f t="shared" si="10"/>
        <v>-28.200000000000003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-25.307692307692307</v>
      </c>
      <c r="AF69" s="187">
        <f t="shared" si="12"/>
        <v>25.126923076923077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-13.919230769230769</v>
      </c>
      <c r="AF70" s="173">
        <f t="shared" si="12"/>
        <v>20.426923076923078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-4.8807692307692285</v>
      </c>
      <c r="AF71" s="173">
        <f t="shared" si="12"/>
        <v>15.726923076923077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1.8076923076923066</v>
      </c>
      <c r="AF72" s="173">
        <f t="shared" si="12"/>
        <v>11.026923076923076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6.146153846153851</v>
      </c>
      <c r="AF73" s="173">
        <f t="shared" si="12"/>
        <v>6.3269230769230766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8.1346153846153868</v>
      </c>
      <c r="AF74" s="173">
        <f t="shared" si="12"/>
        <v>1.6269230769230774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7.7730769230769283</v>
      </c>
      <c r="AF75" s="173">
        <f t="shared" si="12"/>
        <v>-3.0730769230769255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5.0615384615384613</v>
      </c>
      <c r="AF76" s="173">
        <f t="shared" si="12"/>
        <v>-7.7730769230769212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-12.473076923076924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9"/>
  <dimension ref="A1:AT100"/>
  <sheetViews>
    <sheetView topLeftCell="A4" zoomScale="85" zoomScaleNormal="85" workbookViewId="0">
      <selection activeCell="D22" sqref="D22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'CCC-Trave'!D28</f>
        <v>0</v>
      </c>
      <c r="D7" s="14">
        <f>'CCC-Trave'!E28</f>
        <v>0</v>
      </c>
      <c r="E7" s="14">
        <f>'CCC-Trave'!F28</f>
        <v>0</v>
      </c>
      <c r="F7" s="14">
        <f>'CCC-Trave'!G28</f>
        <v>0</v>
      </c>
      <c r="G7" s="14">
        <f>'CCC-Trave'!H28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5" thickTop="1" thickBot="1" x14ac:dyDescent="0.25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5+MAX('CCC-car.2'!AI17:AI49)</f>
        <v>29.4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29.4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29.4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29.4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75" thickBot="1" x14ac:dyDescent="0.25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29.4</v>
      </c>
      <c r="AJ21" s="2"/>
      <c r="AK21" s="61">
        <f>AK57</f>
        <v>10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29.4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29.4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29.4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29.4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29.4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29.4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29.4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29.4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29.4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29.4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29.4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29.4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29.4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75" thickBot="1" x14ac:dyDescent="0.25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29.4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29.4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29.4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29.4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29.4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29.4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29.4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0"/>
  <dimension ref="A1:AT100"/>
  <sheetViews>
    <sheetView topLeftCell="A4" zoomScale="85" zoomScaleNormal="85" workbookViewId="0">
      <selection activeCell="I18" sqref="I18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'CCC-Trave'!D29</f>
        <v>0</v>
      </c>
      <c r="D7" s="14">
        <f>'CCC-Trave'!E29</f>
        <v>0</v>
      </c>
      <c r="E7" s="14">
        <f>'CCC-Trave'!F29</f>
        <v>0</v>
      </c>
      <c r="F7" s="14">
        <f>'CCC-Trave'!G29</f>
        <v>0</v>
      </c>
      <c r="G7" s="14">
        <f>'CCC-Trave'!H29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5" thickTop="1" thickBot="1" x14ac:dyDescent="0.25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5+MAX('CCC-car.3'!AI17:AI49)</f>
        <v>34.4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34.4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34.4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34.4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75" thickBot="1" x14ac:dyDescent="0.25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34.4</v>
      </c>
      <c r="AJ21" s="2"/>
      <c r="AK21" s="61">
        <f>AK57</f>
        <v>10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34.4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34.4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34.4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34.4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34.4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34.4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34.4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34.4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34.4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34.4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34.4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34.4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34.4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75" thickBot="1" x14ac:dyDescent="0.25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34.4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34.4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34.4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34.4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34.4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34.4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34.4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21"/>
  <dimension ref="A1:AT100"/>
  <sheetViews>
    <sheetView zoomScale="85" zoomScaleNormal="85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'CCC-Trave'!D15</f>
        <v>0</v>
      </c>
      <c r="D4" s="14">
        <f>'CCC-Trave'!E15</f>
        <v>4</v>
      </c>
      <c r="E4" s="14">
        <f>'CCC-Trave'!F15</f>
        <v>6</v>
      </c>
      <c r="F4" s="14">
        <f>'CCC-Trave'!G15</f>
        <v>4</v>
      </c>
      <c r="G4" s="14">
        <f>'CCC-Trave'!H15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'CCC-Trave'!D30</f>
        <v>0</v>
      </c>
      <c r="D7" s="14">
        <f>'CCC-Trave'!E30</f>
        <v>0</v>
      </c>
      <c r="E7" s="14">
        <f>'CCC-Trave'!F30</f>
        <v>0</v>
      </c>
      <c r="F7" s="14">
        <f>'CCC-Trave'!G30</f>
        <v>0</v>
      </c>
      <c r="G7" s="14">
        <f>'CCC-Trave'!H30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3.5" thickTop="1" thickBot="1" x14ac:dyDescent="0.25">
      <c r="V16" s="144">
        <f>-(D4/D18+E4/I18)/3</f>
        <v>-25000</v>
      </c>
      <c r="W16" s="145">
        <f>-E4/(6*I18)</f>
        <v>-7500</v>
      </c>
      <c r="X16" s="55"/>
      <c r="Y16" s="19"/>
      <c r="Z16" s="146">
        <f t="array" ref="Z16:AA17">MINVERSE(V16:W17)</f>
        <v>-4.3956043956043961E-5</v>
      </c>
      <c r="AA16" s="147">
        <v>1.3186813186813187E-5</v>
      </c>
      <c r="AB16" s="20"/>
      <c r="AC16" s="19"/>
      <c r="AD16" s="19"/>
      <c r="AE16" s="148">
        <f>AB22</f>
        <v>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-7500</v>
      </c>
      <c r="W17" s="150">
        <f>-(E4/I18+F4/D21)/3</f>
        <v>-25000</v>
      </c>
      <c r="X17" s="5"/>
      <c r="Y17" s="2"/>
      <c r="Z17" s="66">
        <v>1.3186813186813187E-5</v>
      </c>
      <c r="AA17" s="64">
        <v>-4.3956043956043955E-5</v>
      </c>
      <c r="AB17" s="3"/>
      <c r="AC17" s="2"/>
      <c r="AD17" s="2"/>
      <c r="AE17" s="151">
        <f>AC22</f>
        <v>0</v>
      </c>
      <c r="AF17" s="2"/>
      <c r="AG17" s="2"/>
      <c r="AH17" s="59">
        <v>0</v>
      </c>
      <c r="AI17" s="60">
        <f>5+MAX('CCC-car.4'!AI17:AI49)</f>
        <v>39.4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'CCC-Trave'!B77</f>
        <v>1</v>
      </c>
      <c r="C18" s="16">
        <f>'CCC-Trave'!C77</f>
        <v>1.3333333333333334E-4</v>
      </c>
      <c r="D18" s="16">
        <f>B18*C18</f>
        <v>1.3333333333333334E-4</v>
      </c>
      <c r="G18" s="16">
        <f>'CCC-Trave'!G77</f>
        <v>1</v>
      </c>
      <c r="H18" s="16">
        <f>'CCC-Trave'!H77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39.4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39.4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39.4</v>
      </c>
      <c r="AJ20" s="2"/>
      <c r="AK20" s="61">
        <f>AK19</f>
        <v>4</v>
      </c>
      <c r="AL20" s="87">
        <f>AE59</f>
        <v>0</v>
      </c>
      <c r="AM20" s="2"/>
      <c r="AN20" s="22"/>
    </row>
    <row r="21" spans="1:46" s="46" customFormat="1" ht="12.75" thickBot="1" x14ac:dyDescent="0.25">
      <c r="A21" s="1"/>
      <c r="B21" s="16">
        <f>'CCC-Trave'!B80</f>
        <v>1</v>
      </c>
      <c r="C21" s="16">
        <f>'CCC-Trave'!C80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0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39.4</v>
      </c>
      <c r="AJ21" s="2"/>
      <c r="AK21" s="61">
        <f>AK57</f>
        <v>10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0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0</v>
      </c>
      <c r="AC22" s="154">
        <f>-E7*E4^3/(24*I18)-F7*F4^3/(24*D21)+Z22*F4/(6*D21)</f>
        <v>0</v>
      </c>
      <c r="AD22" s="44"/>
      <c r="AE22" s="2"/>
      <c r="AF22" s="2"/>
      <c r="AG22" s="2"/>
      <c r="AH22" s="2"/>
      <c r="AI22" s="2"/>
      <c r="AJ22" s="2"/>
      <c r="AK22" s="61">
        <f>AK21</f>
        <v>10</v>
      </c>
      <c r="AL22" s="87">
        <f>AE68</f>
        <v>0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14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39.4</v>
      </c>
      <c r="AJ24" s="2"/>
      <c r="AK24" s="63">
        <f>AK23</f>
        <v>14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39.4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39.4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39.4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0</v>
      </c>
      <c r="X28" s="71">
        <f>(W21-Z21+D7*D4^2/2)/D4</f>
        <v>0</v>
      </c>
      <c r="Y28" s="156">
        <f>E7*E4-Z28</f>
        <v>0</v>
      </c>
      <c r="Z28" s="71">
        <f>(W22-W21+E7*E4^2/2)/E4</f>
        <v>0</v>
      </c>
      <c r="AA28" s="71">
        <f>F7*F4-AB28</f>
        <v>0</v>
      </c>
      <c r="AB28" s="71">
        <f>(Z22-W22+F7*F4^2/2)/F4</f>
        <v>0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39.4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39.4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0</v>
      </c>
      <c r="Y32" s="88">
        <f>X28+Y28</f>
        <v>0</v>
      </c>
      <c r="Z32" s="88">
        <f>Z28+AA28</f>
        <v>0</v>
      </c>
      <c r="AA32" s="69">
        <f>AB28+AC28</f>
        <v>0</v>
      </c>
      <c r="AB32" s="11"/>
      <c r="AC32" s="2"/>
      <c r="AD32" s="2"/>
      <c r="AE32" s="2"/>
      <c r="AF32" s="2"/>
      <c r="AG32" s="2"/>
      <c r="AH32" s="61">
        <f>AK57</f>
        <v>10</v>
      </c>
      <c r="AI32" s="62">
        <f>AI31</f>
        <v>39.4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10</v>
      </c>
      <c r="AI33" s="62">
        <f>AI32+E7</f>
        <v>39.4</v>
      </c>
      <c r="AJ33" s="2"/>
      <c r="AK33" s="157" t="s">
        <v>23</v>
      </c>
      <c r="AL33" s="8" t="e">
        <f>W28/D7</f>
        <v>#DIV/0!</v>
      </c>
      <c r="AM33" s="8" t="e">
        <f>C4+AL33</f>
        <v>#DIV/0!</v>
      </c>
      <c r="AN33" s="129" t="e">
        <f>W28*AL33-D7*AL33^2/2+AE50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39.4</v>
      </c>
      <c r="AJ34" s="2"/>
      <c r="AK34" s="158" t="s">
        <v>82</v>
      </c>
      <c r="AL34" s="8" t="e">
        <f>Y28/E7</f>
        <v>#DIV/0!</v>
      </c>
      <c r="AM34" s="8" t="e">
        <f>C4+D4+AL34</f>
        <v>#DIV/0!</v>
      </c>
      <c r="AN34" s="129" t="e">
        <f>Y28*AL34-E7*AL34^2/2+AE59</f>
        <v>#DIV/0!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39.4</v>
      </c>
      <c r="AJ35" s="2"/>
      <c r="AK35" s="159" t="s">
        <v>101</v>
      </c>
      <c r="AL35" s="88" t="e">
        <f>AA28/F7</f>
        <v>#DIV/0!</v>
      </c>
      <c r="AM35" s="88" t="e">
        <f>C4+D4+E4+AL35</f>
        <v>#DIV/0!</v>
      </c>
      <c r="AN35" s="101" t="e">
        <f>AA28*AL35-F7*AL35^2/2+AE68</f>
        <v>#DIV/0!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10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0</v>
      </c>
      <c r="X37" s="2"/>
      <c r="Y37" s="74">
        <f>Y36</f>
        <v>4</v>
      </c>
      <c r="Z37" s="75">
        <f>Y32</f>
        <v>0</v>
      </c>
      <c r="AA37" s="2"/>
      <c r="AB37" s="74">
        <f>AB36</f>
        <v>10</v>
      </c>
      <c r="AC37" s="75">
        <f>Z32</f>
        <v>0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10</v>
      </c>
      <c r="AI38" s="60">
        <f>AI17</f>
        <v>39.4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14</v>
      </c>
      <c r="AI39" s="62">
        <f>AI38</f>
        <v>39.4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14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14</v>
      </c>
      <c r="AI40" s="62">
        <f>AI39+F7</f>
        <v>39.4</v>
      </c>
      <c r="AJ40" s="2"/>
      <c r="AK40" s="67" t="e">
        <f>AM33</f>
        <v>#DIV/0!</v>
      </c>
      <c r="AL40" s="60">
        <v>0</v>
      </c>
      <c r="AM40" s="2"/>
      <c r="AN40" s="22"/>
    </row>
    <row r="41" spans="22:40" ht="12.75" thickBot="1" x14ac:dyDescent="0.25">
      <c r="V41" s="103">
        <f>V40</f>
        <v>14</v>
      </c>
      <c r="W41" s="75">
        <f>AA32</f>
        <v>0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10</v>
      </c>
      <c r="AI41" s="62">
        <f>AI40</f>
        <v>39.4</v>
      </c>
      <c r="AJ41" s="2"/>
      <c r="AK41" s="61" t="e">
        <f>AK40</f>
        <v>#DIV/0!</v>
      </c>
      <c r="AL41" s="87" t="e">
        <f>AN33</f>
        <v>#DIV/0!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10</v>
      </c>
      <c r="AI42" s="64">
        <f>AI38</f>
        <v>39.4</v>
      </c>
      <c r="AJ42" s="2"/>
      <c r="AK42" s="61" t="e">
        <f>AM34</f>
        <v>#DIV/0!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 t="e">
        <f>AK42</f>
        <v>#DIV/0!</v>
      </c>
      <c r="AL43" s="87" t="e">
        <f>AN34</f>
        <v>#DIV/0!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 t="e">
        <f>AM35</f>
        <v>#DIV/0!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14</v>
      </c>
      <c r="AI45" s="60">
        <f>AI17</f>
        <v>39.4</v>
      </c>
      <c r="AJ45" s="2"/>
      <c r="AK45" s="63" t="e">
        <f>AK44</f>
        <v>#DIV/0!</v>
      </c>
      <c r="AL45" s="69" t="e">
        <f>AN35</f>
        <v>#DIV/0!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14</v>
      </c>
      <c r="AI46" s="62">
        <f>AI45</f>
        <v>39.4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0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14</v>
      </c>
      <c r="AI47" s="62">
        <f>AI46+G7</f>
        <v>39.4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0</v>
      </c>
      <c r="AB48" s="86">
        <f t="shared" si="1"/>
        <v>0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14</v>
      </c>
      <c r="AI48" s="62">
        <f>AI47</f>
        <v>39.4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0</v>
      </c>
      <c r="AB49" s="86">
        <f t="shared" si="1"/>
        <v>0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14</v>
      </c>
      <c r="AI49" s="64">
        <f>AI45</f>
        <v>39.4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0</v>
      </c>
      <c r="AB50" s="86">
        <f t="shared" si="1"/>
        <v>0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0</v>
      </c>
      <c r="AB51" s="86">
        <f t="shared" si="1"/>
        <v>0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0</v>
      </c>
      <c r="AB52" s="86">
        <f t="shared" si="1"/>
        <v>0</v>
      </c>
      <c r="AC52" s="3"/>
      <c r="AD52" s="85">
        <f t="shared" si="3"/>
        <v>0.5</v>
      </c>
      <c r="AE52" s="10">
        <f t="shared" si="4"/>
        <v>0</v>
      </c>
      <c r="AF52" s="86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0</v>
      </c>
      <c r="AB53" s="86">
        <f t="shared" si="1"/>
        <v>0</v>
      </c>
      <c r="AC53" s="3"/>
      <c r="AD53" s="85">
        <f t="shared" si="3"/>
        <v>1</v>
      </c>
      <c r="AE53" s="10">
        <f t="shared" si="4"/>
        <v>0</v>
      </c>
      <c r="AF53" s="86">
        <f t="shared" si="4"/>
        <v>0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0</v>
      </c>
      <c r="AB54" s="86">
        <f t="shared" si="1"/>
        <v>0</v>
      </c>
      <c r="AC54" s="2"/>
      <c r="AD54" s="85">
        <f t="shared" si="3"/>
        <v>1.5</v>
      </c>
      <c r="AE54" s="10">
        <f t="shared" si="4"/>
        <v>0</v>
      </c>
      <c r="AF54" s="86">
        <f t="shared" si="4"/>
        <v>0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0</v>
      </c>
      <c r="AB55" s="169">
        <f t="shared" si="1"/>
        <v>0</v>
      </c>
      <c r="AC55" s="2"/>
      <c r="AD55" s="85">
        <f t="shared" si="3"/>
        <v>2</v>
      </c>
      <c r="AE55" s="10">
        <f t="shared" si="4"/>
        <v>0</v>
      </c>
      <c r="AF55" s="86">
        <f t="shared" si="4"/>
        <v>0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0</v>
      </c>
      <c r="AF56" s="86">
        <f t="shared" si="4"/>
        <v>0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0</v>
      </c>
      <c r="AF57" s="86">
        <f t="shared" si="4"/>
        <v>0</v>
      </c>
      <c r="AG57" s="2"/>
      <c r="AH57" s="2"/>
      <c r="AI57" s="2"/>
      <c r="AJ57" s="2"/>
      <c r="AK57" s="61">
        <f>AK56+E4</f>
        <v>10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0</v>
      </c>
      <c r="AF58" s="86">
        <f t="shared" si="4"/>
        <v>0</v>
      </c>
      <c r="AG58" s="2"/>
      <c r="AH58" s="2"/>
      <c r="AI58" s="2"/>
      <c r="AJ58" s="2"/>
      <c r="AK58" s="61">
        <f>AK57+F4</f>
        <v>14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0</v>
      </c>
      <c r="X59" s="170">
        <f t="shared" ref="X59:X67" si="6">-$E$7*V59+$Y$28</f>
        <v>0</v>
      </c>
      <c r="Y59" s="2"/>
      <c r="Z59" s="171">
        <v>0</v>
      </c>
      <c r="AA59" s="172">
        <f t="shared" ref="AA59:AA67" si="7">-$W$22-$F$7*Z59^2/2+$AA$28*Z59</f>
        <v>0</v>
      </c>
      <c r="AB59" s="173">
        <f t="shared" ref="AB59:AB67" si="8">-$F$7*Z59+$AA$28</f>
        <v>0</v>
      </c>
      <c r="AC59" s="2"/>
      <c r="AD59" s="167">
        <f t="shared" si="3"/>
        <v>4</v>
      </c>
      <c r="AE59" s="168">
        <f t="shared" si="4"/>
        <v>0</v>
      </c>
      <c r="AF59" s="169">
        <f t="shared" si="4"/>
        <v>0</v>
      </c>
      <c r="AG59" s="2"/>
      <c r="AH59" s="2"/>
      <c r="AI59" s="2"/>
      <c r="AJ59" s="2"/>
      <c r="AK59" s="63">
        <f>AK58+G4</f>
        <v>14</v>
      </c>
      <c r="AL59" s="64">
        <v>0</v>
      </c>
      <c r="AM59" s="2"/>
      <c r="AN59" s="22"/>
    </row>
    <row r="60" spans="13:40" x14ac:dyDescent="0.2">
      <c r="V60" s="139">
        <f>$E$4/8</f>
        <v>0.75</v>
      </c>
      <c r="W60" s="140">
        <f t="shared" si="5"/>
        <v>0</v>
      </c>
      <c r="X60" s="170">
        <f t="shared" si="6"/>
        <v>0</v>
      </c>
      <c r="Y60" s="2"/>
      <c r="Z60" s="171">
        <f>$F$4/8</f>
        <v>0.5</v>
      </c>
      <c r="AA60" s="172">
        <f t="shared" si="7"/>
        <v>0</v>
      </c>
      <c r="AB60" s="173">
        <f t="shared" si="8"/>
        <v>0</v>
      </c>
      <c r="AC60" s="2"/>
      <c r="AD60" s="174">
        <f t="shared" ref="AD60:AD68" si="9">$AD$59+V59</f>
        <v>4</v>
      </c>
      <c r="AE60" s="175">
        <f t="shared" ref="AE60:AF68" si="10">W59</f>
        <v>0</v>
      </c>
      <c r="AF60" s="176">
        <f t="shared" si="10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1.5</v>
      </c>
      <c r="W61" s="140">
        <f t="shared" si="5"/>
        <v>0</v>
      </c>
      <c r="X61" s="170">
        <f t="shared" si="6"/>
        <v>0</v>
      </c>
      <c r="Y61" s="2"/>
      <c r="Z61" s="171">
        <f>2*$F$4/8</f>
        <v>1</v>
      </c>
      <c r="AA61" s="172">
        <f t="shared" si="7"/>
        <v>0</v>
      </c>
      <c r="AB61" s="173">
        <f t="shared" si="8"/>
        <v>0</v>
      </c>
      <c r="AC61" s="2"/>
      <c r="AD61" s="177">
        <f t="shared" si="9"/>
        <v>4.75</v>
      </c>
      <c r="AE61" s="140">
        <f t="shared" si="10"/>
        <v>0</v>
      </c>
      <c r="AF61" s="170">
        <f t="shared" si="10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2.25</v>
      </c>
      <c r="W62" s="140">
        <f t="shared" si="5"/>
        <v>0</v>
      </c>
      <c r="X62" s="170">
        <f t="shared" si="6"/>
        <v>0</v>
      </c>
      <c r="Y62" s="2"/>
      <c r="Z62" s="171">
        <f>3*$F$4/8</f>
        <v>1.5</v>
      </c>
      <c r="AA62" s="172">
        <f t="shared" si="7"/>
        <v>0</v>
      </c>
      <c r="AB62" s="173">
        <f t="shared" si="8"/>
        <v>0</v>
      </c>
      <c r="AC62" s="2"/>
      <c r="AD62" s="177">
        <f t="shared" si="9"/>
        <v>5.5</v>
      </c>
      <c r="AE62" s="140">
        <f t="shared" si="10"/>
        <v>0</v>
      </c>
      <c r="AF62" s="170">
        <f t="shared" si="10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3</v>
      </c>
      <c r="W63" s="140">
        <f t="shared" si="5"/>
        <v>0</v>
      </c>
      <c r="X63" s="170">
        <f t="shared" si="6"/>
        <v>0</v>
      </c>
      <c r="Y63" s="2"/>
      <c r="Z63" s="171">
        <f>4*$F$4/8</f>
        <v>2</v>
      </c>
      <c r="AA63" s="172">
        <f t="shared" si="7"/>
        <v>0</v>
      </c>
      <c r="AB63" s="173">
        <f t="shared" si="8"/>
        <v>0</v>
      </c>
      <c r="AC63" s="2"/>
      <c r="AD63" s="177">
        <f t="shared" si="9"/>
        <v>6.25</v>
      </c>
      <c r="AE63" s="140">
        <f t="shared" si="10"/>
        <v>0</v>
      </c>
      <c r="AF63" s="170">
        <f t="shared" si="10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3.75</v>
      </c>
      <c r="W64" s="140">
        <f t="shared" si="5"/>
        <v>0</v>
      </c>
      <c r="X64" s="170">
        <f t="shared" si="6"/>
        <v>0</v>
      </c>
      <c r="Y64" s="2"/>
      <c r="Z64" s="171">
        <f>5*$F$4/8</f>
        <v>2.5</v>
      </c>
      <c r="AA64" s="172">
        <f t="shared" si="7"/>
        <v>0</v>
      </c>
      <c r="AB64" s="173">
        <f t="shared" si="8"/>
        <v>0</v>
      </c>
      <c r="AC64" s="2"/>
      <c r="AD64" s="177">
        <f t="shared" si="9"/>
        <v>7</v>
      </c>
      <c r="AE64" s="140">
        <f t="shared" si="10"/>
        <v>0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4.5</v>
      </c>
      <c r="W65" s="140">
        <f t="shared" si="5"/>
        <v>0</v>
      </c>
      <c r="X65" s="170">
        <f t="shared" si="6"/>
        <v>0</v>
      </c>
      <c r="Y65" s="2"/>
      <c r="Z65" s="171">
        <f>6*$F$4/8</f>
        <v>3</v>
      </c>
      <c r="AA65" s="172">
        <f t="shared" si="7"/>
        <v>0</v>
      </c>
      <c r="AB65" s="173">
        <f t="shared" si="8"/>
        <v>0</v>
      </c>
      <c r="AC65" s="2"/>
      <c r="AD65" s="177">
        <f t="shared" si="9"/>
        <v>7.75</v>
      </c>
      <c r="AE65" s="140">
        <f t="shared" si="10"/>
        <v>0</v>
      </c>
      <c r="AF65" s="170">
        <f t="shared" si="10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5.25</v>
      </c>
      <c r="W66" s="140">
        <f t="shared" si="5"/>
        <v>0</v>
      </c>
      <c r="X66" s="170">
        <f t="shared" si="6"/>
        <v>0</v>
      </c>
      <c r="Y66" s="2"/>
      <c r="Z66" s="171">
        <f>7*$F$4/8</f>
        <v>3.5</v>
      </c>
      <c r="AA66" s="172">
        <f t="shared" si="7"/>
        <v>0</v>
      </c>
      <c r="AB66" s="173">
        <f t="shared" si="8"/>
        <v>0</v>
      </c>
      <c r="AC66" s="2"/>
      <c r="AD66" s="177">
        <f t="shared" si="9"/>
        <v>8.5</v>
      </c>
      <c r="AE66" s="140">
        <f t="shared" si="10"/>
        <v>0</v>
      </c>
      <c r="AF66" s="170">
        <f t="shared" si="10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6</v>
      </c>
      <c r="W67" s="179">
        <f t="shared" si="5"/>
        <v>0</v>
      </c>
      <c r="X67" s="180">
        <f t="shared" si="6"/>
        <v>0</v>
      </c>
      <c r="Y67" s="2"/>
      <c r="Z67" s="181">
        <f>8*$F$4/8</f>
        <v>4</v>
      </c>
      <c r="AA67" s="182">
        <f t="shared" si="7"/>
        <v>0</v>
      </c>
      <c r="AB67" s="183">
        <f t="shared" si="8"/>
        <v>0</v>
      </c>
      <c r="AC67" s="2"/>
      <c r="AD67" s="177">
        <f t="shared" si="9"/>
        <v>9.25</v>
      </c>
      <c r="AE67" s="140">
        <f t="shared" si="10"/>
        <v>0</v>
      </c>
      <c r="AF67" s="170">
        <f t="shared" si="10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10</v>
      </c>
      <c r="AE68" s="179">
        <f t="shared" si="10"/>
        <v>0</v>
      </c>
      <c r="AF68" s="180">
        <f t="shared" si="10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10</v>
      </c>
      <c r="AE69" s="186">
        <f t="shared" ref="AE69:AF77" si="12">AA59</f>
        <v>0</v>
      </c>
      <c r="AF69" s="187">
        <f t="shared" si="12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10.5</v>
      </c>
      <c r="AE70" s="172">
        <f t="shared" si="12"/>
        <v>0</v>
      </c>
      <c r="AF70" s="173">
        <f t="shared" si="12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11</v>
      </c>
      <c r="AE71" s="172">
        <f t="shared" si="12"/>
        <v>0</v>
      </c>
      <c r="AF71" s="173">
        <f t="shared" si="12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11.5</v>
      </c>
      <c r="AE72" s="172">
        <f t="shared" si="12"/>
        <v>0</v>
      </c>
      <c r="AF72" s="173">
        <f t="shared" si="12"/>
        <v>0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12</v>
      </c>
      <c r="AE73" s="172">
        <f t="shared" si="12"/>
        <v>0</v>
      </c>
      <c r="AF73" s="173">
        <f t="shared" si="12"/>
        <v>0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12.5</v>
      </c>
      <c r="AE74" s="172">
        <f t="shared" si="12"/>
        <v>0</v>
      </c>
      <c r="AF74" s="173">
        <f t="shared" si="12"/>
        <v>0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13</v>
      </c>
      <c r="AE75" s="172">
        <f t="shared" si="12"/>
        <v>0</v>
      </c>
      <c r="AF75" s="173">
        <f t="shared" si="12"/>
        <v>0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13.5</v>
      </c>
      <c r="AE76" s="172">
        <f t="shared" si="12"/>
        <v>0</v>
      </c>
      <c r="AF76" s="173">
        <f t="shared" si="12"/>
        <v>0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14</v>
      </c>
      <c r="AE77" s="182">
        <f t="shared" si="12"/>
        <v>0</v>
      </c>
      <c r="AF77" s="183">
        <f t="shared" si="12"/>
        <v>0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14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14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14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14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2"/>
  <dimension ref="A1:N16"/>
  <sheetViews>
    <sheetView workbookViewId="0">
      <selection activeCell="C7" sqref="C7:G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t="s">
        <v>105</v>
      </c>
    </row>
    <row r="2" spans="1:14" x14ac:dyDescent="0.25">
      <c r="A2" s="29">
        <f>'CCC-Trave'!D15</f>
        <v>0</v>
      </c>
      <c r="B2" s="30">
        <v>0</v>
      </c>
      <c r="D2" s="29">
        <f>'CCC-Trave'!D15+'CCC-Trave'!E15</f>
        <v>4</v>
      </c>
      <c r="E2" s="30">
        <v>0</v>
      </c>
      <c r="G2" s="29">
        <f>'CCC-Trave'!D15+'CCC-Trave'!E15+'CCC-Trave'!F15</f>
        <v>10</v>
      </c>
      <c r="H2" s="30">
        <v>0</v>
      </c>
      <c r="J2" s="29">
        <f>'CCC-Trave'!D15+'CCC-Trave'!E15+'CCC-Trave'!F15+'CCC-Trave'!G15</f>
        <v>14</v>
      </c>
      <c r="K2" s="30">
        <v>0</v>
      </c>
      <c r="M2" s="37"/>
      <c r="N2" s="33"/>
    </row>
    <row r="3" spans="1:14" x14ac:dyDescent="0.25">
      <c r="A3" s="29">
        <f>A2-0.4</f>
        <v>-0.4</v>
      </c>
      <c r="B3" s="30">
        <v>-4</v>
      </c>
      <c r="D3" s="29">
        <f>D2-0.4</f>
        <v>3.6</v>
      </c>
      <c r="E3" s="30">
        <v>-4</v>
      </c>
      <c r="G3" s="29">
        <f>G2-0.4</f>
        <v>9.6</v>
      </c>
      <c r="H3" s="30">
        <v>-4</v>
      </c>
      <c r="J3" s="29">
        <f>J2-0.4</f>
        <v>13.6</v>
      </c>
      <c r="K3" s="30">
        <v>-4</v>
      </c>
      <c r="M3" s="37"/>
      <c r="N3" s="33"/>
    </row>
    <row r="4" spans="1:14" x14ac:dyDescent="0.25">
      <c r="A4" s="29">
        <f>A2+0.4</f>
        <v>0.4</v>
      </c>
      <c r="B4" s="30">
        <f>B3</f>
        <v>-4</v>
      </c>
      <c r="D4" s="29">
        <f>D2+0.4</f>
        <v>4.4000000000000004</v>
      </c>
      <c r="E4" s="30">
        <f>E3</f>
        <v>-4</v>
      </c>
      <c r="G4" s="29">
        <f>G2+0.4</f>
        <v>10.4</v>
      </c>
      <c r="H4" s="30">
        <f>H3</f>
        <v>-4</v>
      </c>
      <c r="J4" s="29">
        <f>J2+0.4</f>
        <v>14.4</v>
      </c>
      <c r="K4" s="30">
        <f>K3</f>
        <v>-4</v>
      </c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4</v>
      </c>
      <c r="E5" s="30">
        <f>E2</f>
        <v>0</v>
      </c>
      <c r="G5" s="29">
        <f>G2</f>
        <v>10</v>
      </c>
      <c r="H5" s="30">
        <f>H2</f>
        <v>0</v>
      </c>
      <c r="J5" s="29">
        <f>J2</f>
        <v>14</v>
      </c>
      <c r="K5" s="30">
        <f>K2</f>
        <v>0</v>
      </c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0"/>
  <dimension ref="A1:AT100"/>
  <sheetViews>
    <sheetView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'CC-Trave'!E26</f>
        <v>0</v>
      </c>
      <c r="E7" s="14">
        <f>'CC-Trave'!F26</f>
        <v>6</v>
      </c>
      <c r="F7" s="14">
        <f>'CC-Trave'!G26</f>
        <v>10.8</v>
      </c>
      <c r="G7" s="14">
        <f>'CC-Trave'!H26</f>
        <v>6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10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5</v>
      </c>
      <c r="AL20" s="8">
        <f>AE59</f>
        <v>-19.209999999999994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19.209999999999997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-18441.599999999999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10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10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16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16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11.158000000000001</v>
      </c>
      <c r="X28" s="8">
        <f>(W21-Z21+E7*E4^2/2)/E4</f>
        <v>18.841999999999999</v>
      </c>
      <c r="Y28" s="8">
        <f>F7*F4-Z28</f>
        <v>25.495000000000001</v>
      </c>
      <c r="Z28" s="8">
        <f>(Z22-W21+F7*F4^2/2)/F4</f>
        <v>17.705000000000002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10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11.158000000000001</v>
      </c>
      <c r="Y32" s="8">
        <f>X28+Y28</f>
        <v>44.337000000000003</v>
      </c>
      <c r="Z32" s="8">
        <f>Z28+AA28</f>
        <v>24.305000000000003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10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20.8</v>
      </c>
      <c r="AJ33" s="2"/>
      <c r="AK33" s="128" t="s">
        <v>23</v>
      </c>
      <c r="AL33" s="8">
        <f>W28/E7</f>
        <v>1.8596666666666668</v>
      </c>
      <c r="AM33" s="8">
        <f>D4+AL33</f>
        <v>1.8596666666666668</v>
      </c>
      <c r="AN33" s="129">
        <f>W28*AL33-E7*AL33^2/2-Z21</f>
        <v>10.375080333333335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20.8</v>
      </c>
      <c r="AJ34" s="2"/>
      <c r="AK34" s="130" t="s">
        <v>82</v>
      </c>
      <c r="AL34" s="8">
        <f>Y28/F7</f>
        <v>2.3606481481481483</v>
      </c>
      <c r="AM34" s="8">
        <f>D4+E4+AL34</f>
        <v>7.3606481481481483</v>
      </c>
      <c r="AN34" s="129">
        <f>Y28*AL34-F7*AL34^2/2-W21</f>
        <v>10.88236226851852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10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11.158000000000001</v>
      </c>
      <c r="X37" s="2"/>
      <c r="Y37" s="133">
        <f>Y36</f>
        <v>5</v>
      </c>
      <c r="Z37" s="133">
        <f>Y32</f>
        <v>44.337000000000003</v>
      </c>
      <c r="AA37" s="2"/>
      <c r="AB37" s="133">
        <f>AB36</f>
        <v>9</v>
      </c>
      <c r="AC37" s="133">
        <f>Z32</f>
        <v>24.305000000000003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16</v>
      </c>
      <c r="AJ40" s="2"/>
      <c r="AK40" s="8">
        <f>AM33</f>
        <v>1.8596666666666668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16</v>
      </c>
      <c r="AJ41" s="2"/>
      <c r="AK41" s="8">
        <f>AK40</f>
        <v>1.8596666666666668</v>
      </c>
      <c r="AL41" s="8">
        <f>AN33</f>
        <v>10.375080333333335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10</v>
      </c>
      <c r="AJ42" s="2"/>
      <c r="AK42" s="8">
        <f>AM34</f>
        <v>7.3606481481481483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7.3606481481481483</v>
      </c>
      <c r="AL43" s="8">
        <f>AN34</f>
        <v>10.88236226851852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11.158000000000001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5.8018750000000008</v>
      </c>
      <c r="AB48" s="10">
        <f t="shared" si="1"/>
        <v>7.4080000000000013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9.2600000000000016</v>
      </c>
      <c r="AB49" s="10">
        <f t="shared" si="1"/>
        <v>3.6580000000000013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10.374375000000001</v>
      </c>
      <c r="AB50" s="10">
        <f t="shared" si="1"/>
        <v>-9.1999999999998749E-2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9.1450000000000031</v>
      </c>
      <c r="AB51" s="10">
        <f t="shared" si="1"/>
        <v>-3.8419999999999987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11.158000000000001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5.5718750000000057</v>
      </c>
      <c r="AB52" s="10">
        <f t="shared" si="1"/>
        <v>-7.5919999999999987</v>
      </c>
      <c r="AC52" s="3"/>
      <c r="AD52" s="10">
        <f t="shared" si="3"/>
        <v>0.625</v>
      </c>
      <c r="AE52" s="10">
        <f t="shared" si="4"/>
        <v>5.8018750000000008</v>
      </c>
      <c r="AF52" s="10">
        <f t="shared" si="4"/>
        <v>7.4080000000000013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-0.34499999999999886</v>
      </c>
      <c r="AB53" s="10">
        <f t="shared" si="1"/>
        <v>-11.341999999999999</v>
      </c>
      <c r="AC53" s="3"/>
      <c r="AD53" s="10">
        <f t="shared" si="3"/>
        <v>1.25</v>
      </c>
      <c r="AE53" s="10">
        <f t="shared" si="4"/>
        <v>9.2600000000000016</v>
      </c>
      <c r="AF53" s="10">
        <f t="shared" si="4"/>
        <v>3.6580000000000013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-8.6056249999999963</v>
      </c>
      <c r="AB54" s="10">
        <f t="shared" si="1"/>
        <v>-15.091999999999999</v>
      </c>
      <c r="AC54" s="2"/>
      <c r="AD54" s="10">
        <f t="shared" si="3"/>
        <v>1.875</v>
      </c>
      <c r="AE54" s="10">
        <f t="shared" si="4"/>
        <v>10.374375000000001</v>
      </c>
      <c r="AF54" s="10">
        <f t="shared" si="4"/>
        <v>-9.1999999999998749E-2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-19.209999999999994</v>
      </c>
      <c r="AB55" s="10">
        <f t="shared" si="1"/>
        <v>-18.841999999999999</v>
      </c>
      <c r="AC55" s="2"/>
      <c r="AD55" s="10">
        <f t="shared" si="3"/>
        <v>2.5</v>
      </c>
      <c r="AE55" s="10">
        <f t="shared" si="4"/>
        <v>9.1450000000000031</v>
      </c>
      <c r="AF55" s="10">
        <f t="shared" si="4"/>
        <v>-3.8419999999999987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5.5718750000000057</v>
      </c>
      <c r="AF56" s="10">
        <f t="shared" si="4"/>
        <v>-7.5919999999999987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-0.34499999999999886</v>
      </c>
      <c r="AF57" s="10">
        <f t="shared" si="4"/>
        <v>-11.341999999999999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-8.6056249999999963</v>
      </c>
      <c r="AF58" s="10">
        <f t="shared" si="4"/>
        <v>-15.091999999999999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-19.209999999999997</v>
      </c>
      <c r="X59" s="140">
        <f t="shared" ref="X59:X67" si="6">-$F$7*V59+$Y$28</f>
        <v>25.495000000000001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-19.209999999999994</v>
      </c>
      <c r="AF59" s="10">
        <f t="shared" si="4"/>
        <v>-18.841999999999999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-7.8124999999999982</v>
      </c>
      <c r="X60" s="140">
        <f t="shared" si="6"/>
        <v>20.094999999999999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-19.209999999999997</v>
      </c>
      <c r="AF60" s="140">
        <f t="shared" si="8"/>
        <v>25.495000000000001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0.88500000000000156</v>
      </c>
      <c r="X61" s="140">
        <f t="shared" si="6"/>
        <v>14.695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-7.8124999999999982</v>
      </c>
      <c r="AF61" s="140">
        <f t="shared" si="8"/>
        <v>20.094999999999999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6.8825000000000003</v>
      </c>
      <c r="X62" s="140">
        <f t="shared" si="6"/>
        <v>9.2949999999999982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0.88500000000000156</v>
      </c>
      <c r="AF62" s="140">
        <f t="shared" si="8"/>
        <v>14.695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10.18</v>
      </c>
      <c r="X63" s="140">
        <f t="shared" si="6"/>
        <v>3.8949999999999996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6.8825000000000003</v>
      </c>
      <c r="AF63" s="140">
        <f t="shared" si="8"/>
        <v>9.2949999999999982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10.777500000000011</v>
      </c>
      <c r="X64" s="140">
        <f t="shared" si="6"/>
        <v>-1.504999999999999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10.18</v>
      </c>
      <c r="AF64" s="140">
        <f t="shared" si="8"/>
        <v>3.8949999999999996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8.6749999999999972</v>
      </c>
      <c r="X65" s="140">
        <f t="shared" si="6"/>
        <v>-6.9050000000000047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10.777500000000011</v>
      </c>
      <c r="AF65" s="140">
        <f t="shared" si="8"/>
        <v>-1.504999999999999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3.8725000000000023</v>
      </c>
      <c r="X66" s="140">
        <f t="shared" si="6"/>
        <v>-12.305000000000003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8.6749999999999972</v>
      </c>
      <c r="AF66" s="140">
        <f t="shared" si="8"/>
        <v>-6.9050000000000047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-3.6299999999999955</v>
      </c>
      <c r="X67" s="140">
        <f t="shared" si="6"/>
        <v>-17.705000000000002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3.8725000000000023</v>
      </c>
      <c r="AF67" s="140">
        <f t="shared" si="8"/>
        <v>-12.305000000000003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-17.705000000000002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11"/>
  <dimension ref="A1:AT100"/>
  <sheetViews>
    <sheetView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'CC-Trave'!E27</f>
        <v>0</v>
      </c>
      <c r="E7" s="14">
        <f>'CC-Trave'!F27</f>
        <v>10.8</v>
      </c>
      <c r="F7" s="14">
        <f>'CC-Trave'!G27</f>
        <v>6</v>
      </c>
      <c r="G7" s="14">
        <f>'CC-Trave'!H27</f>
        <v>10.8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5+MAX('CC-car.1'!AI17:AI42)</f>
        <v>25.8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25.8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25.8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25.8</v>
      </c>
      <c r="AJ20" s="2"/>
      <c r="AK20" s="8">
        <f>AK19</f>
        <v>5</v>
      </c>
      <c r="AL20" s="8">
        <f>AE59</f>
        <v>-22.631333333333316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22.631333333333327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25.8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-21726.079999999994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25.8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25.8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36.6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36.6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22.473733333333335</v>
      </c>
      <c r="X28" s="8">
        <f>(W21-Z21+E7*E4^2/2)/E4</f>
        <v>31.526266666666665</v>
      </c>
      <c r="Y28" s="8">
        <f>F7*F4-Z28</f>
        <v>16.024333333333331</v>
      </c>
      <c r="Z28" s="8">
        <f>(Z22-W21+F7*F4^2/2)/F4</f>
        <v>7.9756666666666689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25.8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25.8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22.473733333333335</v>
      </c>
      <c r="Y32" s="8">
        <f>X28+Y28</f>
        <v>47.550599999999996</v>
      </c>
      <c r="Z32" s="8">
        <f>Z28+AA28</f>
        <v>19.855666666666671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25.8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31.8</v>
      </c>
      <c r="AJ33" s="2"/>
      <c r="AK33" s="128" t="s">
        <v>23</v>
      </c>
      <c r="AL33" s="8">
        <f>W28/E7</f>
        <v>2.0809012345679014</v>
      </c>
      <c r="AM33" s="8">
        <f>D4+AL33</f>
        <v>2.0809012345679014</v>
      </c>
      <c r="AN33" s="129">
        <f>W28*AL33-E7*AL33^2/2-Z21</f>
        <v>23.382809719341569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31.8</v>
      </c>
      <c r="AJ34" s="2"/>
      <c r="AK34" s="130" t="s">
        <v>82</v>
      </c>
      <c r="AL34" s="8">
        <f>Y28/F7</f>
        <v>2.670722222222222</v>
      </c>
      <c r="AM34" s="8">
        <f>D4+E4+AL34</f>
        <v>7.6707222222222224</v>
      </c>
      <c r="AN34" s="129">
        <f>Y28*AL34-F7*AL34^2/2-W21</f>
        <v>-1.2330617685185175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25.8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22.473733333333335</v>
      </c>
      <c r="X37" s="2"/>
      <c r="Y37" s="133">
        <f>Y36</f>
        <v>5</v>
      </c>
      <c r="Z37" s="133">
        <f>Y32</f>
        <v>47.550599999999996</v>
      </c>
      <c r="AA37" s="2"/>
      <c r="AB37" s="133">
        <f>AB36</f>
        <v>9</v>
      </c>
      <c r="AC37" s="133">
        <f>Z32</f>
        <v>19.855666666666671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25.8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25.8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36.6</v>
      </c>
      <c r="AJ40" s="2"/>
      <c r="AK40" s="8">
        <f>AM33</f>
        <v>2.0809012345679014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36.6</v>
      </c>
      <c r="AJ41" s="2"/>
      <c r="AK41" s="8">
        <f>AK40</f>
        <v>2.0809012345679014</v>
      </c>
      <c r="AL41" s="8">
        <f>AN33</f>
        <v>23.382809719341569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25.8</v>
      </c>
      <c r="AJ42" s="2"/>
      <c r="AK42" s="8">
        <f>AM34</f>
        <v>7.6707222222222224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7.6707222222222224</v>
      </c>
      <c r="AL43" s="8">
        <f>AN34</f>
        <v>-1.2330617685185175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22.473733333333335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11.936708333333335</v>
      </c>
      <c r="AB48" s="10">
        <f t="shared" si="1"/>
        <v>15.723733333333335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19.654666666666671</v>
      </c>
      <c r="AB49" s="10">
        <f t="shared" si="1"/>
        <v>8.9737333333333353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23.153875000000006</v>
      </c>
      <c r="AB50" s="10">
        <f t="shared" si="1"/>
        <v>2.2237333333333353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22.434333333333342</v>
      </c>
      <c r="AB51" s="10">
        <f t="shared" si="1"/>
        <v>-4.5262666666666647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22.473733333333335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17.49604166666667</v>
      </c>
      <c r="AB52" s="10">
        <f t="shared" si="1"/>
        <v>-11.276266666666665</v>
      </c>
      <c r="AC52" s="3"/>
      <c r="AD52" s="10">
        <f t="shared" si="3"/>
        <v>0.625</v>
      </c>
      <c r="AE52" s="10">
        <f t="shared" si="4"/>
        <v>11.936708333333335</v>
      </c>
      <c r="AF52" s="10">
        <f t="shared" si="4"/>
        <v>15.723733333333335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8.3390000000000128</v>
      </c>
      <c r="AB53" s="10">
        <f t="shared" si="1"/>
        <v>-18.026266666666665</v>
      </c>
      <c r="AC53" s="3"/>
      <c r="AD53" s="10">
        <f t="shared" si="3"/>
        <v>1.25</v>
      </c>
      <c r="AE53" s="10">
        <f t="shared" si="4"/>
        <v>19.654666666666671</v>
      </c>
      <c r="AF53" s="10">
        <f t="shared" si="4"/>
        <v>8.9737333333333353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-5.0367916666666588</v>
      </c>
      <c r="AB54" s="10">
        <f t="shared" si="1"/>
        <v>-24.776266666666665</v>
      </c>
      <c r="AC54" s="2"/>
      <c r="AD54" s="10">
        <f t="shared" si="3"/>
        <v>1.875</v>
      </c>
      <c r="AE54" s="10">
        <f t="shared" si="4"/>
        <v>23.153875000000006</v>
      </c>
      <c r="AF54" s="10">
        <f t="shared" si="4"/>
        <v>2.2237333333333353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-22.631333333333316</v>
      </c>
      <c r="AB55" s="10">
        <f t="shared" si="1"/>
        <v>-31.526266666666665</v>
      </c>
      <c r="AC55" s="2"/>
      <c r="AD55" s="10">
        <f t="shared" si="3"/>
        <v>2.5</v>
      </c>
      <c r="AE55" s="10">
        <f t="shared" si="4"/>
        <v>22.434333333333342</v>
      </c>
      <c r="AF55" s="10">
        <f t="shared" si="4"/>
        <v>-4.5262666666666647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17.49604166666667</v>
      </c>
      <c r="AF56" s="10">
        <f t="shared" si="4"/>
        <v>-11.276266666666665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8.3390000000000128</v>
      </c>
      <c r="AF57" s="10">
        <f t="shared" si="4"/>
        <v>-18.026266666666665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-5.0367916666666588</v>
      </c>
      <c r="AF58" s="10">
        <f t="shared" si="4"/>
        <v>-24.776266666666665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-22.631333333333327</v>
      </c>
      <c r="X59" s="140">
        <f t="shared" ref="X59:X67" si="6">-$F$7*V59+$Y$28</f>
        <v>16.024333333333331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-22.631333333333316</v>
      </c>
      <c r="AF59" s="10">
        <f t="shared" si="4"/>
        <v>-31.526266666666665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-15.369166666666661</v>
      </c>
      <c r="X60" s="140">
        <f t="shared" si="6"/>
        <v>13.024333333333331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-22.631333333333327</v>
      </c>
      <c r="AF60" s="140">
        <f t="shared" si="8"/>
        <v>16.024333333333331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-9.6069999999999958</v>
      </c>
      <c r="X61" s="140">
        <f t="shared" si="6"/>
        <v>10.024333333333331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-15.369166666666661</v>
      </c>
      <c r="AF61" s="140">
        <f t="shared" si="8"/>
        <v>13.024333333333331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-5.3448333333333302</v>
      </c>
      <c r="X62" s="140">
        <f t="shared" si="6"/>
        <v>7.0243333333333311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-9.6069999999999958</v>
      </c>
      <c r="AF62" s="140">
        <f t="shared" si="8"/>
        <v>10.024333333333331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-2.5826666666666682</v>
      </c>
      <c r="X63" s="140">
        <f t="shared" si="6"/>
        <v>4.0243333333333311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-5.3448333333333302</v>
      </c>
      <c r="AF63" s="140">
        <f t="shared" si="8"/>
        <v>7.0243333333333311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-1.3205000000000027</v>
      </c>
      <c r="X64" s="140">
        <f t="shared" si="6"/>
        <v>1.0243333333333311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-2.5826666666666682</v>
      </c>
      <c r="AF64" s="140">
        <f t="shared" si="8"/>
        <v>4.0243333333333311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-1.5583333333333371</v>
      </c>
      <c r="X65" s="140">
        <f t="shared" si="6"/>
        <v>-1.9756666666666689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-1.3205000000000027</v>
      </c>
      <c r="AF65" s="140">
        <f t="shared" si="8"/>
        <v>1.0243333333333311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-3.2961666666666716</v>
      </c>
      <c r="X66" s="140">
        <f t="shared" si="6"/>
        <v>-4.9756666666666689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-1.5583333333333371</v>
      </c>
      <c r="AF66" s="140">
        <f t="shared" si="8"/>
        <v>-1.9756666666666689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-6.534000000000006</v>
      </c>
      <c r="X67" s="140">
        <f t="shared" si="6"/>
        <v>-7.9756666666666689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-3.2961666666666716</v>
      </c>
      <c r="AF67" s="140">
        <f t="shared" si="8"/>
        <v>-4.9756666666666689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-7.9756666666666689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12"/>
  <dimension ref="A1:AT100"/>
  <sheetViews>
    <sheetView topLeftCell="A4"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'CC-Trave'!E28</f>
        <v>0</v>
      </c>
      <c r="E7" s="14">
        <f>'CC-Trave'!F28</f>
        <v>10.8</v>
      </c>
      <c r="F7" s="14">
        <f>'CC-Trave'!G28</f>
        <v>10.8</v>
      </c>
      <c r="G7" s="14">
        <f>'CC-Trave'!H28</f>
        <v>6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5+MAX('CC-car.2'!AI17:AI42)</f>
        <v>41.6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41.6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41.6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41.6</v>
      </c>
      <c r="AJ20" s="2"/>
      <c r="AK20" s="8">
        <f>AK19</f>
        <v>5</v>
      </c>
      <c r="AL20" s="8">
        <f>AE59</f>
        <v>-27.543333333333322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27.543333333333329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41.6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-26441.599999999995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41.6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41.6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52.400000000000006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52.400000000000006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21.491333333333337</v>
      </c>
      <c r="X28" s="8">
        <f>(W21-Z21+E7*E4^2/2)/E4</f>
        <v>32.508666666666663</v>
      </c>
      <c r="Y28" s="8">
        <f>F7*F4-Z28</f>
        <v>27.578333333333333</v>
      </c>
      <c r="Z28" s="8">
        <f>(Z22-W21+F7*F4^2/2)/F4</f>
        <v>15.62166666666667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41.6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41.6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21.491333333333337</v>
      </c>
      <c r="Y32" s="8">
        <f>X28+Y28</f>
        <v>60.086999999999996</v>
      </c>
      <c r="Z32" s="8">
        <f>Z28+AA28</f>
        <v>22.221666666666671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41.6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52.400000000000006</v>
      </c>
      <c r="AJ33" s="2"/>
      <c r="AK33" s="128" t="s">
        <v>23</v>
      </c>
      <c r="AL33" s="8">
        <f>W28/E7</f>
        <v>1.9899382716049385</v>
      </c>
      <c r="AM33" s="8">
        <f>D4+AL33</f>
        <v>1.9899382716049385</v>
      </c>
      <c r="AN33" s="129">
        <f>W28*AL33-E7*AL33^2/2-Z21</f>
        <v>21.383213353909472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52.400000000000006</v>
      </c>
      <c r="AJ34" s="2"/>
      <c r="AK34" s="130" t="s">
        <v>82</v>
      </c>
      <c r="AL34" s="8">
        <f>Y28/F7</f>
        <v>2.5535493827160494</v>
      </c>
      <c r="AM34" s="8">
        <f>D4+E4+AL34</f>
        <v>7.5535493827160494</v>
      </c>
      <c r="AN34" s="129">
        <f>Y28*AL34-F7*AL34^2/2-W21</f>
        <v>7.6679846965020531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41.6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21.491333333333337</v>
      </c>
      <c r="X37" s="2"/>
      <c r="Y37" s="133">
        <f>Y36</f>
        <v>5</v>
      </c>
      <c r="Z37" s="133">
        <f>Y32</f>
        <v>60.086999999999996</v>
      </c>
      <c r="AA37" s="2"/>
      <c r="AB37" s="133">
        <f>AB36</f>
        <v>9</v>
      </c>
      <c r="AC37" s="133">
        <f>Z32</f>
        <v>22.221666666666671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41.6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41.6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47.6</v>
      </c>
      <c r="AJ40" s="2"/>
      <c r="AK40" s="8">
        <f>AM33</f>
        <v>1.9899382716049385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47.6</v>
      </c>
      <c r="AJ41" s="2"/>
      <c r="AK41" s="8">
        <f>AK40</f>
        <v>1.9899382716049385</v>
      </c>
      <c r="AL41" s="8">
        <f>AN33</f>
        <v>21.383213353909472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41.6</v>
      </c>
      <c r="AJ42" s="2"/>
      <c r="AK42" s="8">
        <f>AM34</f>
        <v>7.5535493827160494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7.5535493827160494</v>
      </c>
      <c r="AL43" s="8">
        <f>AN34</f>
        <v>7.6679846965020531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21.491333333333337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11.322708333333335</v>
      </c>
      <c r="AB48" s="10">
        <f t="shared" si="1"/>
        <v>14.741333333333337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18.426666666666669</v>
      </c>
      <c r="AB49" s="10">
        <f t="shared" si="1"/>
        <v>7.991333333333337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21.311875000000008</v>
      </c>
      <c r="AB50" s="10">
        <f t="shared" si="1"/>
        <v>1.241333333333337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19.978333333333339</v>
      </c>
      <c r="AB51" s="10">
        <f t="shared" si="1"/>
        <v>-5.508666666666663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21.491333333333337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14.426041666666677</v>
      </c>
      <c r="AB52" s="10">
        <f t="shared" si="1"/>
        <v>-12.258666666666663</v>
      </c>
      <c r="AC52" s="3"/>
      <c r="AD52" s="10">
        <f t="shared" si="3"/>
        <v>0.625</v>
      </c>
      <c r="AE52" s="10">
        <f t="shared" si="4"/>
        <v>11.322708333333335</v>
      </c>
      <c r="AF52" s="10">
        <f t="shared" si="4"/>
        <v>14.741333333333337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4.6550000000000153</v>
      </c>
      <c r="AB53" s="10">
        <f t="shared" si="1"/>
        <v>-19.008666666666663</v>
      </c>
      <c r="AC53" s="3"/>
      <c r="AD53" s="10">
        <f t="shared" si="3"/>
        <v>1.25</v>
      </c>
      <c r="AE53" s="10">
        <f t="shared" si="4"/>
        <v>18.426666666666669</v>
      </c>
      <c r="AF53" s="10">
        <f t="shared" si="4"/>
        <v>7.991333333333337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-9.3347916666666464</v>
      </c>
      <c r="AB54" s="10">
        <f t="shared" si="1"/>
        <v>-25.758666666666663</v>
      </c>
      <c r="AC54" s="2"/>
      <c r="AD54" s="10">
        <f t="shared" si="3"/>
        <v>1.875</v>
      </c>
      <c r="AE54" s="10">
        <f t="shared" si="4"/>
        <v>21.311875000000008</v>
      </c>
      <c r="AF54" s="10">
        <f t="shared" si="4"/>
        <v>1.241333333333337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-27.543333333333322</v>
      </c>
      <c r="AB55" s="10">
        <f t="shared" si="1"/>
        <v>-32.508666666666663</v>
      </c>
      <c r="AC55" s="2"/>
      <c r="AD55" s="10">
        <f t="shared" si="3"/>
        <v>2.5</v>
      </c>
      <c r="AE55" s="10">
        <f t="shared" si="4"/>
        <v>19.978333333333339</v>
      </c>
      <c r="AF55" s="10">
        <f t="shared" si="4"/>
        <v>-5.508666666666663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14.426041666666677</v>
      </c>
      <c r="AF56" s="10">
        <f t="shared" si="4"/>
        <v>-12.258666666666663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4.6550000000000153</v>
      </c>
      <c r="AF57" s="10">
        <f t="shared" si="4"/>
        <v>-19.008666666666663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-9.3347916666666464</v>
      </c>
      <c r="AF58" s="10">
        <f t="shared" si="4"/>
        <v>-25.758666666666663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-27.543333333333329</v>
      </c>
      <c r="X59" s="140">
        <f t="shared" ref="X59:X67" si="6">-$F$7*V59+$Y$28</f>
        <v>27.578333333333333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-27.543333333333322</v>
      </c>
      <c r="AF59" s="10">
        <f t="shared" si="4"/>
        <v>-32.508666666666663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-15.104166666666664</v>
      </c>
      <c r="X60" s="140">
        <f t="shared" si="6"/>
        <v>22.178333333333335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-27.543333333333329</v>
      </c>
      <c r="AF60" s="140">
        <f t="shared" si="8"/>
        <v>27.578333333333333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-5.3649999999999949</v>
      </c>
      <c r="X61" s="140">
        <f t="shared" si="6"/>
        <v>16.778333333333332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-15.104166666666664</v>
      </c>
      <c r="AF61" s="140">
        <f t="shared" si="8"/>
        <v>22.178333333333335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1.6741666666666717</v>
      </c>
      <c r="X62" s="140">
        <f t="shared" si="6"/>
        <v>11.37833333333333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-5.3649999999999949</v>
      </c>
      <c r="AF62" s="140">
        <f t="shared" si="8"/>
        <v>16.778333333333332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6.0133333333333354</v>
      </c>
      <c r="X63" s="140">
        <f t="shared" si="6"/>
        <v>5.9783333333333317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1.6741666666666717</v>
      </c>
      <c r="AF63" s="140">
        <f t="shared" si="8"/>
        <v>11.37833333333333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7.6524999999999963</v>
      </c>
      <c r="X64" s="140">
        <f t="shared" si="6"/>
        <v>0.57833333333333314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6.0133333333333354</v>
      </c>
      <c r="AF64" s="140">
        <f t="shared" si="8"/>
        <v>5.9783333333333317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6.5916666666666686</v>
      </c>
      <c r="X65" s="140">
        <f t="shared" si="6"/>
        <v>-4.8216666666666725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7.6524999999999963</v>
      </c>
      <c r="AF65" s="140">
        <f t="shared" si="8"/>
        <v>0.57833333333333314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2.8308333333333451</v>
      </c>
      <c r="X66" s="140">
        <f t="shared" si="6"/>
        <v>-10.221666666666671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6.5916666666666686</v>
      </c>
      <c r="AF66" s="140">
        <f t="shared" si="8"/>
        <v>-4.8216666666666725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-3.6299999999999955</v>
      </c>
      <c r="X67" s="140">
        <f t="shared" si="6"/>
        <v>-15.62166666666667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2.8308333333333451</v>
      </c>
      <c r="AF67" s="140">
        <f t="shared" si="8"/>
        <v>-10.221666666666671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-15.62166666666667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13"/>
  <dimension ref="A1:AT100"/>
  <sheetViews>
    <sheetView topLeftCell="A7"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'CC-Trave'!E29</f>
        <v>0</v>
      </c>
      <c r="E7" s="14">
        <f>'CC-Trave'!F29</f>
        <v>6</v>
      </c>
      <c r="F7" s="14">
        <f>'CC-Trave'!G29</f>
        <v>10.8</v>
      </c>
      <c r="G7" s="14">
        <f>'CC-Trave'!H29</f>
        <v>10.8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5+MAX('CC-car.3'!AI17:AI42)</f>
        <v>57.400000000000006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57.400000000000006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57.400000000000006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57.400000000000006</v>
      </c>
      <c r="AJ20" s="2"/>
      <c r="AK20" s="8">
        <f>AK19</f>
        <v>5</v>
      </c>
      <c r="AL20" s="8">
        <f>AE59</f>
        <v>-18.56466666666666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18.564666666666664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57.400000000000006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-17822.079999999998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57.400000000000006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57.400000000000006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63.400000000000006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63.400000000000006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11.287066666666668</v>
      </c>
      <c r="X28" s="8">
        <f>(W21-Z21+E7*E4^2/2)/E4</f>
        <v>18.712933333333332</v>
      </c>
      <c r="Y28" s="8">
        <f>F7*F4-Z28</f>
        <v>24.607666666666667</v>
      </c>
      <c r="Z28" s="8">
        <f>(Z22-W21+F7*F4^2/2)/F4</f>
        <v>18.592333333333336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57.400000000000006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57.400000000000006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11.287066666666668</v>
      </c>
      <c r="Y32" s="8">
        <f>X28+Y28</f>
        <v>43.320599999999999</v>
      </c>
      <c r="Z32" s="8">
        <f>Z28+AA28</f>
        <v>30.472333333333339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57.400000000000006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68.2</v>
      </c>
      <c r="AJ33" s="2"/>
      <c r="AK33" s="128" t="s">
        <v>23</v>
      </c>
      <c r="AL33" s="8">
        <f>W28/E7</f>
        <v>1.8811777777777781</v>
      </c>
      <c r="AM33" s="8">
        <f>D4+AL33</f>
        <v>1.8811777777777781</v>
      </c>
      <c r="AN33" s="129">
        <f>W28*AL33-E7*AL33^2/2-Z21</f>
        <v>10.616489494814818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68.2</v>
      </c>
      <c r="AJ34" s="2"/>
      <c r="AK34" s="130" t="s">
        <v>82</v>
      </c>
      <c r="AL34" s="8">
        <f>Y28/F7</f>
        <v>2.2784876543209873</v>
      </c>
      <c r="AM34" s="8">
        <f>D4+E4+AL34</f>
        <v>7.2784876543209869</v>
      </c>
      <c r="AN34" s="129">
        <f>Y28*AL34-F7*AL34^2/2-W21</f>
        <v>9.4694656841563756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57.400000000000006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11.287066666666668</v>
      </c>
      <c r="X37" s="2"/>
      <c r="Y37" s="133">
        <f>Y36</f>
        <v>5</v>
      </c>
      <c r="Z37" s="133">
        <f>Y32</f>
        <v>43.320599999999999</v>
      </c>
      <c r="AA37" s="2"/>
      <c r="AB37" s="133">
        <f>AB36</f>
        <v>9</v>
      </c>
      <c r="AC37" s="133">
        <f>Z32</f>
        <v>30.472333333333339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57.400000000000006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57.400000000000006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68.2</v>
      </c>
      <c r="AJ40" s="2"/>
      <c r="AK40" s="8">
        <f>AM33</f>
        <v>1.8811777777777781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68.2</v>
      </c>
      <c r="AJ41" s="2"/>
      <c r="AK41" s="8">
        <f>AK40</f>
        <v>1.8811777777777781</v>
      </c>
      <c r="AL41" s="8">
        <f>AN33</f>
        <v>10.616489494814818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57.400000000000006</v>
      </c>
      <c r="AJ42" s="2"/>
      <c r="AK42" s="8">
        <f>AM34</f>
        <v>7.2784876543209869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7.2784876543209869</v>
      </c>
      <c r="AL43" s="8">
        <f>AN34</f>
        <v>9.4694656841563756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11.287066666666668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5.8825416666666674</v>
      </c>
      <c r="AB48" s="10">
        <f t="shared" si="1"/>
        <v>7.5370666666666679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9.4213333333333349</v>
      </c>
      <c r="AB49" s="10">
        <f t="shared" si="1"/>
        <v>3.7870666666666679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10.616375000000001</v>
      </c>
      <c r="AB50" s="10">
        <f t="shared" si="1"/>
        <v>3.7066666666667913E-2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9.4676666666666698</v>
      </c>
      <c r="AB51" s="10">
        <f t="shared" si="1"/>
        <v>-3.7129333333333321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11.287066666666668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5.9752083333333346</v>
      </c>
      <c r="AB52" s="10">
        <f t="shared" si="1"/>
        <v>-7.4629333333333321</v>
      </c>
      <c r="AC52" s="3"/>
      <c r="AD52" s="10">
        <f t="shared" si="3"/>
        <v>0.625</v>
      </c>
      <c r="AE52" s="10">
        <f t="shared" si="4"/>
        <v>5.8825416666666674</v>
      </c>
      <c r="AF52" s="10">
        <f t="shared" si="4"/>
        <v>7.5370666666666679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0.1390000000000029</v>
      </c>
      <c r="AB53" s="10">
        <f t="shared" si="1"/>
        <v>-11.212933333333332</v>
      </c>
      <c r="AC53" s="3"/>
      <c r="AD53" s="10">
        <f t="shared" si="3"/>
        <v>1.25</v>
      </c>
      <c r="AE53" s="10">
        <f t="shared" si="4"/>
        <v>9.4213333333333349</v>
      </c>
      <c r="AF53" s="10">
        <f t="shared" si="4"/>
        <v>3.7870666666666679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-8.0409583333333288</v>
      </c>
      <c r="AB54" s="10">
        <f t="shared" si="1"/>
        <v>-14.962933333333332</v>
      </c>
      <c r="AC54" s="2"/>
      <c r="AD54" s="10">
        <f t="shared" si="3"/>
        <v>1.875</v>
      </c>
      <c r="AE54" s="10">
        <f t="shared" si="4"/>
        <v>10.616375000000001</v>
      </c>
      <c r="AF54" s="10">
        <f t="shared" si="4"/>
        <v>3.7066666666667913E-2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-18.56466666666666</v>
      </c>
      <c r="AB55" s="10">
        <f t="shared" si="1"/>
        <v>-18.712933333333332</v>
      </c>
      <c r="AC55" s="2"/>
      <c r="AD55" s="10">
        <f t="shared" si="3"/>
        <v>2.5</v>
      </c>
      <c r="AE55" s="10">
        <f t="shared" si="4"/>
        <v>9.4676666666666698</v>
      </c>
      <c r="AF55" s="10">
        <f t="shared" si="4"/>
        <v>-3.7129333333333321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5.9752083333333346</v>
      </c>
      <c r="AF56" s="10">
        <f t="shared" si="4"/>
        <v>-7.4629333333333321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0.1390000000000029</v>
      </c>
      <c r="AF57" s="10">
        <f t="shared" si="4"/>
        <v>-11.212933333333332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-8.0409583333333288</v>
      </c>
      <c r="AF58" s="10">
        <f t="shared" si="4"/>
        <v>-14.962933333333332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-18.564666666666664</v>
      </c>
      <c r="X59" s="140">
        <f t="shared" ref="X59:X67" si="6">-$F$7*V59+$Y$28</f>
        <v>24.607666666666667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-18.56466666666666</v>
      </c>
      <c r="AF59" s="10">
        <f t="shared" si="4"/>
        <v>-18.712933333333332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-7.610833333333332</v>
      </c>
      <c r="X60" s="140">
        <f t="shared" si="6"/>
        <v>19.207666666666668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-18.564666666666664</v>
      </c>
      <c r="AF60" s="140">
        <f t="shared" si="8"/>
        <v>24.607666666666667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0.64300000000000068</v>
      </c>
      <c r="X61" s="140">
        <f t="shared" si="6"/>
        <v>13.807666666666666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-7.610833333333332</v>
      </c>
      <c r="AF61" s="140">
        <f t="shared" si="8"/>
        <v>19.207666666666668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6.1968333333333376</v>
      </c>
      <c r="X62" s="140">
        <f t="shared" si="6"/>
        <v>8.407666666666664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0.64300000000000068</v>
      </c>
      <c r="AF62" s="140">
        <f t="shared" si="8"/>
        <v>13.807666666666666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9.0506666666666717</v>
      </c>
      <c r="X63" s="140">
        <f t="shared" si="6"/>
        <v>3.0076666666666654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6.1968333333333376</v>
      </c>
      <c r="AF63" s="140">
        <f t="shared" si="8"/>
        <v>8.407666666666664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9.2044999999999959</v>
      </c>
      <c r="X64" s="140">
        <f t="shared" si="6"/>
        <v>-2.3923333333333332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9.0506666666666717</v>
      </c>
      <c r="AF64" s="140">
        <f t="shared" si="8"/>
        <v>3.0076666666666654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6.6583333333333456</v>
      </c>
      <c r="X65" s="140">
        <f t="shared" si="6"/>
        <v>-7.7923333333333389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9.2044999999999959</v>
      </c>
      <c r="AF65" s="140">
        <f t="shared" si="8"/>
        <v>-2.3923333333333332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1.4121666666666641</v>
      </c>
      <c r="X66" s="140">
        <f t="shared" si="6"/>
        <v>-13.192333333333337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6.6583333333333456</v>
      </c>
      <c r="AF66" s="140">
        <f t="shared" si="8"/>
        <v>-7.7923333333333389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-6.534000000000006</v>
      </c>
      <c r="X67" s="140">
        <f t="shared" si="6"/>
        <v>-18.592333333333336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1.4121666666666641</v>
      </c>
      <c r="AF67" s="140">
        <f t="shared" si="8"/>
        <v>-13.192333333333337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-18.592333333333336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14"/>
  <dimension ref="A1:AT100"/>
  <sheetViews>
    <sheetView zoomScale="85" zoomScaleNormal="85" workbookViewId="0">
      <selection activeCell="I18" sqref="I18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26" t="s">
        <v>28</v>
      </c>
      <c r="B1" s="326"/>
      <c r="C1" s="326"/>
      <c r="D1" s="326"/>
      <c r="E1" s="326"/>
      <c r="F1" s="326"/>
      <c r="G1" s="326"/>
      <c r="H1" s="326"/>
      <c r="I1" s="326"/>
      <c r="J1" s="326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'CC-Trave'!E30</f>
        <v>0</v>
      </c>
      <c r="E7" s="14">
        <f>'CC-Trave'!F30</f>
        <v>0</v>
      </c>
      <c r="F7" s="14">
        <f>'CC-Trave'!G30</f>
        <v>0</v>
      </c>
      <c r="G7" s="14">
        <f>'CC-Trave'!H30</f>
        <v>0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37" t="s">
        <v>31</v>
      </c>
      <c r="B15" s="337"/>
      <c r="C15" s="337"/>
      <c r="D15" s="337"/>
      <c r="E15" s="337"/>
      <c r="F15" s="337"/>
      <c r="G15" s="337"/>
      <c r="H15" s="337"/>
      <c r="I15" s="337"/>
      <c r="J15" s="337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5+MAX('CC-car.4'!AI17:AI42)</f>
        <v>73.2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73.2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73.2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73.2</v>
      </c>
      <c r="AJ20" s="2"/>
      <c r="AK20" s="8">
        <f>AK19</f>
        <v>5</v>
      </c>
      <c r="AL20" s="8">
        <f>AE59</f>
        <v>0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0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73.2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0</v>
      </c>
      <c r="AA22" s="2"/>
      <c r="AB22" s="124">
        <f>Z21*E4/(6*D18)+Z22*F4/(6*I18)-E7*E4^3/(24*D18)-F7*F4^3/(24*I18)</f>
        <v>0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0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73.2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73.2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73.2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73.2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0</v>
      </c>
      <c r="X28" s="8">
        <f>(W21-Z21+E7*E4^2/2)/E4</f>
        <v>0</v>
      </c>
      <c r="Y28" s="8">
        <f>F7*F4-Z28</f>
        <v>0</v>
      </c>
      <c r="Z28" s="8">
        <f>(Z22-W21+F7*F4^2/2)/F4</f>
        <v>0</v>
      </c>
      <c r="AA28" s="8">
        <f>G7*G4</f>
        <v>0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73.2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73.2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0</v>
      </c>
      <c r="Y32" s="8">
        <f>X28+Y28</f>
        <v>0</v>
      </c>
      <c r="Z32" s="8">
        <f>Z28+AA28</f>
        <v>0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73.2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73.2</v>
      </c>
      <c r="AJ33" s="2"/>
      <c r="AK33" s="128" t="s">
        <v>23</v>
      </c>
      <c r="AL33" s="8" t="e">
        <f>W28/E7</f>
        <v>#DIV/0!</v>
      </c>
      <c r="AM33" s="8" t="e">
        <f>D4+AL33</f>
        <v>#DIV/0!</v>
      </c>
      <c r="AN33" s="129" t="e">
        <f>W28*AL33-E7*AL33^2/2-Z21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73.2</v>
      </c>
      <c r="AJ34" s="2"/>
      <c r="AK34" s="130" t="s">
        <v>82</v>
      </c>
      <c r="AL34" s="8" t="e">
        <f>Y28/F7</f>
        <v>#DIV/0!</v>
      </c>
      <c r="AM34" s="8" t="e">
        <f>D4+E4+AL34</f>
        <v>#DIV/0!</v>
      </c>
      <c r="AN34" s="129" t="e">
        <f>Y28*AL34-F7*AL34^2/2-W21</f>
        <v>#DIV/0!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73.2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0</v>
      </c>
      <c r="X37" s="2"/>
      <c r="Y37" s="133">
        <f>Y36</f>
        <v>5</v>
      </c>
      <c r="Z37" s="133">
        <f>Y32</f>
        <v>0</v>
      </c>
      <c r="AA37" s="2"/>
      <c r="AB37" s="133">
        <f>AB36</f>
        <v>9</v>
      </c>
      <c r="AC37" s="133">
        <f>Z32</f>
        <v>0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73.2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73.2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73.2</v>
      </c>
      <c r="AJ40" s="2"/>
      <c r="AK40" s="8" t="e">
        <f>AM33</f>
        <v>#DIV/0!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73.2</v>
      </c>
      <c r="AJ41" s="2"/>
      <c r="AK41" s="8" t="e">
        <f>AK40</f>
        <v>#DIV/0!</v>
      </c>
      <c r="AL41" s="8" t="e">
        <f>AN33</f>
        <v>#DIV/0!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73.2</v>
      </c>
      <c r="AJ42" s="2"/>
      <c r="AK42" s="8" t="e">
        <f>AM34</f>
        <v>#DIV/0!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 t="e">
        <f>AK42</f>
        <v>#DIV/0!</v>
      </c>
      <c r="AL43" s="8" t="e">
        <f>AN34</f>
        <v>#DIV/0!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0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0</v>
      </c>
      <c r="AB48" s="10">
        <f t="shared" si="1"/>
        <v>0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0</v>
      </c>
      <c r="AB49" s="10">
        <f t="shared" si="1"/>
        <v>0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0</v>
      </c>
      <c r="AB50" s="10">
        <f t="shared" si="1"/>
        <v>0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0</v>
      </c>
      <c r="AB51" s="10">
        <f t="shared" si="1"/>
        <v>0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0</v>
      </c>
      <c r="AB52" s="10">
        <f t="shared" si="1"/>
        <v>0</v>
      </c>
      <c r="AC52" s="3"/>
      <c r="AD52" s="10">
        <f t="shared" si="3"/>
        <v>0.625</v>
      </c>
      <c r="AE52" s="10">
        <f t="shared" si="4"/>
        <v>0</v>
      </c>
      <c r="AF52" s="10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</v>
      </c>
      <c r="AB53" s="10">
        <f t="shared" si="1"/>
        <v>0</v>
      </c>
      <c r="AC53" s="3"/>
      <c r="AD53" s="10">
        <f t="shared" si="3"/>
        <v>1.25</v>
      </c>
      <c r="AE53" s="10">
        <f t="shared" si="4"/>
        <v>0</v>
      </c>
      <c r="AF53" s="10">
        <f t="shared" si="4"/>
        <v>0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0</v>
      </c>
      <c r="AB54" s="10">
        <f t="shared" si="1"/>
        <v>0</v>
      </c>
      <c r="AC54" s="2"/>
      <c r="AD54" s="10">
        <f t="shared" si="3"/>
        <v>1.875</v>
      </c>
      <c r="AE54" s="10">
        <f t="shared" si="4"/>
        <v>0</v>
      </c>
      <c r="AF54" s="10">
        <f t="shared" si="4"/>
        <v>0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0</v>
      </c>
      <c r="AB55" s="10">
        <f t="shared" si="1"/>
        <v>0</v>
      </c>
      <c r="AC55" s="2"/>
      <c r="AD55" s="10">
        <f t="shared" si="3"/>
        <v>2.5</v>
      </c>
      <c r="AE55" s="10">
        <f t="shared" si="4"/>
        <v>0</v>
      </c>
      <c r="AF55" s="10">
        <f t="shared" si="4"/>
        <v>0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</v>
      </c>
      <c r="AF56" s="10">
        <f t="shared" si="4"/>
        <v>0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</v>
      </c>
      <c r="AF57" s="10">
        <f t="shared" si="4"/>
        <v>0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0</v>
      </c>
      <c r="AF58" s="10">
        <f t="shared" si="4"/>
        <v>0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0</v>
      </c>
      <c r="X59" s="140">
        <f t="shared" ref="X59:X67" si="6">-$F$7*V59+$Y$28</f>
        <v>0</v>
      </c>
      <c r="Y59" s="2"/>
      <c r="Z59" s="8">
        <v>0</v>
      </c>
      <c r="AA59" s="8">
        <f>-$G$7*Z59^2/2-$Z$22+$AA$28*Z59</f>
        <v>0</v>
      </c>
      <c r="AB59" s="8">
        <f>$AA$28-$G$7*Z59</f>
        <v>0</v>
      </c>
      <c r="AC59" s="2"/>
      <c r="AD59" s="10">
        <f t="shared" si="3"/>
        <v>5</v>
      </c>
      <c r="AE59" s="10">
        <f t="shared" si="4"/>
        <v>0</v>
      </c>
      <c r="AF59" s="10">
        <f t="shared" si="4"/>
        <v>0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0</v>
      </c>
      <c r="X60" s="140">
        <f t="shared" si="6"/>
        <v>0</v>
      </c>
      <c r="Y60" s="2"/>
      <c r="Z60" s="8">
        <f>$G$4/3</f>
        <v>0.3666666666666667</v>
      </c>
      <c r="AA60" s="8">
        <f>-$G$7*Z60^2/2-$Z$22+$AA$28*Z60</f>
        <v>0</v>
      </c>
      <c r="AB60" s="8">
        <f>$AA$28-$G$7*Z60</f>
        <v>0</v>
      </c>
      <c r="AC60" s="2"/>
      <c r="AD60" s="140">
        <f t="shared" ref="AD60:AD68" si="7">$AD$59+V59</f>
        <v>5</v>
      </c>
      <c r="AE60" s="140">
        <f t="shared" ref="AE60:AF68" si="8">W59</f>
        <v>0</v>
      </c>
      <c r="AF60" s="140">
        <f t="shared" si="8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</v>
      </c>
      <c r="X61" s="140">
        <f t="shared" si="6"/>
        <v>0</v>
      </c>
      <c r="Y61" s="2"/>
      <c r="Z61" s="8">
        <f>2*$G$4/3</f>
        <v>0.73333333333333339</v>
      </c>
      <c r="AA61" s="8">
        <f>-$G$7*Z61^2/2-$Z$22+$AA$28*Z61</f>
        <v>0</v>
      </c>
      <c r="AB61" s="8">
        <f>$AA$28-$G$7*Z61</f>
        <v>0</v>
      </c>
      <c r="AC61" s="2"/>
      <c r="AD61" s="140">
        <f t="shared" si="7"/>
        <v>5.5</v>
      </c>
      <c r="AE61" s="140">
        <f t="shared" si="8"/>
        <v>0</v>
      </c>
      <c r="AF61" s="140">
        <f t="shared" si="8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0</v>
      </c>
      <c r="X62" s="140">
        <f t="shared" si="6"/>
        <v>0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</v>
      </c>
      <c r="AF62" s="140">
        <f t="shared" si="8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0</v>
      </c>
      <c r="X63" s="140">
        <f t="shared" si="6"/>
        <v>0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0</v>
      </c>
      <c r="AF63" s="140">
        <f t="shared" si="8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0</v>
      </c>
      <c r="X64" s="140">
        <f t="shared" si="6"/>
        <v>0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0</v>
      </c>
      <c r="AF64" s="140">
        <f t="shared" si="8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0</v>
      </c>
      <c r="X65" s="140">
        <f t="shared" si="6"/>
        <v>0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0</v>
      </c>
      <c r="AF65" s="140">
        <f t="shared" si="8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0</v>
      </c>
      <c r="X66" s="140">
        <f t="shared" si="6"/>
        <v>0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0</v>
      </c>
      <c r="AF66" s="140">
        <f t="shared" si="8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0</v>
      </c>
      <c r="X67" s="140">
        <f t="shared" si="6"/>
        <v>0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0</v>
      </c>
      <c r="AF67" s="140">
        <f t="shared" si="8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0</v>
      </c>
      <c r="AF68" s="140">
        <f t="shared" si="8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0</v>
      </c>
      <c r="AF69" s="8">
        <f t="shared" si="9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0</v>
      </c>
      <c r="AF70" s="8">
        <f t="shared" si="9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0</v>
      </c>
      <c r="AF71" s="8">
        <f t="shared" si="9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15"/>
  <dimension ref="A1:N16"/>
  <sheetViews>
    <sheetView workbookViewId="0">
      <selection activeCell="C21" sqref="C21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s="36"/>
      <c r="K1" s="36"/>
    </row>
    <row r="2" spans="1:14" x14ac:dyDescent="0.25">
      <c r="A2" s="29">
        <f>'CC-Trave'!E15</f>
        <v>0</v>
      </c>
      <c r="B2" s="30">
        <v>0</v>
      </c>
      <c r="D2" s="29">
        <f>'CC-Trave'!E15+'CC-Trave'!F15</f>
        <v>5</v>
      </c>
      <c r="E2" s="30">
        <v>0</v>
      </c>
      <c r="G2" s="29">
        <f>'CC-Trave'!E15+'CC-Trave'!F15+'CC-Trave'!G15</f>
        <v>9</v>
      </c>
      <c r="H2" s="30">
        <v>0</v>
      </c>
      <c r="J2" s="37"/>
      <c r="K2" s="33"/>
      <c r="M2" s="37"/>
      <c r="N2" s="33"/>
    </row>
    <row r="3" spans="1:14" x14ac:dyDescent="0.25">
      <c r="A3" s="29">
        <f>A2-0.4</f>
        <v>-0.4</v>
      </c>
      <c r="B3" s="30">
        <v>-4</v>
      </c>
      <c r="D3" s="29">
        <f>D2-0.4</f>
        <v>4.5999999999999996</v>
      </c>
      <c r="E3" s="30">
        <v>-4</v>
      </c>
      <c r="G3" s="29">
        <f>G2-0.4</f>
        <v>8.6</v>
      </c>
      <c r="H3" s="30">
        <v>-4</v>
      </c>
      <c r="J3" s="37"/>
      <c r="K3" s="33"/>
      <c r="M3" s="37"/>
      <c r="N3" s="33"/>
    </row>
    <row r="4" spans="1:14" x14ac:dyDescent="0.25">
      <c r="A4" s="29">
        <f>A2+0.4</f>
        <v>0.4</v>
      </c>
      <c r="B4" s="30">
        <f>B3</f>
        <v>-4</v>
      </c>
      <c r="D4" s="29">
        <f>D2+0.4</f>
        <v>5.4</v>
      </c>
      <c r="E4" s="30">
        <f>E3</f>
        <v>-4</v>
      </c>
      <c r="G4" s="29">
        <f>G2+0.4</f>
        <v>9.4</v>
      </c>
      <c r="H4" s="30">
        <f>H3</f>
        <v>-4</v>
      </c>
      <c r="J4" s="37"/>
      <c r="K4" s="33"/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5</v>
      </c>
      <c r="E5" s="30">
        <f>E2</f>
        <v>0</v>
      </c>
      <c r="G5" s="29">
        <f>G2</f>
        <v>9</v>
      </c>
      <c r="H5" s="30">
        <f>H2</f>
        <v>0</v>
      </c>
      <c r="J5" s="37"/>
      <c r="K5" s="33"/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30"/>
  <dimension ref="A1:I112"/>
  <sheetViews>
    <sheetView zoomScale="85" zoomScaleNormal="85" workbookViewId="0">
      <pane ySplit="2" topLeftCell="A3" activePane="bottomLeft" state="frozen"/>
      <selection pane="bottomLeft" activeCell="A96" sqref="A96"/>
    </sheetView>
  </sheetViews>
  <sheetFormatPr defaultColWidth="9.140625" defaultRowHeight="12" x14ac:dyDescent="0.2"/>
  <cols>
    <col min="1" max="5" width="9.140625" style="211"/>
    <col min="6" max="6" width="9.140625" style="224"/>
    <col min="7" max="16384" width="9.140625" style="1"/>
  </cols>
  <sheetData>
    <row r="1" spans="1:9" ht="12" customHeight="1" x14ac:dyDescent="0.2">
      <c r="A1" s="210" t="s">
        <v>98</v>
      </c>
      <c r="B1" s="210" t="s">
        <v>125</v>
      </c>
      <c r="C1" s="210" t="s">
        <v>441</v>
      </c>
      <c r="D1" s="210" t="s">
        <v>445</v>
      </c>
      <c r="E1" s="210" t="s">
        <v>444</v>
      </c>
      <c r="F1" s="241" t="s">
        <v>442</v>
      </c>
    </row>
    <row r="2" spans="1:9" x14ac:dyDescent="0.2">
      <c r="A2" s="123" t="s">
        <v>142</v>
      </c>
      <c r="B2" s="123" t="s">
        <v>142</v>
      </c>
      <c r="C2" s="123" t="s">
        <v>443</v>
      </c>
      <c r="D2" s="123" t="s">
        <v>446</v>
      </c>
      <c r="E2" s="123" t="s">
        <v>133</v>
      </c>
      <c r="F2" s="242" t="s">
        <v>140</v>
      </c>
    </row>
    <row r="3" spans="1:9" x14ac:dyDescent="0.2">
      <c r="A3" s="313"/>
      <c r="B3" s="311"/>
      <c r="C3" s="311" t="s">
        <v>452</v>
      </c>
      <c r="D3" s="311"/>
      <c r="E3" s="311"/>
      <c r="F3" s="314"/>
      <c r="I3" s="3"/>
    </row>
    <row r="4" spans="1:9" x14ac:dyDescent="0.2">
      <c r="A4" s="315">
        <v>20</v>
      </c>
      <c r="B4" s="312">
        <v>20</v>
      </c>
      <c r="C4" s="312" t="str">
        <f>CONCATENATE(A4,"x",B4)</f>
        <v>20x20</v>
      </c>
      <c r="D4" s="316">
        <f>(E4/10000)*25</f>
        <v>1</v>
      </c>
      <c r="E4" s="312">
        <f>A4*B4</f>
        <v>400</v>
      </c>
      <c r="F4" s="317">
        <f>A4*B4^3/12</f>
        <v>13333.333333333334</v>
      </c>
    </row>
    <row r="5" spans="1:9" x14ac:dyDescent="0.2">
      <c r="A5" s="315">
        <v>20</v>
      </c>
      <c r="B5" s="312">
        <v>25</v>
      </c>
      <c r="C5" s="312" t="str">
        <f t="shared" ref="C5:C68" si="0">CONCATENATE(A5,"x",B5)</f>
        <v>20x25</v>
      </c>
      <c r="D5" s="316">
        <f t="shared" ref="D5:D68" si="1">(E5/10000)*25</f>
        <v>1.25</v>
      </c>
      <c r="E5" s="312">
        <f t="shared" ref="E5:E15" si="2">A5*B5</f>
        <v>500</v>
      </c>
      <c r="F5" s="317">
        <f t="shared" ref="F5:F15" si="3">A5*B5^3/12</f>
        <v>26041.666666666668</v>
      </c>
    </row>
    <row r="6" spans="1:9" x14ac:dyDescent="0.2">
      <c r="A6" s="315">
        <v>30</v>
      </c>
      <c r="B6" s="312">
        <v>40</v>
      </c>
      <c r="C6" s="312" t="str">
        <f t="shared" si="0"/>
        <v>30x40</v>
      </c>
      <c r="D6" s="316">
        <f t="shared" si="1"/>
        <v>3</v>
      </c>
      <c r="E6" s="312">
        <f t="shared" si="2"/>
        <v>1200</v>
      </c>
      <c r="F6" s="317">
        <f t="shared" si="3"/>
        <v>160000</v>
      </c>
    </row>
    <row r="7" spans="1:9" x14ac:dyDescent="0.2">
      <c r="A7" s="315">
        <v>30</v>
      </c>
      <c r="B7" s="312">
        <v>50</v>
      </c>
      <c r="C7" s="312" t="str">
        <f t="shared" si="0"/>
        <v>30x50</v>
      </c>
      <c r="D7" s="316">
        <f t="shared" si="1"/>
        <v>3.75</v>
      </c>
      <c r="E7" s="312">
        <f t="shared" si="2"/>
        <v>1500</v>
      </c>
      <c r="F7" s="317">
        <f t="shared" si="3"/>
        <v>312500</v>
      </c>
    </row>
    <row r="8" spans="1:9" x14ac:dyDescent="0.2">
      <c r="A8" s="315">
        <v>30</v>
      </c>
      <c r="B8" s="312">
        <v>60</v>
      </c>
      <c r="C8" s="312" t="str">
        <f t="shared" si="0"/>
        <v>30x60</v>
      </c>
      <c r="D8" s="316">
        <f t="shared" si="1"/>
        <v>4.5</v>
      </c>
      <c r="E8" s="312">
        <f t="shared" si="2"/>
        <v>1800</v>
      </c>
      <c r="F8" s="317">
        <f t="shared" si="3"/>
        <v>540000</v>
      </c>
    </row>
    <row r="9" spans="1:9" x14ac:dyDescent="0.2">
      <c r="A9" s="315">
        <v>50</v>
      </c>
      <c r="B9" s="312">
        <v>25</v>
      </c>
      <c r="C9" s="312" t="str">
        <f t="shared" si="0"/>
        <v>50x25</v>
      </c>
      <c r="D9" s="316">
        <f t="shared" si="1"/>
        <v>3.125</v>
      </c>
      <c r="E9" s="312">
        <f t="shared" si="2"/>
        <v>1250</v>
      </c>
      <c r="F9" s="317">
        <f t="shared" si="3"/>
        <v>65104.166666666664</v>
      </c>
    </row>
    <row r="10" spans="1:9" x14ac:dyDescent="0.2">
      <c r="A10" s="315">
        <v>60</v>
      </c>
      <c r="B10" s="312">
        <v>16</v>
      </c>
      <c r="C10" s="312" t="str">
        <f t="shared" si="0"/>
        <v>60x16</v>
      </c>
      <c r="D10" s="316">
        <f t="shared" si="1"/>
        <v>2.4</v>
      </c>
      <c r="E10" s="312">
        <f t="shared" si="2"/>
        <v>960</v>
      </c>
      <c r="F10" s="317">
        <f t="shared" si="3"/>
        <v>20480</v>
      </c>
    </row>
    <row r="11" spans="1:9" x14ac:dyDescent="0.2">
      <c r="A11" s="315">
        <v>60</v>
      </c>
      <c r="B11" s="312">
        <v>18</v>
      </c>
      <c r="C11" s="312" t="str">
        <f t="shared" si="0"/>
        <v>60x18</v>
      </c>
      <c r="D11" s="316">
        <f t="shared" si="1"/>
        <v>2.7</v>
      </c>
      <c r="E11" s="312">
        <f t="shared" si="2"/>
        <v>1080</v>
      </c>
      <c r="F11" s="317">
        <f t="shared" si="3"/>
        <v>29160</v>
      </c>
    </row>
    <row r="12" spans="1:9" x14ac:dyDescent="0.2">
      <c r="A12" s="315">
        <v>60</v>
      </c>
      <c r="B12" s="312">
        <v>20</v>
      </c>
      <c r="C12" s="312" t="str">
        <f t="shared" si="0"/>
        <v>60x20</v>
      </c>
      <c r="D12" s="316">
        <f t="shared" si="1"/>
        <v>3</v>
      </c>
      <c r="E12" s="312">
        <f t="shared" si="2"/>
        <v>1200</v>
      </c>
      <c r="F12" s="317">
        <f t="shared" si="3"/>
        <v>40000</v>
      </c>
    </row>
    <row r="13" spans="1:9" x14ac:dyDescent="0.2">
      <c r="A13" s="315">
        <v>60</v>
      </c>
      <c r="B13" s="312">
        <v>22</v>
      </c>
      <c r="C13" s="312" t="str">
        <f t="shared" si="0"/>
        <v>60x22</v>
      </c>
      <c r="D13" s="316">
        <f t="shared" si="1"/>
        <v>3.3000000000000003</v>
      </c>
      <c r="E13" s="312">
        <f t="shared" si="2"/>
        <v>1320</v>
      </c>
      <c r="F13" s="317">
        <f t="shared" si="3"/>
        <v>53240</v>
      </c>
    </row>
    <row r="14" spans="1:9" x14ac:dyDescent="0.2">
      <c r="A14" s="315">
        <v>60</v>
      </c>
      <c r="B14" s="312">
        <v>24</v>
      </c>
      <c r="C14" s="312" t="str">
        <f t="shared" si="0"/>
        <v>60x24</v>
      </c>
      <c r="D14" s="316">
        <f t="shared" si="1"/>
        <v>3.5999999999999996</v>
      </c>
      <c r="E14" s="312">
        <f t="shared" si="2"/>
        <v>1440</v>
      </c>
      <c r="F14" s="317">
        <f t="shared" si="3"/>
        <v>69120</v>
      </c>
    </row>
    <row r="15" spans="1:9" x14ac:dyDescent="0.2">
      <c r="A15" s="315">
        <v>60</v>
      </c>
      <c r="B15" s="312">
        <v>25</v>
      </c>
      <c r="C15" s="312" t="str">
        <f t="shared" si="0"/>
        <v>60x25</v>
      </c>
      <c r="D15" s="316">
        <f t="shared" si="1"/>
        <v>3.75</v>
      </c>
      <c r="E15" s="312">
        <f t="shared" si="2"/>
        <v>1500</v>
      </c>
      <c r="F15" s="317">
        <f t="shared" si="3"/>
        <v>78125</v>
      </c>
    </row>
    <row r="16" spans="1:9" x14ac:dyDescent="0.2">
      <c r="A16" s="315">
        <v>60</v>
      </c>
      <c r="B16" s="312">
        <v>26</v>
      </c>
      <c r="C16" s="312" t="str">
        <f t="shared" si="0"/>
        <v>60x26</v>
      </c>
      <c r="D16" s="316">
        <f t="shared" si="1"/>
        <v>3.9</v>
      </c>
      <c r="E16" s="312">
        <f t="shared" ref="E16" si="4">A16*B16</f>
        <v>1560</v>
      </c>
      <c r="F16" s="317">
        <f t="shared" ref="F16" si="5">A16*B16^3/12</f>
        <v>87880</v>
      </c>
    </row>
    <row r="17" spans="1:6" x14ac:dyDescent="0.2">
      <c r="A17" s="315">
        <v>60</v>
      </c>
      <c r="B17" s="312">
        <v>28</v>
      </c>
      <c r="C17" s="312" t="str">
        <f t="shared" si="0"/>
        <v>60x28</v>
      </c>
      <c r="D17" s="316">
        <f t="shared" si="1"/>
        <v>4.2</v>
      </c>
      <c r="E17" s="312">
        <f t="shared" ref="E17:E28" si="6">A17*B17</f>
        <v>1680</v>
      </c>
      <c r="F17" s="317">
        <f t="shared" ref="F17:F28" si="7">A17*B17^3/12</f>
        <v>109760</v>
      </c>
    </row>
    <row r="18" spans="1:6" x14ac:dyDescent="0.2">
      <c r="A18" s="315">
        <v>60</v>
      </c>
      <c r="B18" s="312">
        <v>30</v>
      </c>
      <c r="C18" s="312" t="str">
        <f t="shared" si="0"/>
        <v>60x30</v>
      </c>
      <c r="D18" s="316">
        <f t="shared" si="1"/>
        <v>4.5</v>
      </c>
      <c r="E18" s="312">
        <f t="shared" si="6"/>
        <v>1800</v>
      </c>
      <c r="F18" s="317">
        <f t="shared" si="7"/>
        <v>135000</v>
      </c>
    </row>
    <row r="19" spans="1:6" x14ac:dyDescent="0.2">
      <c r="A19" s="315">
        <v>70</v>
      </c>
      <c r="B19" s="312">
        <v>16</v>
      </c>
      <c r="C19" s="312" t="str">
        <f t="shared" si="0"/>
        <v>70x16</v>
      </c>
      <c r="D19" s="316">
        <f t="shared" si="1"/>
        <v>2.8000000000000003</v>
      </c>
      <c r="E19" s="312">
        <f t="shared" si="6"/>
        <v>1120</v>
      </c>
      <c r="F19" s="317">
        <f t="shared" si="7"/>
        <v>23893.333333333332</v>
      </c>
    </row>
    <row r="20" spans="1:6" x14ac:dyDescent="0.2">
      <c r="A20" s="315">
        <v>70</v>
      </c>
      <c r="B20" s="312">
        <v>18</v>
      </c>
      <c r="C20" s="312" t="str">
        <f t="shared" si="0"/>
        <v>70x18</v>
      </c>
      <c r="D20" s="316">
        <f t="shared" si="1"/>
        <v>3.15</v>
      </c>
      <c r="E20" s="312">
        <f t="shared" si="6"/>
        <v>1260</v>
      </c>
      <c r="F20" s="317">
        <f t="shared" si="7"/>
        <v>34020</v>
      </c>
    </row>
    <row r="21" spans="1:6" x14ac:dyDescent="0.2">
      <c r="A21" s="315">
        <v>70</v>
      </c>
      <c r="B21" s="312">
        <v>20</v>
      </c>
      <c r="C21" s="312" t="str">
        <f t="shared" si="0"/>
        <v>70x20</v>
      </c>
      <c r="D21" s="316">
        <f t="shared" si="1"/>
        <v>3.5000000000000004</v>
      </c>
      <c r="E21" s="312">
        <f t="shared" si="6"/>
        <v>1400</v>
      </c>
      <c r="F21" s="317">
        <f t="shared" si="7"/>
        <v>46666.666666666664</v>
      </c>
    </row>
    <row r="22" spans="1:6" x14ac:dyDescent="0.2">
      <c r="A22" s="315">
        <v>70</v>
      </c>
      <c r="B22" s="312">
        <v>22</v>
      </c>
      <c r="C22" s="312" t="str">
        <f t="shared" si="0"/>
        <v>70x22</v>
      </c>
      <c r="D22" s="316">
        <f t="shared" si="1"/>
        <v>3.85</v>
      </c>
      <c r="E22" s="312">
        <f t="shared" si="6"/>
        <v>1540</v>
      </c>
      <c r="F22" s="317">
        <f t="shared" si="7"/>
        <v>62113.333333333336</v>
      </c>
    </row>
    <row r="23" spans="1:6" x14ac:dyDescent="0.2">
      <c r="A23" s="315">
        <v>70</v>
      </c>
      <c r="B23" s="312">
        <v>24</v>
      </c>
      <c r="C23" s="312" t="str">
        <f t="shared" si="0"/>
        <v>70x24</v>
      </c>
      <c r="D23" s="316">
        <f t="shared" si="1"/>
        <v>4.2</v>
      </c>
      <c r="E23" s="312">
        <f t="shared" si="6"/>
        <v>1680</v>
      </c>
      <c r="F23" s="317">
        <f t="shared" si="7"/>
        <v>80640</v>
      </c>
    </row>
    <row r="24" spans="1:6" x14ac:dyDescent="0.2">
      <c r="A24" s="315">
        <v>70</v>
      </c>
      <c r="B24" s="312">
        <v>25</v>
      </c>
      <c r="C24" s="312" t="str">
        <f t="shared" si="0"/>
        <v>70x25</v>
      </c>
      <c r="D24" s="316">
        <f t="shared" si="1"/>
        <v>4.375</v>
      </c>
      <c r="E24" s="312">
        <f t="shared" si="6"/>
        <v>1750</v>
      </c>
      <c r="F24" s="317">
        <f t="shared" si="7"/>
        <v>91145.833333333328</v>
      </c>
    </row>
    <row r="25" spans="1:6" x14ac:dyDescent="0.2">
      <c r="A25" s="315">
        <v>70</v>
      </c>
      <c r="B25" s="312">
        <v>26</v>
      </c>
      <c r="C25" s="312" t="str">
        <f t="shared" si="0"/>
        <v>70x26</v>
      </c>
      <c r="D25" s="316">
        <f t="shared" si="1"/>
        <v>4.55</v>
      </c>
      <c r="E25" s="312">
        <f t="shared" si="6"/>
        <v>1820</v>
      </c>
      <c r="F25" s="317">
        <f t="shared" si="7"/>
        <v>102526.66666666667</v>
      </c>
    </row>
    <row r="26" spans="1:6" x14ac:dyDescent="0.2">
      <c r="A26" s="315">
        <v>70</v>
      </c>
      <c r="B26" s="312">
        <v>28</v>
      </c>
      <c r="C26" s="312" t="str">
        <f t="shared" si="0"/>
        <v>70x28</v>
      </c>
      <c r="D26" s="316">
        <f t="shared" si="1"/>
        <v>4.9000000000000004</v>
      </c>
      <c r="E26" s="312">
        <f t="shared" si="6"/>
        <v>1960</v>
      </c>
      <c r="F26" s="317">
        <f t="shared" si="7"/>
        <v>128053.33333333333</v>
      </c>
    </row>
    <row r="27" spans="1:6" x14ac:dyDescent="0.2">
      <c r="A27" s="315">
        <v>70</v>
      </c>
      <c r="B27" s="312">
        <v>30</v>
      </c>
      <c r="C27" s="312" t="str">
        <f t="shared" si="0"/>
        <v>70x30</v>
      </c>
      <c r="D27" s="316">
        <f t="shared" si="1"/>
        <v>5.25</v>
      </c>
      <c r="E27" s="312">
        <f t="shared" si="6"/>
        <v>2100</v>
      </c>
      <c r="F27" s="317">
        <f t="shared" si="7"/>
        <v>157500</v>
      </c>
    </row>
    <row r="28" spans="1:6" x14ac:dyDescent="0.2">
      <c r="A28" s="315">
        <v>70</v>
      </c>
      <c r="B28" s="312">
        <v>16</v>
      </c>
      <c r="C28" s="312" t="str">
        <f t="shared" si="0"/>
        <v>70x16</v>
      </c>
      <c r="D28" s="316">
        <f t="shared" si="1"/>
        <v>2.8000000000000003</v>
      </c>
      <c r="E28" s="312">
        <f t="shared" si="6"/>
        <v>1120</v>
      </c>
      <c r="F28" s="317">
        <f t="shared" si="7"/>
        <v>23893.333333333332</v>
      </c>
    </row>
    <row r="29" spans="1:6" x14ac:dyDescent="0.2">
      <c r="A29" s="315">
        <v>70</v>
      </c>
      <c r="B29" s="312">
        <v>18</v>
      </c>
      <c r="C29" s="312" t="str">
        <f t="shared" si="0"/>
        <v>70x18</v>
      </c>
      <c r="D29" s="316">
        <f t="shared" si="1"/>
        <v>3.15</v>
      </c>
      <c r="E29" s="312">
        <f t="shared" ref="E29:E37" si="8">A29*B29</f>
        <v>1260</v>
      </c>
      <c r="F29" s="317">
        <f t="shared" ref="F29:F37" si="9">A29*B29^3/12</f>
        <v>34020</v>
      </c>
    </row>
    <row r="30" spans="1:6" x14ac:dyDescent="0.2">
      <c r="A30" s="315">
        <v>70</v>
      </c>
      <c r="B30" s="312">
        <v>20</v>
      </c>
      <c r="C30" s="312" t="str">
        <f t="shared" si="0"/>
        <v>70x20</v>
      </c>
      <c r="D30" s="316">
        <f t="shared" si="1"/>
        <v>3.5000000000000004</v>
      </c>
      <c r="E30" s="312">
        <f t="shared" si="8"/>
        <v>1400</v>
      </c>
      <c r="F30" s="317">
        <f t="shared" si="9"/>
        <v>46666.666666666664</v>
      </c>
    </row>
    <row r="31" spans="1:6" x14ac:dyDescent="0.2">
      <c r="A31" s="315">
        <v>70</v>
      </c>
      <c r="B31" s="312">
        <v>22</v>
      </c>
      <c r="C31" s="312" t="str">
        <f t="shared" si="0"/>
        <v>70x22</v>
      </c>
      <c r="D31" s="316">
        <f t="shared" si="1"/>
        <v>3.85</v>
      </c>
      <c r="E31" s="312">
        <f t="shared" si="8"/>
        <v>1540</v>
      </c>
      <c r="F31" s="317">
        <f t="shared" si="9"/>
        <v>62113.333333333336</v>
      </c>
    </row>
    <row r="32" spans="1:6" x14ac:dyDescent="0.2">
      <c r="A32" s="315">
        <v>70</v>
      </c>
      <c r="B32" s="312">
        <v>24</v>
      </c>
      <c r="C32" s="312" t="str">
        <f t="shared" si="0"/>
        <v>70x24</v>
      </c>
      <c r="D32" s="316">
        <f t="shared" si="1"/>
        <v>4.2</v>
      </c>
      <c r="E32" s="312">
        <f t="shared" si="8"/>
        <v>1680</v>
      </c>
      <c r="F32" s="317">
        <f t="shared" si="9"/>
        <v>80640</v>
      </c>
    </row>
    <row r="33" spans="1:6" x14ac:dyDescent="0.2">
      <c r="A33" s="315">
        <v>70</v>
      </c>
      <c r="B33" s="312">
        <v>25</v>
      </c>
      <c r="C33" s="312" t="str">
        <f t="shared" si="0"/>
        <v>70x25</v>
      </c>
      <c r="D33" s="316">
        <f t="shared" si="1"/>
        <v>4.375</v>
      </c>
      <c r="E33" s="312">
        <f t="shared" si="8"/>
        <v>1750</v>
      </c>
      <c r="F33" s="317">
        <f t="shared" si="9"/>
        <v>91145.833333333328</v>
      </c>
    </row>
    <row r="34" spans="1:6" x14ac:dyDescent="0.2">
      <c r="A34" s="315">
        <v>70</v>
      </c>
      <c r="B34" s="312">
        <v>26</v>
      </c>
      <c r="C34" s="312" t="str">
        <f t="shared" si="0"/>
        <v>70x26</v>
      </c>
      <c r="D34" s="316">
        <f t="shared" si="1"/>
        <v>4.55</v>
      </c>
      <c r="E34" s="312">
        <f t="shared" si="8"/>
        <v>1820</v>
      </c>
      <c r="F34" s="317">
        <f t="shared" si="9"/>
        <v>102526.66666666667</v>
      </c>
    </row>
    <row r="35" spans="1:6" x14ac:dyDescent="0.2">
      <c r="A35" s="315">
        <v>70</v>
      </c>
      <c r="B35" s="312">
        <v>28</v>
      </c>
      <c r="C35" s="312" t="str">
        <f t="shared" si="0"/>
        <v>70x28</v>
      </c>
      <c r="D35" s="316">
        <f t="shared" si="1"/>
        <v>4.9000000000000004</v>
      </c>
      <c r="E35" s="312">
        <f t="shared" si="8"/>
        <v>1960</v>
      </c>
      <c r="F35" s="317">
        <f t="shared" si="9"/>
        <v>128053.33333333333</v>
      </c>
    </row>
    <row r="36" spans="1:6" x14ac:dyDescent="0.2">
      <c r="A36" s="315">
        <v>70</v>
      </c>
      <c r="B36" s="312">
        <v>30</v>
      </c>
      <c r="C36" s="312" t="str">
        <f t="shared" si="0"/>
        <v>70x30</v>
      </c>
      <c r="D36" s="316">
        <f t="shared" si="1"/>
        <v>5.25</v>
      </c>
      <c r="E36" s="312">
        <f t="shared" si="8"/>
        <v>2100</v>
      </c>
      <c r="F36" s="317">
        <f t="shared" si="9"/>
        <v>157500</v>
      </c>
    </row>
    <row r="37" spans="1:6" x14ac:dyDescent="0.2">
      <c r="A37" s="315">
        <v>80</v>
      </c>
      <c r="B37" s="312">
        <v>16</v>
      </c>
      <c r="C37" s="312" t="str">
        <f t="shared" si="0"/>
        <v>80x16</v>
      </c>
      <c r="D37" s="316">
        <f t="shared" si="1"/>
        <v>3.2</v>
      </c>
      <c r="E37" s="312">
        <f t="shared" si="8"/>
        <v>1280</v>
      </c>
      <c r="F37" s="317">
        <f t="shared" si="9"/>
        <v>27306.666666666668</v>
      </c>
    </row>
    <row r="38" spans="1:6" x14ac:dyDescent="0.2">
      <c r="A38" s="315">
        <v>80</v>
      </c>
      <c r="B38" s="312">
        <v>18</v>
      </c>
      <c r="C38" s="312" t="str">
        <f t="shared" si="0"/>
        <v>80x18</v>
      </c>
      <c r="D38" s="316">
        <f t="shared" si="1"/>
        <v>3.5999999999999996</v>
      </c>
      <c r="E38" s="312">
        <f t="shared" ref="E38:E46" si="10">A38*B38</f>
        <v>1440</v>
      </c>
      <c r="F38" s="317">
        <f t="shared" ref="F38:F46" si="11">A38*B38^3/12</f>
        <v>38880</v>
      </c>
    </row>
    <row r="39" spans="1:6" x14ac:dyDescent="0.2">
      <c r="A39" s="315">
        <v>80</v>
      </c>
      <c r="B39" s="312">
        <v>20</v>
      </c>
      <c r="C39" s="312" t="str">
        <f t="shared" si="0"/>
        <v>80x20</v>
      </c>
      <c r="D39" s="316">
        <f t="shared" si="1"/>
        <v>4</v>
      </c>
      <c r="E39" s="312">
        <f t="shared" si="10"/>
        <v>1600</v>
      </c>
      <c r="F39" s="317">
        <f t="shared" si="11"/>
        <v>53333.333333333336</v>
      </c>
    </row>
    <row r="40" spans="1:6" x14ac:dyDescent="0.2">
      <c r="A40" s="315">
        <v>80</v>
      </c>
      <c r="B40" s="312">
        <v>22</v>
      </c>
      <c r="C40" s="312" t="str">
        <f t="shared" si="0"/>
        <v>80x22</v>
      </c>
      <c r="D40" s="316">
        <f t="shared" si="1"/>
        <v>4.3999999999999995</v>
      </c>
      <c r="E40" s="312">
        <f t="shared" si="10"/>
        <v>1760</v>
      </c>
      <c r="F40" s="317">
        <f t="shared" si="11"/>
        <v>70986.666666666672</v>
      </c>
    </row>
    <row r="41" spans="1:6" x14ac:dyDescent="0.2">
      <c r="A41" s="315">
        <v>80</v>
      </c>
      <c r="B41" s="312">
        <v>24</v>
      </c>
      <c r="C41" s="312" t="str">
        <f t="shared" si="0"/>
        <v>80x24</v>
      </c>
      <c r="D41" s="316">
        <f t="shared" si="1"/>
        <v>4.8</v>
      </c>
      <c r="E41" s="312">
        <f t="shared" si="10"/>
        <v>1920</v>
      </c>
      <c r="F41" s="317">
        <f t="shared" si="11"/>
        <v>92160</v>
      </c>
    </row>
    <row r="42" spans="1:6" x14ac:dyDescent="0.2">
      <c r="A42" s="315">
        <v>80</v>
      </c>
      <c r="B42" s="312">
        <v>25</v>
      </c>
      <c r="C42" s="312" t="str">
        <f t="shared" si="0"/>
        <v>80x25</v>
      </c>
      <c r="D42" s="316">
        <f t="shared" si="1"/>
        <v>5</v>
      </c>
      <c r="E42" s="312">
        <f t="shared" si="10"/>
        <v>2000</v>
      </c>
      <c r="F42" s="317">
        <f t="shared" si="11"/>
        <v>104166.66666666667</v>
      </c>
    </row>
    <row r="43" spans="1:6" x14ac:dyDescent="0.2">
      <c r="A43" s="315">
        <v>80</v>
      </c>
      <c r="B43" s="312">
        <v>26</v>
      </c>
      <c r="C43" s="312" t="str">
        <f t="shared" si="0"/>
        <v>80x26</v>
      </c>
      <c r="D43" s="316">
        <f t="shared" si="1"/>
        <v>5.2</v>
      </c>
      <c r="E43" s="312">
        <f t="shared" si="10"/>
        <v>2080</v>
      </c>
      <c r="F43" s="317">
        <f t="shared" si="11"/>
        <v>117173.33333333333</v>
      </c>
    </row>
    <row r="44" spans="1:6" x14ac:dyDescent="0.2">
      <c r="A44" s="315">
        <v>80</v>
      </c>
      <c r="B44" s="312">
        <v>28</v>
      </c>
      <c r="C44" s="312" t="str">
        <f t="shared" si="0"/>
        <v>80x28</v>
      </c>
      <c r="D44" s="316">
        <f t="shared" si="1"/>
        <v>5.6000000000000005</v>
      </c>
      <c r="E44" s="312">
        <f t="shared" si="10"/>
        <v>2240</v>
      </c>
      <c r="F44" s="317">
        <f t="shared" si="11"/>
        <v>146346.66666666666</v>
      </c>
    </row>
    <row r="45" spans="1:6" x14ac:dyDescent="0.2">
      <c r="A45" s="315">
        <v>80</v>
      </c>
      <c r="B45" s="312">
        <v>30</v>
      </c>
      <c r="C45" s="312" t="str">
        <f t="shared" si="0"/>
        <v>80x30</v>
      </c>
      <c r="D45" s="316">
        <f t="shared" si="1"/>
        <v>6</v>
      </c>
      <c r="E45" s="312">
        <f t="shared" si="10"/>
        <v>2400</v>
      </c>
      <c r="F45" s="317">
        <f t="shared" si="11"/>
        <v>180000</v>
      </c>
    </row>
    <row r="46" spans="1:6" x14ac:dyDescent="0.2">
      <c r="A46" s="315">
        <v>90</v>
      </c>
      <c r="B46" s="312">
        <v>16</v>
      </c>
      <c r="C46" s="312" t="str">
        <f t="shared" si="0"/>
        <v>90x16</v>
      </c>
      <c r="D46" s="316">
        <f t="shared" si="1"/>
        <v>3.5999999999999996</v>
      </c>
      <c r="E46" s="312">
        <f t="shared" si="10"/>
        <v>1440</v>
      </c>
      <c r="F46" s="317">
        <f t="shared" si="11"/>
        <v>30720</v>
      </c>
    </row>
    <row r="47" spans="1:6" x14ac:dyDescent="0.2">
      <c r="A47" s="315">
        <v>90</v>
      </c>
      <c r="B47" s="312">
        <v>18</v>
      </c>
      <c r="C47" s="312" t="str">
        <f t="shared" si="0"/>
        <v>90x18</v>
      </c>
      <c r="D47" s="316">
        <f t="shared" si="1"/>
        <v>4.05</v>
      </c>
      <c r="E47" s="312">
        <f t="shared" ref="E47:E54" si="12">A47*B47</f>
        <v>1620</v>
      </c>
      <c r="F47" s="317">
        <f t="shared" ref="F47:F54" si="13">A47*B47^3/12</f>
        <v>43740</v>
      </c>
    </row>
    <row r="48" spans="1:6" x14ac:dyDescent="0.2">
      <c r="A48" s="315">
        <v>90</v>
      </c>
      <c r="B48" s="312">
        <v>20</v>
      </c>
      <c r="C48" s="312" t="str">
        <f t="shared" si="0"/>
        <v>90x20</v>
      </c>
      <c r="D48" s="316">
        <f t="shared" si="1"/>
        <v>4.5</v>
      </c>
      <c r="E48" s="312">
        <f t="shared" si="12"/>
        <v>1800</v>
      </c>
      <c r="F48" s="317">
        <f t="shared" si="13"/>
        <v>60000</v>
      </c>
    </row>
    <row r="49" spans="1:6" x14ac:dyDescent="0.2">
      <c r="A49" s="315">
        <v>90</v>
      </c>
      <c r="B49" s="312">
        <v>22</v>
      </c>
      <c r="C49" s="312" t="str">
        <f t="shared" si="0"/>
        <v>90x22</v>
      </c>
      <c r="D49" s="316">
        <f t="shared" si="1"/>
        <v>4.95</v>
      </c>
      <c r="E49" s="312">
        <f t="shared" si="12"/>
        <v>1980</v>
      </c>
      <c r="F49" s="317">
        <f t="shared" si="13"/>
        <v>79860</v>
      </c>
    </row>
    <row r="50" spans="1:6" x14ac:dyDescent="0.2">
      <c r="A50" s="315">
        <v>90</v>
      </c>
      <c r="B50" s="312">
        <v>24</v>
      </c>
      <c r="C50" s="312" t="str">
        <f t="shared" si="0"/>
        <v>90x24</v>
      </c>
      <c r="D50" s="316">
        <f t="shared" si="1"/>
        <v>5.4</v>
      </c>
      <c r="E50" s="312">
        <f t="shared" si="12"/>
        <v>2160</v>
      </c>
      <c r="F50" s="317">
        <f t="shared" si="13"/>
        <v>103680</v>
      </c>
    </row>
    <row r="51" spans="1:6" x14ac:dyDescent="0.2">
      <c r="A51" s="315">
        <v>90</v>
      </c>
      <c r="B51" s="312">
        <v>25</v>
      </c>
      <c r="C51" s="312" t="str">
        <f t="shared" si="0"/>
        <v>90x25</v>
      </c>
      <c r="D51" s="316">
        <f t="shared" si="1"/>
        <v>5.625</v>
      </c>
      <c r="E51" s="312">
        <f t="shared" si="12"/>
        <v>2250</v>
      </c>
      <c r="F51" s="317">
        <f t="shared" si="13"/>
        <v>117187.5</v>
      </c>
    </row>
    <row r="52" spans="1:6" x14ac:dyDescent="0.2">
      <c r="A52" s="315">
        <v>90</v>
      </c>
      <c r="B52" s="312">
        <v>26</v>
      </c>
      <c r="C52" s="312" t="str">
        <f t="shared" si="0"/>
        <v>90x26</v>
      </c>
      <c r="D52" s="316">
        <f t="shared" si="1"/>
        <v>5.8500000000000005</v>
      </c>
      <c r="E52" s="312">
        <f t="shared" si="12"/>
        <v>2340</v>
      </c>
      <c r="F52" s="317">
        <f t="shared" si="13"/>
        <v>131820</v>
      </c>
    </row>
    <row r="53" spans="1:6" x14ac:dyDescent="0.2">
      <c r="A53" s="315">
        <v>90</v>
      </c>
      <c r="B53" s="312">
        <v>28</v>
      </c>
      <c r="C53" s="312" t="str">
        <f t="shared" si="0"/>
        <v>90x28</v>
      </c>
      <c r="D53" s="316">
        <f t="shared" si="1"/>
        <v>6.3</v>
      </c>
      <c r="E53" s="312">
        <f t="shared" si="12"/>
        <v>2520</v>
      </c>
      <c r="F53" s="317">
        <f t="shared" si="13"/>
        <v>164640</v>
      </c>
    </row>
    <row r="54" spans="1:6" x14ac:dyDescent="0.2">
      <c r="A54" s="315">
        <v>90</v>
      </c>
      <c r="B54" s="312">
        <v>30</v>
      </c>
      <c r="C54" s="312" t="str">
        <f t="shared" si="0"/>
        <v>90x30</v>
      </c>
      <c r="D54" s="316">
        <f t="shared" si="1"/>
        <v>6.75</v>
      </c>
      <c r="E54" s="312">
        <f t="shared" si="12"/>
        <v>2700</v>
      </c>
      <c r="F54" s="317">
        <f t="shared" si="13"/>
        <v>202500</v>
      </c>
    </row>
    <row r="55" spans="1:6" x14ac:dyDescent="0.2">
      <c r="A55" s="315">
        <v>100</v>
      </c>
      <c r="B55" s="312">
        <v>16</v>
      </c>
      <c r="C55" s="312" t="str">
        <f t="shared" si="0"/>
        <v>100x16</v>
      </c>
      <c r="D55" s="316">
        <f t="shared" si="1"/>
        <v>4</v>
      </c>
      <c r="E55" s="312">
        <f t="shared" ref="E55:E63" si="14">A55*B55</f>
        <v>1600</v>
      </c>
      <c r="F55" s="317">
        <f t="shared" ref="F55:F63" si="15">A55*B55^3/12</f>
        <v>34133.333333333336</v>
      </c>
    </row>
    <row r="56" spans="1:6" x14ac:dyDescent="0.2">
      <c r="A56" s="315">
        <v>100</v>
      </c>
      <c r="B56" s="312">
        <v>18</v>
      </c>
      <c r="C56" s="312" t="str">
        <f t="shared" si="0"/>
        <v>100x18</v>
      </c>
      <c r="D56" s="316">
        <f t="shared" si="1"/>
        <v>4.5</v>
      </c>
      <c r="E56" s="312">
        <f t="shared" si="14"/>
        <v>1800</v>
      </c>
      <c r="F56" s="317">
        <f t="shared" si="15"/>
        <v>48600</v>
      </c>
    </row>
    <row r="57" spans="1:6" x14ac:dyDescent="0.2">
      <c r="A57" s="315">
        <v>100</v>
      </c>
      <c r="B57" s="312">
        <v>20</v>
      </c>
      <c r="C57" s="312" t="str">
        <f t="shared" si="0"/>
        <v>100x20</v>
      </c>
      <c r="D57" s="316">
        <f t="shared" si="1"/>
        <v>5</v>
      </c>
      <c r="E57" s="312">
        <f t="shared" si="14"/>
        <v>2000</v>
      </c>
      <c r="F57" s="317">
        <f t="shared" si="15"/>
        <v>66666.666666666672</v>
      </c>
    </row>
    <row r="58" spans="1:6" x14ac:dyDescent="0.2">
      <c r="A58" s="315">
        <v>100</v>
      </c>
      <c r="B58" s="312">
        <v>22</v>
      </c>
      <c r="C58" s="312" t="str">
        <f t="shared" si="0"/>
        <v>100x22</v>
      </c>
      <c r="D58" s="316">
        <f t="shared" si="1"/>
        <v>5.5</v>
      </c>
      <c r="E58" s="312">
        <f t="shared" si="14"/>
        <v>2200</v>
      </c>
      <c r="F58" s="317">
        <f t="shared" si="15"/>
        <v>88733.333333333328</v>
      </c>
    </row>
    <row r="59" spans="1:6" x14ac:dyDescent="0.2">
      <c r="A59" s="315">
        <v>100</v>
      </c>
      <c r="B59" s="312">
        <v>24</v>
      </c>
      <c r="C59" s="312" t="str">
        <f t="shared" si="0"/>
        <v>100x24</v>
      </c>
      <c r="D59" s="316">
        <f t="shared" si="1"/>
        <v>6</v>
      </c>
      <c r="E59" s="312">
        <f t="shared" si="14"/>
        <v>2400</v>
      </c>
      <c r="F59" s="317">
        <f t="shared" si="15"/>
        <v>115200</v>
      </c>
    </row>
    <row r="60" spans="1:6" x14ac:dyDescent="0.2">
      <c r="A60" s="315">
        <v>100</v>
      </c>
      <c r="B60" s="312">
        <v>25</v>
      </c>
      <c r="C60" s="312" t="str">
        <f t="shared" si="0"/>
        <v>100x25</v>
      </c>
      <c r="D60" s="316">
        <f t="shared" si="1"/>
        <v>6.25</v>
      </c>
      <c r="E60" s="312">
        <f t="shared" si="14"/>
        <v>2500</v>
      </c>
      <c r="F60" s="317">
        <f t="shared" si="15"/>
        <v>130208.33333333333</v>
      </c>
    </row>
    <row r="61" spans="1:6" x14ac:dyDescent="0.2">
      <c r="A61" s="315">
        <v>100</v>
      </c>
      <c r="B61" s="312">
        <v>26</v>
      </c>
      <c r="C61" s="312" t="str">
        <f t="shared" si="0"/>
        <v>100x26</v>
      </c>
      <c r="D61" s="316">
        <f t="shared" si="1"/>
        <v>6.5</v>
      </c>
      <c r="E61" s="312">
        <f t="shared" si="14"/>
        <v>2600</v>
      </c>
      <c r="F61" s="317">
        <f t="shared" si="15"/>
        <v>146466.66666666666</v>
      </c>
    </row>
    <row r="62" spans="1:6" x14ac:dyDescent="0.2">
      <c r="A62" s="315">
        <v>100</v>
      </c>
      <c r="B62" s="312">
        <v>28</v>
      </c>
      <c r="C62" s="312" t="str">
        <f t="shared" si="0"/>
        <v>100x28</v>
      </c>
      <c r="D62" s="316">
        <f t="shared" si="1"/>
        <v>7.0000000000000009</v>
      </c>
      <c r="E62" s="312">
        <f t="shared" si="14"/>
        <v>2800</v>
      </c>
      <c r="F62" s="317">
        <f t="shared" si="15"/>
        <v>182933.33333333334</v>
      </c>
    </row>
    <row r="63" spans="1:6" x14ac:dyDescent="0.2">
      <c r="A63" s="315">
        <v>100</v>
      </c>
      <c r="B63" s="312">
        <v>30</v>
      </c>
      <c r="C63" s="312" t="str">
        <f t="shared" si="0"/>
        <v>100x30</v>
      </c>
      <c r="D63" s="316">
        <f t="shared" si="1"/>
        <v>7.5</v>
      </c>
      <c r="E63" s="312">
        <f t="shared" si="14"/>
        <v>3000</v>
      </c>
      <c r="F63" s="317">
        <f t="shared" si="15"/>
        <v>225000</v>
      </c>
    </row>
    <row r="64" spans="1:6" x14ac:dyDescent="0.2">
      <c r="A64" s="315">
        <v>100</v>
      </c>
      <c r="B64" s="312">
        <v>16</v>
      </c>
      <c r="C64" s="312" t="str">
        <f t="shared" si="0"/>
        <v>100x16</v>
      </c>
      <c r="D64" s="316">
        <f t="shared" si="1"/>
        <v>4</v>
      </c>
      <c r="E64" s="312">
        <f t="shared" ref="E64:E72" si="16">A64*B64</f>
        <v>1600</v>
      </c>
      <c r="F64" s="317">
        <f t="shared" ref="F64:F72" si="17">A64*B64^3/12</f>
        <v>34133.333333333336</v>
      </c>
    </row>
    <row r="65" spans="1:6" x14ac:dyDescent="0.2">
      <c r="A65" s="315">
        <v>100</v>
      </c>
      <c r="B65" s="312">
        <v>18</v>
      </c>
      <c r="C65" s="312" t="str">
        <f t="shared" si="0"/>
        <v>100x18</v>
      </c>
      <c r="D65" s="316">
        <f t="shared" si="1"/>
        <v>4.5</v>
      </c>
      <c r="E65" s="312">
        <f t="shared" si="16"/>
        <v>1800</v>
      </c>
      <c r="F65" s="317">
        <f t="shared" si="17"/>
        <v>48600</v>
      </c>
    </row>
    <row r="66" spans="1:6" x14ac:dyDescent="0.2">
      <c r="A66" s="315">
        <v>100</v>
      </c>
      <c r="B66" s="312">
        <v>20</v>
      </c>
      <c r="C66" s="312" t="str">
        <f t="shared" si="0"/>
        <v>100x20</v>
      </c>
      <c r="D66" s="316">
        <f t="shared" si="1"/>
        <v>5</v>
      </c>
      <c r="E66" s="312">
        <f t="shared" si="16"/>
        <v>2000</v>
      </c>
      <c r="F66" s="317">
        <f t="shared" si="17"/>
        <v>66666.666666666672</v>
      </c>
    </row>
    <row r="67" spans="1:6" x14ac:dyDescent="0.2">
      <c r="A67" s="315">
        <v>100</v>
      </c>
      <c r="B67" s="312">
        <v>22</v>
      </c>
      <c r="C67" s="312" t="str">
        <f t="shared" si="0"/>
        <v>100x22</v>
      </c>
      <c r="D67" s="316">
        <f t="shared" si="1"/>
        <v>5.5</v>
      </c>
      <c r="E67" s="312">
        <f t="shared" si="16"/>
        <v>2200</v>
      </c>
      <c r="F67" s="317">
        <f t="shared" si="17"/>
        <v>88733.333333333328</v>
      </c>
    </row>
    <row r="68" spans="1:6" x14ac:dyDescent="0.2">
      <c r="A68" s="315">
        <v>100</v>
      </c>
      <c r="B68" s="312">
        <v>24</v>
      </c>
      <c r="C68" s="312" t="str">
        <f t="shared" si="0"/>
        <v>100x24</v>
      </c>
      <c r="D68" s="316">
        <f t="shared" si="1"/>
        <v>6</v>
      </c>
      <c r="E68" s="312">
        <f t="shared" si="16"/>
        <v>2400</v>
      </c>
      <c r="F68" s="317">
        <f t="shared" si="17"/>
        <v>115200</v>
      </c>
    </row>
    <row r="69" spans="1:6" x14ac:dyDescent="0.2">
      <c r="A69" s="315">
        <v>100</v>
      </c>
      <c r="B69" s="312">
        <v>25</v>
      </c>
      <c r="C69" s="312" t="str">
        <f t="shared" ref="C69:C111" si="18">CONCATENATE(A69,"x",B69)</f>
        <v>100x25</v>
      </c>
      <c r="D69" s="316">
        <f t="shared" ref="D69:D111" si="19">(E69/10000)*25</f>
        <v>6.25</v>
      </c>
      <c r="E69" s="312">
        <f t="shared" si="16"/>
        <v>2500</v>
      </c>
      <c r="F69" s="317">
        <f t="shared" si="17"/>
        <v>130208.33333333333</v>
      </c>
    </row>
    <row r="70" spans="1:6" x14ac:dyDescent="0.2">
      <c r="A70" s="315">
        <v>100</v>
      </c>
      <c r="B70" s="312">
        <v>26</v>
      </c>
      <c r="C70" s="312" t="str">
        <f t="shared" si="18"/>
        <v>100x26</v>
      </c>
      <c r="D70" s="316">
        <f t="shared" si="19"/>
        <v>6.5</v>
      </c>
      <c r="E70" s="312">
        <f t="shared" si="16"/>
        <v>2600</v>
      </c>
      <c r="F70" s="317">
        <f t="shared" si="17"/>
        <v>146466.66666666666</v>
      </c>
    </row>
    <row r="71" spans="1:6" x14ac:dyDescent="0.2">
      <c r="A71" s="315">
        <v>100</v>
      </c>
      <c r="B71" s="312">
        <v>28</v>
      </c>
      <c r="C71" s="312" t="str">
        <f t="shared" si="18"/>
        <v>100x28</v>
      </c>
      <c r="D71" s="316">
        <f t="shared" si="19"/>
        <v>7.0000000000000009</v>
      </c>
      <c r="E71" s="312">
        <f t="shared" si="16"/>
        <v>2800</v>
      </c>
      <c r="F71" s="317">
        <f t="shared" si="17"/>
        <v>182933.33333333334</v>
      </c>
    </row>
    <row r="72" spans="1:6" x14ac:dyDescent="0.2">
      <c r="A72" s="315">
        <v>100</v>
      </c>
      <c r="B72" s="312">
        <v>30</v>
      </c>
      <c r="C72" s="312" t="str">
        <f t="shared" si="18"/>
        <v>100x30</v>
      </c>
      <c r="D72" s="316">
        <f t="shared" si="19"/>
        <v>7.5</v>
      </c>
      <c r="E72" s="312">
        <f t="shared" si="16"/>
        <v>3000</v>
      </c>
      <c r="F72" s="317">
        <f t="shared" si="17"/>
        <v>225000</v>
      </c>
    </row>
    <row r="73" spans="1:6" x14ac:dyDescent="0.2">
      <c r="A73" s="315">
        <v>110</v>
      </c>
      <c r="B73" s="312">
        <v>16</v>
      </c>
      <c r="C73" s="312" t="str">
        <f t="shared" si="18"/>
        <v>110x16</v>
      </c>
      <c r="D73" s="316">
        <f t="shared" si="19"/>
        <v>4.3999999999999995</v>
      </c>
      <c r="E73" s="312">
        <f t="shared" ref="E73:E81" si="20">A73*B73</f>
        <v>1760</v>
      </c>
      <c r="F73" s="317">
        <f t="shared" ref="F73:F81" si="21">A73*B73^3/12</f>
        <v>37546.666666666664</v>
      </c>
    </row>
    <row r="74" spans="1:6" x14ac:dyDescent="0.2">
      <c r="A74" s="315">
        <v>110</v>
      </c>
      <c r="B74" s="312">
        <v>18</v>
      </c>
      <c r="C74" s="312" t="str">
        <f t="shared" si="18"/>
        <v>110x18</v>
      </c>
      <c r="D74" s="316">
        <f t="shared" si="19"/>
        <v>4.95</v>
      </c>
      <c r="E74" s="312">
        <f t="shared" si="20"/>
        <v>1980</v>
      </c>
      <c r="F74" s="317">
        <f t="shared" si="21"/>
        <v>53460</v>
      </c>
    </row>
    <row r="75" spans="1:6" x14ac:dyDescent="0.2">
      <c r="A75" s="315">
        <v>110</v>
      </c>
      <c r="B75" s="312">
        <v>20</v>
      </c>
      <c r="C75" s="312" t="str">
        <f t="shared" si="18"/>
        <v>110x20</v>
      </c>
      <c r="D75" s="316">
        <f t="shared" si="19"/>
        <v>5.5</v>
      </c>
      <c r="E75" s="312">
        <f t="shared" si="20"/>
        <v>2200</v>
      </c>
      <c r="F75" s="317">
        <f t="shared" si="21"/>
        <v>73333.333333333328</v>
      </c>
    </row>
    <row r="76" spans="1:6" x14ac:dyDescent="0.2">
      <c r="A76" s="315">
        <v>110</v>
      </c>
      <c r="B76" s="312">
        <v>22</v>
      </c>
      <c r="C76" s="312" t="str">
        <f t="shared" si="18"/>
        <v>110x22</v>
      </c>
      <c r="D76" s="316">
        <f t="shared" si="19"/>
        <v>6.05</v>
      </c>
      <c r="E76" s="312">
        <f t="shared" si="20"/>
        <v>2420</v>
      </c>
      <c r="F76" s="317">
        <f t="shared" si="21"/>
        <v>97606.666666666672</v>
      </c>
    </row>
    <row r="77" spans="1:6" x14ac:dyDescent="0.2">
      <c r="A77" s="315">
        <v>110</v>
      </c>
      <c r="B77" s="312">
        <v>24</v>
      </c>
      <c r="C77" s="312" t="str">
        <f t="shared" si="18"/>
        <v>110x24</v>
      </c>
      <c r="D77" s="316">
        <f t="shared" si="19"/>
        <v>6.6000000000000005</v>
      </c>
      <c r="E77" s="312">
        <f t="shared" si="20"/>
        <v>2640</v>
      </c>
      <c r="F77" s="317">
        <f t="shared" si="21"/>
        <v>126720</v>
      </c>
    </row>
    <row r="78" spans="1:6" x14ac:dyDescent="0.2">
      <c r="A78" s="315">
        <v>110</v>
      </c>
      <c r="B78" s="312">
        <v>25</v>
      </c>
      <c r="C78" s="312" t="str">
        <f t="shared" si="18"/>
        <v>110x25</v>
      </c>
      <c r="D78" s="316">
        <f t="shared" si="19"/>
        <v>6.8750000000000009</v>
      </c>
      <c r="E78" s="312">
        <f t="shared" si="20"/>
        <v>2750</v>
      </c>
      <c r="F78" s="317">
        <f t="shared" si="21"/>
        <v>143229.16666666666</v>
      </c>
    </row>
    <row r="79" spans="1:6" x14ac:dyDescent="0.2">
      <c r="A79" s="315">
        <v>110</v>
      </c>
      <c r="B79" s="312">
        <v>26</v>
      </c>
      <c r="C79" s="312" t="str">
        <f t="shared" si="18"/>
        <v>110x26</v>
      </c>
      <c r="D79" s="316">
        <f t="shared" si="19"/>
        <v>7.1499999999999995</v>
      </c>
      <c r="E79" s="312">
        <f t="shared" si="20"/>
        <v>2860</v>
      </c>
      <c r="F79" s="317">
        <f t="shared" si="21"/>
        <v>161113.33333333334</v>
      </c>
    </row>
    <row r="80" spans="1:6" x14ac:dyDescent="0.2">
      <c r="A80" s="315">
        <v>110</v>
      </c>
      <c r="B80" s="312">
        <v>28</v>
      </c>
      <c r="C80" s="312" t="str">
        <f t="shared" si="18"/>
        <v>110x28</v>
      </c>
      <c r="D80" s="316">
        <f t="shared" si="19"/>
        <v>7.7</v>
      </c>
      <c r="E80" s="312">
        <f t="shared" si="20"/>
        <v>3080</v>
      </c>
      <c r="F80" s="317">
        <f t="shared" si="21"/>
        <v>201226.66666666666</v>
      </c>
    </row>
    <row r="81" spans="1:6" x14ac:dyDescent="0.2">
      <c r="A81" s="315">
        <v>110</v>
      </c>
      <c r="B81" s="312">
        <v>30</v>
      </c>
      <c r="C81" s="312" t="str">
        <f t="shared" si="18"/>
        <v>110x30</v>
      </c>
      <c r="D81" s="316">
        <f t="shared" si="19"/>
        <v>8.25</v>
      </c>
      <c r="E81" s="312">
        <f t="shared" si="20"/>
        <v>3300</v>
      </c>
      <c r="F81" s="317">
        <f t="shared" si="21"/>
        <v>247500</v>
      </c>
    </row>
    <row r="82" spans="1:6" x14ac:dyDescent="0.2">
      <c r="A82" s="315">
        <v>120</v>
      </c>
      <c r="B82" s="312">
        <v>16</v>
      </c>
      <c r="C82" s="312" t="str">
        <f t="shared" si="18"/>
        <v>120x16</v>
      </c>
      <c r="D82" s="316">
        <f t="shared" si="19"/>
        <v>4.8</v>
      </c>
      <c r="E82" s="312">
        <f t="shared" ref="E82:E111" si="22">A82*B82</f>
        <v>1920</v>
      </c>
      <c r="F82" s="317">
        <f t="shared" ref="F82:F111" si="23">A82*B82^3/12</f>
        <v>40960</v>
      </c>
    </row>
    <row r="83" spans="1:6" x14ac:dyDescent="0.2">
      <c r="A83" s="315">
        <v>120</v>
      </c>
      <c r="B83" s="312">
        <v>18</v>
      </c>
      <c r="C83" s="312" t="str">
        <f t="shared" si="18"/>
        <v>120x18</v>
      </c>
      <c r="D83" s="316">
        <f t="shared" si="19"/>
        <v>5.4</v>
      </c>
      <c r="E83" s="312">
        <f t="shared" si="22"/>
        <v>2160</v>
      </c>
      <c r="F83" s="317">
        <f t="shared" si="23"/>
        <v>58320</v>
      </c>
    </row>
    <row r="84" spans="1:6" x14ac:dyDescent="0.2">
      <c r="A84" s="315">
        <v>120</v>
      </c>
      <c r="B84" s="312">
        <v>20</v>
      </c>
      <c r="C84" s="312" t="str">
        <f t="shared" si="18"/>
        <v>120x20</v>
      </c>
      <c r="D84" s="316">
        <f t="shared" si="19"/>
        <v>6</v>
      </c>
      <c r="E84" s="312">
        <f t="shared" si="22"/>
        <v>2400</v>
      </c>
      <c r="F84" s="317">
        <f t="shared" si="23"/>
        <v>80000</v>
      </c>
    </row>
    <row r="85" spans="1:6" x14ac:dyDescent="0.2">
      <c r="A85" s="315">
        <v>120</v>
      </c>
      <c r="B85" s="312">
        <v>22</v>
      </c>
      <c r="C85" s="312" t="str">
        <f t="shared" si="18"/>
        <v>120x22</v>
      </c>
      <c r="D85" s="316">
        <f t="shared" si="19"/>
        <v>6.6000000000000005</v>
      </c>
      <c r="E85" s="312">
        <f t="shared" si="22"/>
        <v>2640</v>
      </c>
      <c r="F85" s="317">
        <f t="shared" si="23"/>
        <v>106480</v>
      </c>
    </row>
    <row r="86" spans="1:6" x14ac:dyDescent="0.2">
      <c r="A86" s="315">
        <v>120</v>
      </c>
      <c r="B86" s="312">
        <v>24</v>
      </c>
      <c r="C86" s="312" t="str">
        <f t="shared" si="18"/>
        <v>120x24</v>
      </c>
      <c r="D86" s="316">
        <f t="shared" si="19"/>
        <v>7.1999999999999993</v>
      </c>
      <c r="E86" s="312">
        <f t="shared" si="22"/>
        <v>2880</v>
      </c>
      <c r="F86" s="317">
        <f t="shared" si="23"/>
        <v>138240</v>
      </c>
    </row>
    <row r="87" spans="1:6" x14ac:dyDescent="0.2">
      <c r="A87" s="315">
        <v>120</v>
      </c>
      <c r="B87" s="312">
        <v>25</v>
      </c>
      <c r="C87" s="312" t="str">
        <f t="shared" si="18"/>
        <v>120x25</v>
      </c>
      <c r="D87" s="316">
        <f t="shared" si="19"/>
        <v>7.5</v>
      </c>
      <c r="E87" s="312">
        <f t="shared" si="22"/>
        <v>3000</v>
      </c>
      <c r="F87" s="317">
        <f t="shared" si="23"/>
        <v>156250</v>
      </c>
    </row>
    <row r="88" spans="1:6" x14ac:dyDescent="0.2">
      <c r="A88" s="315">
        <v>120</v>
      </c>
      <c r="B88" s="312">
        <v>26</v>
      </c>
      <c r="C88" s="312" t="str">
        <f t="shared" si="18"/>
        <v>120x26</v>
      </c>
      <c r="D88" s="316">
        <f t="shared" si="19"/>
        <v>7.8</v>
      </c>
      <c r="E88" s="312">
        <f t="shared" si="22"/>
        <v>3120</v>
      </c>
      <c r="F88" s="317">
        <f t="shared" si="23"/>
        <v>175760</v>
      </c>
    </row>
    <row r="89" spans="1:6" x14ac:dyDescent="0.2">
      <c r="A89" s="315">
        <v>120</v>
      </c>
      <c r="B89" s="312">
        <v>28</v>
      </c>
      <c r="C89" s="312" t="str">
        <f t="shared" si="18"/>
        <v>120x28</v>
      </c>
      <c r="D89" s="316">
        <f t="shared" si="19"/>
        <v>8.4</v>
      </c>
      <c r="E89" s="312">
        <f t="shared" si="22"/>
        <v>3360</v>
      </c>
      <c r="F89" s="317">
        <f t="shared" si="23"/>
        <v>219520</v>
      </c>
    </row>
    <row r="90" spans="1:6" x14ac:dyDescent="0.2">
      <c r="A90" s="315">
        <v>120</v>
      </c>
      <c r="B90" s="312">
        <v>30</v>
      </c>
      <c r="C90" s="312" t="str">
        <f t="shared" si="18"/>
        <v>120x30</v>
      </c>
      <c r="D90" s="316">
        <f t="shared" si="19"/>
        <v>9</v>
      </c>
      <c r="E90" s="312">
        <f t="shared" si="22"/>
        <v>3600</v>
      </c>
      <c r="F90" s="317">
        <f t="shared" si="23"/>
        <v>270000</v>
      </c>
    </row>
    <row r="91" spans="1:6" x14ac:dyDescent="0.2">
      <c r="A91" s="315">
        <v>15</v>
      </c>
      <c r="B91" s="312">
        <v>15</v>
      </c>
      <c r="C91" s="312" t="str">
        <f t="shared" si="18"/>
        <v>15x15</v>
      </c>
      <c r="D91" s="316">
        <f t="shared" si="19"/>
        <v>0.5625</v>
      </c>
      <c r="E91" s="312">
        <f t="shared" si="22"/>
        <v>225</v>
      </c>
      <c r="F91" s="317">
        <f t="shared" si="23"/>
        <v>4218.75</v>
      </c>
    </row>
    <row r="92" spans="1:6" x14ac:dyDescent="0.2">
      <c r="A92" s="315">
        <v>30</v>
      </c>
      <c r="B92" s="312">
        <v>90</v>
      </c>
      <c r="C92" s="312" t="str">
        <f t="shared" si="18"/>
        <v>30x90</v>
      </c>
      <c r="D92" s="316">
        <f t="shared" si="19"/>
        <v>6.75</v>
      </c>
      <c r="E92" s="312">
        <f t="shared" si="22"/>
        <v>2700</v>
      </c>
      <c r="F92" s="317">
        <f t="shared" si="23"/>
        <v>1822500</v>
      </c>
    </row>
    <row r="93" spans="1:6" x14ac:dyDescent="0.2">
      <c r="A93" s="315">
        <v>35</v>
      </c>
      <c r="B93" s="312">
        <v>110</v>
      </c>
      <c r="C93" s="312" t="str">
        <f t="shared" si="18"/>
        <v>35x110</v>
      </c>
      <c r="D93" s="316">
        <f t="shared" si="19"/>
        <v>9.625</v>
      </c>
      <c r="E93" s="312">
        <f t="shared" si="22"/>
        <v>3850</v>
      </c>
      <c r="F93" s="317">
        <f t="shared" si="23"/>
        <v>3882083.3333333335</v>
      </c>
    </row>
    <row r="94" spans="1:6" x14ac:dyDescent="0.2">
      <c r="A94" s="320">
        <v>65</v>
      </c>
      <c r="B94" s="310">
        <v>21</v>
      </c>
      <c r="C94" s="312" t="str">
        <f t="shared" si="18"/>
        <v>65x21</v>
      </c>
      <c r="D94" s="316">
        <f t="shared" si="19"/>
        <v>3.4125000000000001</v>
      </c>
      <c r="E94" s="312">
        <f t="shared" si="22"/>
        <v>1365</v>
      </c>
      <c r="F94" s="317">
        <f t="shared" si="23"/>
        <v>50163.75</v>
      </c>
    </row>
    <row r="95" spans="1:6" x14ac:dyDescent="0.2">
      <c r="A95" s="320">
        <v>66</v>
      </c>
      <c r="B95" s="310">
        <v>19</v>
      </c>
      <c r="C95" s="312" t="str">
        <f t="shared" si="18"/>
        <v>66x19</v>
      </c>
      <c r="D95" s="316">
        <f t="shared" si="19"/>
        <v>3.1350000000000002</v>
      </c>
      <c r="E95" s="312">
        <f t="shared" si="22"/>
        <v>1254</v>
      </c>
      <c r="F95" s="317">
        <f t="shared" si="23"/>
        <v>37724.5</v>
      </c>
    </row>
    <row r="96" spans="1:6" x14ac:dyDescent="0.2">
      <c r="A96" s="320"/>
      <c r="B96" s="310"/>
      <c r="C96" s="312" t="str">
        <f t="shared" si="18"/>
        <v>x</v>
      </c>
      <c r="D96" s="316">
        <f t="shared" si="19"/>
        <v>0</v>
      </c>
      <c r="E96" s="312">
        <f t="shared" si="22"/>
        <v>0</v>
      </c>
      <c r="F96" s="317">
        <f t="shared" si="23"/>
        <v>0</v>
      </c>
    </row>
    <row r="97" spans="1:6" x14ac:dyDescent="0.2">
      <c r="A97" s="320"/>
      <c r="B97" s="310"/>
      <c r="C97" s="312" t="str">
        <f t="shared" si="18"/>
        <v>x</v>
      </c>
      <c r="D97" s="316">
        <f t="shared" si="19"/>
        <v>0</v>
      </c>
      <c r="E97" s="312">
        <f t="shared" si="22"/>
        <v>0</v>
      </c>
      <c r="F97" s="317">
        <f t="shared" si="23"/>
        <v>0</v>
      </c>
    </row>
    <row r="98" spans="1:6" x14ac:dyDescent="0.2">
      <c r="A98" s="320"/>
      <c r="B98" s="310"/>
      <c r="C98" s="312" t="str">
        <f t="shared" si="18"/>
        <v>x</v>
      </c>
      <c r="D98" s="316">
        <f t="shared" si="19"/>
        <v>0</v>
      </c>
      <c r="E98" s="312">
        <f t="shared" si="22"/>
        <v>0</v>
      </c>
      <c r="F98" s="317">
        <f t="shared" si="23"/>
        <v>0</v>
      </c>
    </row>
    <row r="99" spans="1:6" x14ac:dyDescent="0.2">
      <c r="A99" s="320"/>
      <c r="B99" s="310"/>
      <c r="C99" s="312" t="str">
        <f t="shared" si="18"/>
        <v>x</v>
      </c>
      <c r="D99" s="316">
        <f t="shared" si="19"/>
        <v>0</v>
      </c>
      <c r="E99" s="312">
        <f t="shared" si="22"/>
        <v>0</v>
      </c>
      <c r="F99" s="317">
        <f t="shared" si="23"/>
        <v>0</v>
      </c>
    </row>
    <row r="100" spans="1:6" x14ac:dyDescent="0.2">
      <c r="A100" s="320"/>
      <c r="B100" s="310"/>
      <c r="C100" s="312" t="str">
        <f t="shared" si="18"/>
        <v>x</v>
      </c>
      <c r="D100" s="316">
        <f t="shared" si="19"/>
        <v>0</v>
      </c>
      <c r="E100" s="312">
        <f t="shared" si="22"/>
        <v>0</v>
      </c>
      <c r="F100" s="317">
        <f t="shared" si="23"/>
        <v>0</v>
      </c>
    </row>
    <row r="101" spans="1:6" x14ac:dyDescent="0.2">
      <c r="A101" s="320"/>
      <c r="B101" s="310"/>
      <c r="C101" s="312" t="str">
        <f t="shared" si="18"/>
        <v>x</v>
      </c>
      <c r="D101" s="316">
        <f t="shared" si="19"/>
        <v>0</v>
      </c>
      <c r="E101" s="312">
        <f t="shared" si="22"/>
        <v>0</v>
      </c>
      <c r="F101" s="317">
        <f t="shared" si="23"/>
        <v>0</v>
      </c>
    </row>
    <row r="102" spans="1:6" x14ac:dyDescent="0.2">
      <c r="A102" s="320"/>
      <c r="B102" s="310"/>
      <c r="C102" s="312" t="str">
        <f t="shared" si="18"/>
        <v>x</v>
      </c>
      <c r="D102" s="316">
        <f t="shared" si="19"/>
        <v>0</v>
      </c>
      <c r="E102" s="312">
        <f t="shared" si="22"/>
        <v>0</v>
      </c>
      <c r="F102" s="317">
        <f t="shared" si="23"/>
        <v>0</v>
      </c>
    </row>
    <row r="103" spans="1:6" x14ac:dyDescent="0.2">
      <c r="A103" s="320"/>
      <c r="B103" s="310"/>
      <c r="C103" s="312" t="str">
        <f t="shared" si="18"/>
        <v>x</v>
      </c>
      <c r="D103" s="316">
        <f t="shared" si="19"/>
        <v>0</v>
      </c>
      <c r="E103" s="312">
        <f t="shared" si="22"/>
        <v>0</v>
      </c>
      <c r="F103" s="317">
        <f t="shared" si="23"/>
        <v>0</v>
      </c>
    </row>
    <row r="104" spans="1:6" x14ac:dyDescent="0.2">
      <c r="A104" s="320"/>
      <c r="B104" s="310"/>
      <c r="C104" s="312" t="str">
        <f t="shared" si="18"/>
        <v>x</v>
      </c>
      <c r="D104" s="316">
        <f t="shared" si="19"/>
        <v>0</v>
      </c>
      <c r="E104" s="312">
        <f t="shared" si="22"/>
        <v>0</v>
      </c>
      <c r="F104" s="317">
        <f t="shared" si="23"/>
        <v>0</v>
      </c>
    </row>
    <row r="105" spans="1:6" x14ac:dyDescent="0.2">
      <c r="A105" s="320"/>
      <c r="B105" s="310"/>
      <c r="C105" s="312" t="str">
        <f t="shared" si="18"/>
        <v>x</v>
      </c>
      <c r="D105" s="316">
        <f t="shared" si="19"/>
        <v>0</v>
      </c>
      <c r="E105" s="312">
        <f t="shared" si="22"/>
        <v>0</v>
      </c>
      <c r="F105" s="317">
        <f t="shared" si="23"/>
        <v>0</v>
      </c>
    </row>
    <row r="106" spans="1:6" x14ac:dyDescent="0.2">
      <c r="A106" s="320"/>
      <c r="B106" s="310"/>
      <c r="C106" s="312" t="str">
        <f t="shared" si="18"/>
        <v>x</v>
      </c>
      <c r="D106" s="316">
        <f t="shared" si="19"/>
        <v>0</v>
      </c>
      <c r="E106" s="312">
        <f t="shared" si="22"/>
        <v>0</v>
      </c>
      <c r="F106" s="317">
        <f t="shared" si="23"/>
        <v>0</v>
      </c>
    </row>
    <row r="107" spans="1:6" x14ac:dyDescent="0.2">
      <c r="A107" s="320"/>
      <c r="B107" s="310"/>
      <c r="C107" s="312" t="str">
        <f t="shared" si="18"/>
        <v>x</v>
      </c>
      <c r="D107" s="316">
        <f t="shared" si="19"/>
        <v>0</v>
      </c>
      <c r="E107" s="312">
        <f t="shared" si="22"/>
        <v>0</v>
      </c>
      <c r="F107" s="317">
        <f t="shared" si="23"/>
        <v>0</v>
      </c>
    </row>
    <row r="108" spans="1:6" x14ac:dyDescent="0.2">
      <c r="A108" s="320"/>
      <c r="B108" s="310"/>
      <c r="C108" s="312" t="str">
        <f t="shared" si="18"/>
        <v>x</v>
      </c>
      <c r="D108" s="316">
        <f t="shared" si="19"/>
        <v>0</v>
      </c>
      <c r="E108" s="312">
        <f t="shared" si="22"/>
        <v>0</v>
      </c>
      <c r="F108" s="317">
        <f t="shared" si="23"/>
        <v>0</v>
      </c>
    </row>
    <row r="109" spans="1:6" x14ac:dyDescent="0.2">
      <c r="A109" s="320"/>
      <c r="B109" s="310"/>
      <c r="C109" s="312" t="str">
        <f t="shared" si="18"/>
        <v>x</v>
      </c>
      <c r="D109" s="316">
        <f t="shared" si="19"/>
        <v>0</v>
      </c>
      <c r="E109" s="312">
        <f t="shared" si="22"/>
        <v>0</v>
      </c>
      <c r="F109" s="317">
        <f t="shared" si="23"/>
        <v>0</v>
      </c>
    </row>
    <row r="110" spans="1:6" x14ac:dyDescent="0.2">
      <c r="A110" s="320"/>
      <c r="B110" s="310"/>
      <c r="C110" s="312" t="str">
        <f t="shared" si="18"/>
        <v>x</v>
      </c>
      <c r="D110" s="316">
        <f t="shared" si="19"/>
        <v>0</v>
      </c>
      <c r="E110" s="312">
        <f t="shared" si="22"/>
        <v>0</v>
      </c>
      <c r="F110" s="317">
        <f t="shared" si="23"/>
        <v>0</v>
      </c>
    </row>
    <row r="111" spans="1:6" x14ac:dyDescent="0.2">
      <c r="A111" s="321"/>
      <c r="B111" s="322"/>
      <c r="C111" s="268" t="str">
        <f t="shared" si="18"/>
        <v>x</v>
      </c>
      <c r="D111" s="318">
        <f t="shared" si="19"/>
        <v>0</v>
      </c>
      <c r="E111" s="268">
        <f t="shared" si="22"/>
        <v>0</v>
      </c>
      <c r="F111" s="319">
        <f t="shared" si="23"/>
        <v>0</v>
      </c>
    </row>
    <row r="112" spans="1:6" x14ac:dyDescent="0.2">
      <c r="A112" s="123"/>
      <c r="B112" s="123"/>
      <c r="C112" s="323"/>
      <c r="D112" s="123"/>
      <c r="E112" s="123"/>
      <c r="F112" s="24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rnaduecampate">
                <anchor moveWithCells="1" sizeWithCells="1">
                  <from>
                    <xdr:col>8</xdr:col>
                    <xdr:colOff>457200</xdr:colOff>
                    <xdr:row>0</xdr:row>
                    <xdr:rowOff>9525</xdr:rowOff>
                  </from>
                  <to>
                    <xdr:col>10</xdr:col>
                    <xdr:colOff>495300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ornatrecampate">
                <anchor moveWithCells="1" sizeWithCells="1">
                  <from>
                    <xdr:col>10</xdr:col>
                    <xdr:colOff>523875</xdr:colOff>
                    <xdr:row>0</xdr:row>
                    <xdr:rowOff>9525</xdr:rowOff>
                  </from>
                  <to>
                    <xdr:col>12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ornaquattrocampate">
                <anchor moveWithCells="1" sizeWithCells="1">
                  <from>
                    <xdr:col>12</xdr:col>
                    <xdr:colOff>590550</xdr:colOff>
                    <xdr:row>0</xdr:row>
                    <xdr:rowOff>9525</xdr:rowOff>
                  </from>
                  <to>
                    <xdr:col>15</xdr:col>
                    <xdr:colOff>19050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ornaunacampata">
                <anchor moveWithCells="1" sizeWithCells="1">
                  <from>
                    <xdr:col>6</xdr:col>
                    <xdr:colOff>390525</xdr:colOff>
                    <xdr:row>0</xdr:row>
                    <xdr:rowOff>9525</xdr:rowOff>
                  </from>
                  <to>
                    <xdr:col>8</xdr:col>
                    <xdr:colOff>428625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31"/>
  <dimension ref="A1:J303"/>
  <sheetViews>
    <sheetView workbookViewId="0">
      <pane ySplit="3" topLeftCell="A4" activePane="bottomLeft" state="frozen"/>
      <selection pane="bottomLeft" activeCell="A303" sqref="A303"/>
    </sheetView>
  </sheetViews>
  <sheetFormatPr defaultColWidth="9.140625" defaultRowHeight="12" x14ac:dyDescent="0.2"/>
  <cols>
    <col min="1" max="1" width="14" style="1" customWidth="1"/>
    <col min="2" max="2" width="4.85546875" style="1" bestFit="1" customWidth="1"/>
    <col min="3" max="3" width="4.85546875" style="1" customWidth="1"/>
    <col min="4" max="4" width="6.42578125" style="1" bestFit="1" customWidth="1"/>
    <col min="5" max="5" width="6.5703125" style="1" bestFit="1" customWidth="1"/>
    <col min="6" max="8" width="5.7109375" style="1" bestFit="1" customWidth="1"/>
    <col min="9" max="9" width="10" style="1" bestFit="1" customWidth="1"/>
    <col min="10" max="10" width="4.85546875" style="1" bestFit="1" customWidth="1"/>
    <col min="11" max="16384" width="9.140625" style="1"/>
  </cols>
  <sheetData>
    <row r="1" spans="1:10" ht="12" customHeight="1" x14ac:dyDescent="0.2">
      <c r="A1" s="227" t="s">
        <v>125</v>
      </c>
      <c r="B1" s="228" t="s">
        <v>126</v>
      </c>
      <c r="C1" s="228" t="s">
        <v>126</v>
      </c>
      <c r="D1" s="228" t="s">
        <v>127</v>
      </c>
      <c r="E1" s="341" t="s">
        <v>128</v>
      </c>
      <c r="F1" s="342"/>
      <c r="G1" s="341" t="s">
        <v>129</v>
      </c>
      <c r="H1" s="342"/>
      <c r="I1" s="341" t="s">
        <v>130</v>
      </c>
      <c r="J1" s="343"/>
    </row>
    <row r="2" spans="1:10" ht="24" x14ac:dyDescent="0.2">
      <c r="A2" s="229" t="s">
        <v>131</v>
      </c>
      <c r="B2" s="213" t="s">
        <v>132</v>
      </c>
      <c r="C2" s="213" t="s">
        <v>446</v>
      </c>
      <c r="D2" s="213" t="s">
        <v>133</v>
      </c>
      <c r="E2" s="212" t="s">
        <v>134</v>
      </c>
      <c r="F2" s="212" t="s">
        <v>135</v>
      </c>
      <c r="G2" s="212" t="s">
        <v>136</v>
      </c>
      <c r="H2" s="212" t="s">
        <v>137</v>
      </c>
      <c r="I2" s="214" t="s">
        <v>138</v>
      </c>
      <c r="J2" s="230" t="s">
        <v>139</v>
      </c>
    </row>
    <row r="3" spans="1:10" x14ac:dyDescent="0.2">
      <c r="A3" s="231"/>
      <c r="B3" s="215"/>
      <c r="C3" s="215"/>
      <c r="D3" s="215"/>
      <c r="E3" s="216" t="s">
        <v>140</v>
      </c>
      <c r="F3" s="216" t="s">
        <v>140</v>
      </c>
      <c r="G3" s="216" t="s">
        <v>141</v>
      </c>
      <c r="H3" s="216" t="s">
        <v>141</v>
      </c>
      <c r="I3" s="216" t="s">
        <v>142</v>
      </c>
      <c r="J3" s="232" t="s">
        <v>142</v>
      </c>
    </row>
    <row r="4" spans="1:10" x14ac:dyDescent="0.2">
      <c r="A4" s="243" t="s">
        <v>124</v>
      </c>
      <c r="B4" s="244"/>
      <c r="C4" s="244"/>
      <c r="D4" s="244"/>
      <c r="E4" s="245"/>
      <c r="F4" s="245"/>
      <c r="G4" s="245"/>
      <c r="H4" s="245"/>
      <c r="I4" s="245"/>
      <c r="J4" s="246"/>
    </row>
    <row r="5" spans="1:10" x14ac:dyDescent="0.2">
      <c r="A5" s="233" t="s">
        <v>143</v>
      </c>
      <c r="B5" s="217">
        <v>6</v>
      </c>
      <c r="C5" s="217">
        <f>B5/100</f>
        <v>0.06</v>
      </c>
      <c r="D5" s="217">
        <v>7.64</v>
      </c>
      <c r="E5" s="217">
        <v>80.14</v>
      </c>
      <c r="F5" s="217">
        <v>8.49</v>
      </c>
      <c r="G5" s="217">
        <v>20.03</v>
      </c>
      <c r="H5" s="217">
        <v>3.69</v>
      </c>
      <c r="I5" s="217">
        <v>3.24</v>
      </c>
      <c r="J5" s="234">
        <v>1.05</v>
      </c>
    </row>
    <row r="6" spans="1:10" x14ac:dyDescent="0.2">
      <c r="A6" s="233" t="s">
        <v>144</v>
      </c>
      <c r="B6" s="217">
        <v>8.1</v>
      </c>
      <c r="C6" s="217">
        <f t="shared" ref="C6:C69" si="0">B6/100</f>
        <v>8.1000000000000003E-2</v>
      </c>
      <c r="D6" s="217">
        <v>10.32</v>
      </c>
      <c r="E6" s="217">
        <v>171</v>
      </c>
      <c r="F6" s="217">
        <v>15.92</v>
      </c>
      <c r="G6" s="217">
        <v>34.200000000000003</v>
      </c>
      <c r="H6" s="217">
        <v>5.79</v>
      </c>
      <c r="I6" s="217">
        <v>4.07</v>
      </c>
      <c r="J6" s="234">
        <v>1.24</v>
      </c>
    </row>
    <row r="7" spans="1:10" x14ac:dyDescent="0.2">
      <c r="A7" s="233" t="s">
        <v>145</v>
      </c>
      <c r="B7" s="217">
        <v>10.4</v>
      </c>
      <c r="C7" s="217">
        <f t="shared" si="0"/>
        <v>0.10400000000000001</v>
      </c>
      <c r="D7" s="217">
        <v>13.21</v>
      </c>
      <c r="E7" s="217">
        <v>317.8</v>
      </c>
      <c r="F7" s="217">
        <v>27.67</v>
      </c>
      <c r="G7" s="217">
        <v>52.96</v>
      </c>
      <c r="H7" s="217">
        <v>8.65</v>
      </c>
      <c r="I7" s="217">
        <v>4.9000000000000004</v>
      </c>
      <c r="J7" s="234">
        <v>1.45</v>
      </c>
    </row>
    <row r="8" spans="1:10" x14ac:dyDescent="0.2">
      <c r="A8" s="233" t="s">
        <v>146</v>
      </c>
      <c r="B8" s="217">
        <v>12.9</v>
      </c>
      <c r="C8" s="217">
        <f t="shared" si="0"/>
        <v>0.129</v>
      </c>
      <c r="D8" s="217">
        <v>16.43</v>
      </c>
      <c r="E8" s="217">
        <v>541.20000000000005</v>
      </c>
      <c r="F8" s="217">
        <v>44.92</v>
      </c>
      <c r="G8" s="217">
        <v>77.319999999999993</v>
      </c>
      <c r="H8" s="217">
        <v>12.31</v>
      </c>
      <c r="I8" s="217">
        <v>5.74</v>
      </c>
      <c r="J8" s="234">
        <v>1.65</v>
      </c>
    </row>
    <row r="9" spans="1:10" x14ac:dyDescent="0.2">
      <c r="A9" s="233" t="s">
        <v>147</v>
      </c>
      <c r="B9" s="217">
        <v>15.8</v>
      </c>
      <c r="C9" s="217">
        <f t="shared" si="0"/>
        <v>0.158</v>
      </c>
      <c r="D9" s="217">
        <v>20.09</v>
      </c>
      <c r="E9" s="217">
        <v>869.3</v>
      </c>
      <c r="F9" s="217">
        <v>68.31</v>
      </c>
      <c r="G9" s="217">
        <v>108.7</v>
      </c>
      <c r="H9" s="217">
        <v>16.66</v>
      </c>
      <c r="I9" s="217">
        <v>6.58</v>
      </c>
      <c r="J9" s="234">
        <v>1.84</v>
      </c>
    </row>
    <row r="10" spans="1:10" x14ac:dyDescent="0.2">
      <c r="A10" s="233" t="s">
        <v>148</v>
      </c>
      <c r="B10" s="217">
        <v>18.8</v>
      </c>
      <c r="C10" s="217">
        <f t="shared" si="0"/>
        <v>0.188</v>
      </c>
      <c r="D10" s="217">
        <v>23.95</v>
      </c>
      <c r="E10" s="218">
        <v>1317</v>
      </c>
      <c r="F10" s="217">
        <v>100.9</v>
      </c>
      <c r="G10" s="217">
        <v>146.30000000000001</v>
      </c>
      <c r="H10" s="217">
        <v>22.16</v>
      </c>
      <c r="I10" s="217">
        <v>7.42</v>
      </c>
      <c r="J10" s="234">
        <v>2.0499999999999998</v>
      </c>
    </row>
    <row r="11" spans="1:10" x14ac:dyDescent="0.2">
      <c r="A11" s="233" t="s">
        <v>149</v>
      </c>
      <c r="B11" s="217">
        <v>22.4</v>
      </c>
      <c r="C11" s="217">
        <f t="shared" si="0"/>
        <v>0.22399999999999998</v>
      </c>
      <c r="D11" s="217">
        <v>28.48</v>
      </c>
      <c r="E11" s="218">
        <v>1943</v>
      </c>
      <c r="F11" s="217">
        <v>142.4</v>
      </c>
      <c r="G11" s="217">
        <v>194.3</v>
      </c>
      <c r="H11" s="217">
        <v>28.47</v>
      </c>
      <c r="I11" s="217">
        <v>8.26</v>
      </c>
      <c r="J11" s="234">
        <v>2.2400000000000002</v>
      </c>
    </row>
    <row r="12" spans="1:10" x14ac:dyDescent="0.2">
      <c r="A12" s="233" t="s">
        <v>150</v>
      </c>
      <c r="B12" s="217">
        <v>26.2</v>
      </c>
      <c r="C12" s="217">
        <f t="shared" si="0"/>
        <v>0.26200000000000001</v>
      </c>
      <c r="D12" s="217">
        <v>33.369999999999997</v>
      </c>
      <c r="E12" s="218">
        <v>2772</v>
      </c>
      <c r="F12" s="217">
        <v>204.9</v>
      </c>
      <c r="G12" s="217">
        <v>252</v>
      </c>
      <c r="H12" s="217">
        <v>37.25</v>
      </c>
      <c r="I12" s="217">
        <v>9.11</v>
      </c>
      <c r="J12" s="234">
        <v>2.48</v>
      </c>
    </row>
    <row r="13" spans="1:10" x14ac:dyDescent="0.2">
      <c r="A13" s="233" t="s">
        <v>151</v>
      </c>
      <c r="B13" s="217">
        <v>30.7</v>
      </c>
      <c r="C13" s="217">
        <f t="shared" si="0"/>
        <v>0.307</v>
      </c>
      <c r="D13" s="217">
        <v>39.119999999999997</v>
      </c>
      <c r="E13" s="218">
        <v>3892</v>
      </c>
      <c r="F13" s="217">
        <v>283.60000000000002</v>
      </c>
      <c r="G13" s="217">
        <v>324.3</v>
      </c>
      <c r="H13" s="217">
        <v>47.27</v>
      </c>
      <c r="I13" s="217">
        <v>9.9700000000000006</v>
      </c>
      <c r="J13" s="234">
        <v>2.69</v>
      </c>
    </row>
    <row r="14" spans="1:10" x14ac:dyDescent="0.2">
      <c r="A14" s="233" t="s">
        <v>152</v>
      </c>
      <c r="B14" s="217">
        <v>36.1</v>
      </c>
      <c r="C14" s="217">
        <f t="shared" si="0"/>
        <v>0.36099999999999999</v>
      </c>
      <c r="D14" s="217">
        <v>45.95</v>
      </c>
      <c r="E14" s="218">
        <v>5790</v>
      </c>
      <c r="F14" s="217">
        <v>419.9</v>
      </c>
      <c r="G14" s="217">
        <v>428.9</v>
      </c>
      <c r="H14" s="217">
        <v>62.2</v>
      </c>
      <c r="I14" s="217">
        <v>11.23</v>
      </c>
      <c r="J14" s="234">
        <v>3.02</v>
      </c>
    </row>
    <row r="15" spans="1:10" x14ac:dyDescent="0.2">
      <c r="A15" s="233" t="s">
        <v>153</v>
      </c>
      <c r="B15" s="217">
        <v>42.2</v>
      </c>
      <c r="C15" s="217">
        <f t="shared" si="0"/>
        <v>0.42200000000000004</v>
      </c>
      <c r="D15" s="217">
        <v>53.81</v>
      </c>
      <c r="E15" s="218">
        <v>8356</v>
      </c>
      <c r="F15" s="217">
        <v>603.79999999999995</v>
      </c>
      <c r="G15" s="217">
        <v>557.1</v>
      </c>
      <c r="H15" s="217">
        <v>80.5</v>
      </c>
      <c r="I15" s="217">
        <v>12.46</v>
      </c>
      <c r="J15" s="234">
        <v>3.35</v>
      </c>
    </row>
    <row r="16" spans="1:10" x14ac:dyDescent="0.2">
      <c r="A16" s="233" t="s">
        <v>154</v>
      </c>
      <c r="B16" s="217">
        <v>49.1</v>
      </c>
      <c r="C16" s="217">
        <f t="shared" si="0"/>
        <v>0.49099999999999999</v>
      </c>
      <c r="D16" s="217">
        <v>62.61</v>
      </c>
      <c r="E16" s="218">
        <v>11770</v>
      </c>
      <c r="F16" s="217">
        <v>788.1</v>
      </c>
      <c r="G16" s="217">
        <v>713.1</v>
      </c>
      <c r="H16" s="217">
        <v>98.52</v>
      </c>
      <c r="I16" s="217">
        <v>13.71</v>
      </c>
      <c r="J16" s="234">
        <v>3.55</v>
      </c>
    </row>
    <row r="17" spans="1:10" x14ac:dyDescent="0.2">
      <c r="A17" s="233" t="s">
        <v>155</v>
      </c>
      <c r="B17" s="217">
        <v>57.1</v>
      </c>
      <c r="C17" s="217">
        <f t="shared" si="0"/>
        <v>0.57100000000000006</v>
      </c>
      <c r="D17" s="217">
        <v>72.73</v>
      </c>
      <c r="E17" s="218">
        <v>16270</v>
      </c>
      <c r="F17" s="218">
        <v>1043</v>
      </c>
      <c r="G17" s="217">
        <v>903.6</v>
      </c>
      <c r="H17" s="217">
        <v>122.8</v>
      </c>
      <c r="I17" s="217">
        <v>14.95</v>
      </c>
      <c r="J17" s="234">
        <v>3.79</v>
      </c>
    </row>
    <row r="18" spans="1:10" x14ac:dyDescent="0.2">
      <c r="A18" s="233" t="s">
        <v>156</v>
      </c>
      <c r="B18" s="217">
        <v>66.3</v>
      </c>
      <c r="C18" s="217">
        <f t="shared" si="0"/>
        <v>0.66299999999999992</v>
      </c>
      <c r="D18" s="217">
        <v>84.46</v>
      </c>
      <c r="E18" s="218">
        <v>23130</v>
      </c>
      <c r="F18" s="218">
        <v>1318</v>
      </c>
      <c r="G18" s="218">
        <v>1156</v>
      </c>
      <c r="H18" s="217">
        <v>146.4</v>
      </c>
      <c r="I18" s="217">
        <v>16.55</v>
      </c>
      <c r="J18" s="234">
        <v>3.95</v>
      </c>
    </row>
    <row r="19" spans="1:10" x14ac:dyDescent="0.2">
      <c r="A19" s="233" t="s">
        <v>157</v>
      </c>
      <c r="B19" s="217">
        <v>77.599999999999994</v>
      </c>
      <c r="C19" s="217">
        <f t="shared" si="0"/>
        <v>0.77599999999999991</v>
      </c>
      <c r="D19" s="217">
        <v>98.82</v>
      </c>
      <c r="E19" s="218">
        <v>33740</v>
      </c>
      <c r="F19" s="218">
        <v>1676</v>
      </c>
      <c r="G19" s="218">
        <v>1500</v>
      </c>
      <c r="H19" s="217">
        <v>176.4</v>
      </c>
      <c r="I19" s="217">
        <v>18.48</v>
      </c>
      <c r="J19" s="234">
        <v>4.12</v>
      </c>
    </row>
    <row r="20" spans="1:10" x14ac:dyDescent="0.2">
      <c r="A20" s="233" t="s">
        <v>158</v>
      </c>
      <c r="B20" s="217">
        <v>90.7</v>
      </c>
      <c r="C20" s="217">
        <f t="shared" si="0"/>
        <v>0.90700000000000003</v>
      </c>
      <c r="D20" s="217">
        <v>115.5</v>
      </c>
      <c r="E20" s="218">
        <v>48200</v>
      </c>
      <c r="F20" s="218">
        <v>2142</v>
      </c>
      <c r="G20" s="218">
        <v>1928</v>
      </c>
      <c r="H20" s="217">
        <v>214.2</v>
      </c>
      <c r="I20" s="217">
        <v>20.43</v>
      </c>
      <c r="J20" s="234">
        <v>4.3099999999999996</v>
      </c>
    </row>
    <row r="21" spans="1:10" x14ac:dyDescent="0.2">
      <c r="A21" s="233" t="s">
        <v>159</v>
      </c>
      <c r="B21" s="217">
        <v>106</v>
      </c>
      <c r="C21" s="217">
        <f t="shared" si="0"/>
        <v>1.06</v>
      </c>
      <c r="D21" s="217">
        <v>134.4</v>
      </c>
      <c r="E21" s="218">
        <v>67120</v>
      </c>
      <c r="F21" s="218">
        <v>2668</v>
      </c>
      <c r="G21" s="218">
        <v>2441</v>
      </c>
      <c r="H21" s="217">
        <v>254.1</v>
      </c>
      <c r="I21" s="217">
        <v>22.35</v>
      </c>
      <c r="J21" s="234">
        <v>4.45</v>
      </c>
    </row>
    <row r="22" spans="1:10" x14ac:dyDescent="0.2">
      <c r="A22" s="233" t="s">
        <v>160</v>
      </c>
      <c r="B22" s="217">
        <v>122</v>
      </c>
      <c r="C22" s="217">
        <f t="shared" si="0"/>
        <v>1.22</v>
      </c>
      <c r="D22" s="217">
        <v>156</v>
      </c>
      <c r="E22" s="218">
        <v>92080</v>
      </c>
      <c r="F22" s="218">
        <v>3387</v>
      </c>
      <c r="G22" s="218">
        <v>3069</v>
      </c>
      <c r="H22" s="217">
        <v>307.89999999999998</v>
      </c>
      <c r="I22" s="217">
        <v>24.3</v>
      </c>
      <c r="J22" s="234">
        <v>4.66</v>
      </c>
    </row>
    <row r="23" spans="1:10" x14ac:dyDescent="0.2">
      <c r="A23" s="233" t="s">
        <v>161</v>
      </c>
      <c r="B23" s="217">
        <v>5.94</v>
      </c>
      <c r="C23" s="217">
        <f t="shared" si="0"/>
        <v>5.9400000000000001E-2</v>
      </c>
      <c r="D23" s="217">
        <v>7.57</v>
      </c>
      <c r="E23" s="217">
        <v>77.7</v>
      </c>
      <c r="F23" s="219">
        <v>0.26944444444444443</v>
      </c>
      <c r="G23" s="217">
        <v>19.399999999999999</v>
      </c>
      <c r="H23" s="217">
        <v>2.99</v>
      </c>
      <c r="I23" s="217">
        <v>3.2</v>
      </c>
      <c r="J23" s="234">
        <v>0.91</v>
      </c>
    </row>
    <row r="24" spans="1:10" x14ac:dyDescent="0.2">
      <c r="A24" s="233" t="s">
        <v>162</v>
      </c>
      <c r="B24" s="217">
        <v>8.34</v>
      </c>
      <c r="C24" s="217">
        <f t="shared" si="0"/>
        <v>8.3400000000000002E-2</v>
      </c>
      <c r="D24" s="217">
        <v>10.6</v>
      </c>
      <c r="E24" s="217">
        <v>170</v>
      </c>
      <c r="F24" s="217">
        <v>12.1</v>
      </c>
      <c r="G24" s="217">
        <v>34.1</v>
      </c>
      <c r="H24" s="217">
        <v>4.8600000000000003</v>
      </c>
      <c r="I24" s="217">
        <v>4</v>
      </c>
      <c r="J24" s="234">
        <v>1.07</v>
      </c>
    </row>
    <row r="25" spans="1:10" x14ac:dyDescent="0.2">
      <c r="A25" s="233" t="s">
        <v>163</v>
      </c>
      <c r="B25" s="217">
        <v>11.1</v>
      </c>
      <c r="C25" s="217">
        <f t="shared" si="0"/>
        <v>0.111</v>
      </c>
      <c r="D25" s="217">
        <v>14.2</v>
      </c>
      <c r="E25" s="217">
        <v>328</v>
      </c>
      <c r="F25" s="217">
        <v>21.5</v>
      </c>
      <c r="G25" s="217">
        <v>54.7</v>
      </c>
      <c r="H25" s="217">
        <v>7.41</v>
      </c>
      <c r="I25" s="217">
        <v>4.8099999999999996</v>
      </c>
      <c r="J25" s="234">
        <v>1.23</v>
      </c>
    </row>
    <row r="26" spans="1:10" x14ac:dyDescent="0.2">
      <c r="A26" s="233" t="s">
        <v>164</v>
      </c>
      <c r="B26" s="217">
        <v>14.3</v>
      </c>
      <c r="C26" s="217">
        <f t="shared" si="0"/>
        <v>0.14300000000000002</v>
      </c>
      <c r="D26" s="217">
        <v>18.3</v>
      </c>
      <c r="E26" s="217">
        <v>573</v>
      </c>
      <c r="F26" s="217">
        <v>35.200000000000003</v>
      </c>
      <c r="G26" s="217">
        <v>81.900000000000006</v>
      </c>
      <c r="H26" s="217">
        <v>10.7</v>
      </c>
      <c r="I26" s="217">
        <v>5.61</v>
      </c>
      <c r="J26" s="234">
        <v>1.4</v>
      </c>
    </row>
    <row r="27" spans="1:10" x14ac:dyDescent="0.2">
      <c r="A27" s="233" t="s">
        <v>165</v>
      </c>
      <c r="B27" s="217">
        <v>17.899999999999999</v>
      </c>
      <c r="C27" s="217">
        <f t="shared" si="0"/>
        <v>0.17899999999999999</v>
      </c>
      <c r="D27" s="217">
        <v>22.8</v>
      </c>
      <c r="E27" s="217">
        <v>935</v>
      </c>
      <c r="F27" s="217">
        <v>54.7</v>
      </c>
      <c r="G27" s="217">
        <v>117</v>
      </c>
      <c r="H27" s="217">
        <v>14.8</v>
      </c>
      <c r="I27" s="217">
        <v>6.4</v>
      </c>
      <c r="J27" s="234">
        <v>1.55</v>
      </c>
    </row>
    <row r="28" spans="1:10" x14ac:dyDescent="0.2">
      <c r="A28" s="233" t="s">
        <v>166</v>
      </c>
      <c r="B28" s="217">
        <v>21.9</v>
      </c>
      <c r="C28" s="217">
        <f t="shared" si="0"/>
        <v>0.21899999999999997</v>
      </c>
      <c r="D28" s="217">
        <v>27.9</v>
      </c>
      <c r="E28" s="218">
        <v>1450</v>
      </c>
      <c r="F28" s="217">
        <v>81.3</v>
      </c>
      <c r="G28" s="217">
        <v>161</v>
      </c>
      <c r="H28" s="217">
        <v>19.8</v>
      </c>
      <c r="I28" s="217">
        <v>7.2</v>
      </c>
      <c r="J28" s="234">
        <v>1.71</v>
      </c>
    </row>
    <row r="29" spans="1:10" x14ac:dyDescent="0.2">
      <c r="A29" s="233" t="s">
        <v>167</v>
      </c>
      <c r="B29" s="217">
        <v>26.2</v>
      </c>
      <c r="C29" s="217">
        <f t="shared" si="0"/>
        <v>0.26200000000000001</v>
      </c>
      <c r="D29" s="217">
        <v>33.4</v>
      </c>
      <c r="E29" s="218">
        <v>2140</v>
      </c>
      <c r="F29" s="217">
        <v>117</v>
      </c>
      <c r="G29" s="217">
        <v>214</v>
      </c>
      <c r="H29" s="217">
        <v>26</v>
      </c>
      <c r="I29" s="217">
        <v>8</v>
      </c>
      <c r="J29" s="234">
        <v>1.87</v>
      </c>
    </row>
    <row r="30" spans="1:10" x14ac:dyDescent="0.2">
      <c r="A30" s="233" t="s">
        <v>168</v>
      </c>
      <c r="B30" s="217">
        <v>31.1</v>
      </c>
      <c r="C30" s="217">
        <f t="shared" si="0"/>
        <v>0.311</v>
      </c>
      <c r="D30" s="217">
        <v>39.5</v>
      </c>
      <c r="E30" s="218">
        <v>3060</v>
      </c>
      <c r="F30" s="217">
        <v>162</v>
      </c>
      <c r="G30" s="217">
        <v>278</v>
      </c>
      <c r="H30" s="217">
        <v>33.1</v>
      </c>
      <c r="I30" s="217">
        <v>8.8000000000000007</v>
      </c>
      <c r="J30" s="234">
        <v>2.02</v>
      </c>
    </row>
    <row r="31" spans="1:10" x14ac:dyDescent="0.2">
      <c r="A31" s="233" t="s">
        <v>169</v>
      </c>
      <c r="B31" s="217">
        <v>36.200000000000003</v>
      </c>
      <c r="C31" s="217">
        <f>B31/100</f>
        <v>0.36200000000000004</v>
      </c>
      <c r="D31" s="217">
        <v>46.1</v>
      </c>
      <c r="E31" s="218">
        <v>4250</v>
      </c>
      <c r="F31" s="217">
        <v>221</v>
      </c>
      <c r="G31" s="217">
        <v>354</v>
      </c>
      <c r="H31" s="217">
        <v>41.7</v>
      </c>
      <c r="I31" s="217">
        <v>9.59</v>
      </c>
      <c r="J31" s="234">
        <v>2.2000000000000002</v>
      </c>
    </row>
    <row r="32" spans="1:10" x14ac:dyDescent="0.2">
      <c r="A32" s="233" t="s">
        <v>170</v>
      </c>
      <c r="B32" s="217">
        <v>41.9</v>
      </c>
      <c r="C32" s="217">
        <f t="shared" si="0"/>
        <v>0.41899999999999998</v>
      </c>
      <c r="D32" s="217">
        <v>53.3</v>
      </c>
      <c r="E32" s="218">
        <v>5740</v>
      </c>
      <c r="F32" s="217">
        <v>288</v>
      </c>
      <c r="G32" s="217">
        <v>442</v>
      </c>
      <c r="H32" s="217">
        <v>51</v>
      </c>
      <c r="I32" s="217">
        <v>10.4</v>
      </c>
      <c r="J32" s="234">
        <v>2.3199999999999998</v>
      </c>
    </row>
    <row r="33" spans="1:10" x14ac:dyDescent="0.2">
      <c r="A33" s="233" t="s">
        <v>171</v>
      </c>
      <c r="B33" s="217">
        <v>47.9</v>
      </c>
      <c r="C33" s="217">
        <f t="shared" si="0"/>
        <v>0.47899999999999998</v>
      </c>
      <c r="D33" s="217">
        <v>61</v>
      </c>
      <c r="E33" s="218">
        <v>7590</v>
      </c>
      <c r="F33" s="217">
        <v>364</v>
      </c>
      <c r="G33" s="217">
        <v>542</v>
      </c>
      <c r="H33" s="217">
        <v>61.2</v>
      </c>
      <c r="I33" s="217">
        <v>11.1</v>
      </c>
      <c r="J33" s="234">
        <v>2.4500000000000002</v>
      </c>
    </row>
    <row r="34" spans="1:10" x14ac:dyDescent="0.2">
      <c r="A34" s="233" t="s">
        <v>172</v>
      </c>
      <c r="B34" s="217">
        <v>54.2</v>
      </c>
      <c r="C34" s="217">
        <f t="shared" si="0"/>
        <v>0.54200000000000004</v>
      </c>
      <c r="D34" s="217">
        <v>69</v>
      </c>
      <c r="E34" s="218">
        <v>9800</v>
      </c>
      <c r="F34" s="217">
        <v>451</v>
      </c>
      <c r="G34" s="217">
        <v>653</v>
      </c>
      <c r="H34" s="217">
        <v>72.2</v>
      </c>
      <c r="I34" s="217">
        <v>11.9</v>
      </c>
      <c r="J34" s="234">
        <v>2.56</v>
      </c>
    </row>
    <row r="35" spans="1:10" x14ac:dyDescent="0.2">
      <c r="A35" s="233" t="s">
        <v>173</v>
      </c>
      <c r="B35" s="217">
        <v>61</v>
      </c>
      <c r="C35" s="217">
        <f t="shared" si="0"/>
        <v>0.61</v>
      </c>
      <c r="D35" s="217">
        <v>77.7</v>
      </c>
      <c r="E35" s="218">
        <v>12510</v>
      </c>
      <c r="F35" s="217">
        <v>555</v>
      </c>
      <c r="G35" s="217">
        <v>782</v>
      </c>
      <c r="H35" s="217">
        <v>84.7</v>
      </c>
      <c r="I35" s="217">
        <v>12.7</v>
      </c>
      <c r="J35" s="234">
        <v>2.67</v>
      </c>
    </row>
    <row r="36" spans="1:10" x14ac:dyDescent="0.2">
      <c r="A36" s="233" t="s">
        <v>174</v>
      </c>
      <c r="B36" s="217">
        <v>68</v>
      </c>
      <c r="C36" s="217">
        <f t="shared" si="0"/>
        <v>0.68</v>
      </c>
      <c r="D36" s="217">
        <v>86.7</v>
      </c>
      <c r="E36" s="218">
        <v>15700</v>
      </c>
      <c r="F36" s="217">
        <v>674</v>
      </c>
      <c r="G36" s="217">
        <v>923</v>
      </c>
      <c r="H36" s="217">
        <v>98.4</v>
      </c>
      <c r="I36" s="217">
        <v>13.5</v>
      </c>
      <c r="J36" s="234">
        <v>2.8</v>
      </c>
    </row>
    <row r="37" spans="1:10" x14ac:dyDescent="0.2">
      <c r="A37" s="233" t="s">
        <v>175</v>
      </c>
      <c r="B37" s="217">
        <v>76.099999999999994</v>
      </c>
      <c r="C37" s="217">
        <f t="shared" si="0"/>
        <v>0.7609999999999999</v>
      </c>
      <c r="D37" s="217">
        <v>97</v>
      </c>
      <c r="E37" s="218">
        <v>19610</v>
      </c>
      <c r="F37" s="217">
        <v>818</v>
      </c>
      <c r="G37" s="218">
        <v>1090</v>
      </c>
      <c r="H37" s="217">
        <v>114</v>
      </c>
      <c r="I37" s="217">
        <v>14.2</v>
      </c>
      <c r="J37" s="234">
        <v>2.9</v>
      </c>
    </row>
    <row r="38" spans="1:10" x14ac:dyDescent="0.2">
      <c r="A38" s="233" t="s">
        <v>176</v>
      </c>
      <c r="B38" s="217">
        <v>84</v>
      </c>
      <c r="C38" s="217">
        <f t="shared" si="0"/>
        <v>0.84</v>
      </c>
      <c r="D38" s="217">
        <v>107</v>
      </c>
      <c r="E38" s="218">
        <v>24010</v>
      </c>
      <c r="F38" s="217">
        <v>975</v>
      </c>
      <c r="G38" s="218">
        <v>1260</v>
      </c>
      <c r="H38" s="217">
        <v>131</v>
      </c>
      <c r="I38" s="217">
        <v>15</v>
      </c>
      <c r="J38" s="234">
        <v>3.02</v>
      </c>
    </row>
    <row r="39" spans="1:10" x14ac:dyDescent="0.2">
      <c r="A39" s="233" t="s">
        <v>177</v>
      </c>
      <c r="B39" s="217">
        <v>92.4</v>
      </c>
      <c r="C39" s="217">
        <f t="shared" si="0"/>
        <v>0.92400000000000004</v>
      </c>
      <c r="D39" s="217">
        <v>118</v>
      </c>
      <c r="E39" s="218">
        <v>29210</v>
      </c>
      <c r="F39" s="218">
        <v>1160</v>
      </c>
      <c r="G39" s="218">
        <v>1460</v>
      </c>
      <c r="H39" s="217">
        <v>149</v>
      </c>
      <c r="I39" s="217">
        <v>15.7</v>
      </c>
      <c r="J39" s="234">
        <v>3.13</v>
      </c>
    </row>
    <row r="40" spans="1:10" x14ac:dyDescent="0.2">
      <c r="A40" s="233" t="s">
        <v>178</v>
      </c>
      <c r="B40" s="217">
        <v>115</v>
      </c>
      <c r="C40" s="217">
        <f t="shared" si="0"/>
        <v>1.1499999999999999</v>
      </c>
      <c r="D40" s="217">
        <v>147</v>
      </c>
      <c r="E40" s="218">
        <v>45850</v>
      </c>
      <c r="F40" s="218">
        <v>1730</v>
      </c>
      <c r="G40" s="218">
        <v>2040</v>
      </c>
      <c r="H40" s="217">
        <v>203</v>
      </c>
      <c r="I40" s="217">
        <v>17.7</v>
      </c>
      <c r="J40" s="234">
        <v>3.43</v>
      </c>
    </row>
    <row r="41" spans="1:10" x14ac:dyDescent="0.2">
      <c r="A41" s="233" t="s">
        <v>179</v>
      </c>
      <c r="B41" s="217">
        <v>141</v>
      </c>
      <c r="C41" s="217">
        <f t="shared" si="0"/>
        <v>1.41</v>
      </c>
      <c r="D41" s="217">
        <v>179</v>
      </c>
      <c r="E41" s="218">
        <v>68740</v>
      </c>
      <c r="F41" s="218">
        <v>2480</v>
      </c>
      <c r="G41" s="218">
        <v>2750</v>
      </c>
      <c r="H41" s="217">
        <v>268</v>
      </c>
      <c r="I41" s="217">
        <v>19.600000000000001</v>
      </c>
      <c r="J41" s="234">
        <v>3.72</v>
      </c>
    </row>
    <row r="42" spans="1:10" x14ac:dyDescent="0.2">
      <c r="A42" s="233" t="s">
        <v>180</v>
      </c>
      <c r="B42" s="217">
        <v>166</v>
      </c>
      <c r="C42" s="217">
        <f t="shared" si="0"/>
        <v>1.66</v>
      </c>
      <c r="D42" s="217">
        <v>212</v>
      </c>
      <c r="E42" s="218">
        <v>99180</v>
      </c>
      <c r="F42" s="218">
        <v>3480</v>
      </c>
      <c r="G42" s="218">
        <v>3610</v>
      </c>
      <c r="H42" s="217">
        <v>349</v>
      </c>
      <c r="I42" s="219">
        <v>0.87916666666666676</v>
      </c>
      <c r="J42" s="234">
        <v>4.0199999999999996</v>
      </c>
    </row>
    <row r="43" spans="1:10" x14ac:dyDescent="0.2">
      <c r="A43" s="233" t="s">
        <v>181</v>
      </c>
      <c r="B43" s="217">
        <v>199</v>
      </c>
      <c r="C43" s="217">
        <f t="shared" si="0"/>
        <v>1.99</v>
      </c>
      <c r="D43" s="217">
        <v>254</v>
      </c>
      <c r="E43" s="218">
        <v>138800</v>
      </c>
      <c r="F43" s="218">
        <v>4679</v>
      </c>
      <c r="G43" s="218">
        <v>4626</v>
      </c>
      <c r="H43" s="217">
        <v>435</v>
      </c>
      <c r="I43" s="217">
        <v>23.4</v>
      </c>
      <c r="J43" s="234">
        <v>4.29</v>
      </c>
    </row>
    <row r="44" spans="1:10" x14ac:dyDescent="0.2">
      <c r="A44" s="233" t="s">
        <v>182</v>
      </c>
      <c r="B44" s="217">
        <v>16.7</v>
      </c>
      <c r="C44" s="217">
        <f t="shared" si="0"/>
        <v>0.16699999999999998</v>
      </c>
      <c r="D44" s="217">
        <v>21.24</v>
      </c>
      <c r="E44" s="217">
        <v>349.2</v>
      </c>
      <c r="F44" s="217">
        <v>133.80000000000001</v>
      </c>
      <c r="G44" s="217">
        <v>72.760000000000005</v>
      </c>
      <c r="H44" s="217">
        <v>26.76</v>
      </c>
      <c r="I44" s="217">
        <v>4.0599999999999996</v>
      </c>
      <c r="J44" s="234">
        <v>2.5099999999999998</v>
      </c>
    </row>
    <row r="45" spans="1:10" x14ac:dyDescent="0.2">
      <c r="A45" s="233" t="s">
        <v>183</v>
      </c>
      <c r="B45" s="217">
        <v>19.899999999999999</v>
      </c>
      <c r="C45" s="217">
        <f t="shared" si="0"/>
        <v>0.19899999999999998</v>
      </c>
      <c r="D45" s="217">
        <v>25.34</v>
      </c>
      <c r="E45" s="217">
        <v>606.20000000000005</v>
      </c>
      <c r="F45" s="217">
        <v>230.9</v>
      </c>
      <c r="G45" s="217">
        <v>106.3</v>
      </c>
      <c r="H45" s="217">
        <v>38.479999999999997</v>
      </c>
      <c r="I45" s="217">
        <v>4.8899999999999997</v>
      </c>
      <c r="J45" s="234">
        <v>3.02</v>
      </c>
    </row>
    <row r="46" spans="1:10" x14ac:dyDescent="0.2">
      <c r="A46" s="233" t="s">
        <v>184</v>
      </c>
      <c r="B46" s="217">
        <v>24.7</v>
      </c>
      <c r="C46" s="217">
        <f t="shared" si="0"/>
        <v>0.247</v>
      </c>
      <c r="D46" s="217">
        <v>31.42</v>
      </c>
      <c r="E46" s="218">
        <v>1033</v>
      </c>
      <c r="F46" s="217">
        <v>389.3</v>
      </c>
      <c r="G46" s="217">
        <v>155.4</v>
      </c>
      <c r="H46" s="217">
        <v>55.62</v>
      </c>
      <c r="I46" s="217">
        <v>5.73</v>
      </c>
      <c r="J46" s="234">
        <v>3.52</v>
      </c>
    </row>
    <row r="47" spans="1:10" x14ac:dyDescent="0.2">
      <c r="A47" s="233" t="s">
        <v>185</v>
      </c>
      <c r="B47" s="217">
        <v>30.4</v>
      </c>
      <c r="C47" s="217">
        <f t="shared" si="0"/>
        <v>0.30399999999999999</v>
      </c>
      <c r="D47" s="217">
        <v>38.770000000000003</v>
      </c>
      <c r="E47" s="218">
        <v>1673</v>
      </c>
      <c r="F47" s="217">
        <v>615.6</v>
      </c>
      <c r="G47" s="217">
        <v>220.1</v>
      </c>
      <c r="H47" s="217">
        <v>76.95</v>
      </c>
      <c r="I47" s="217">
        <v>6.57</v>
      </c>
      <c r="J47" s="234">
        <v>3.98</v>
      </c>
    </row>
    <row r="48" spans="1:10" x14ac:dyDescent="0.2">
      <c r="A48" s="233" t="s">
        <v>186</v>
      </c>
      <c r="B48" s="217">
        <v>35.5</v>
      </c>
      <c r="C48" s="217">
        <f t="shared" si="0"/>
        <v>0.35499999999999998</v>
      </c>
      <c r="D48" s="217">
        <v>45.25</v>
      </c>
      <c r="E48" s="218">
        <v>2510</v>
      </c>
      <c r="F48" s="217">
        <v>924.6</v>
      </c>
      <c r="G48" s="217">
        <v>293.60000000000002</v>
      </c>
      <c r="H48" s="217">
        <v>102.7</v>
      </c>
      <c r="I48" s="217">
        <v>7.45</v>
      </c>
      <c r="J48" s="234">
        <v>4.5199999999999996</v>
      </c>
    </row>
    <row r="49" spans="1:10" x14ac:dyDescent="0.2">
      <c r="A49" s="233" t="s">
        <v>187</v>
      </c>
      <c r="B49" s="217">
        <v>42.3</v>
      </c>
      <c r="C49" s="217">
        <f t="shared" si="0"/>
        <v>0.42299999999999999</v>
      </c>
      <c r="D49" s="217">
        <v>53.83</v>
      </c>
      <c r="E49" s="218">
        <v>3692</v>
      </c>
      <c r="F49" s="218">
        <v>1326</v>
      </c>
      <c r="G49" s="217">
        <v>388.6</v>
      </c>
      <c r="H49" s="220">
        <v>133.6</v>
      </c>
      <c r="I49" s="217">
        <v>8.2799999999999994</v>
      </c>
      <c r="J49" s="234">
        <v>4.9800000000000004</v>
      </c>
    </row>
    <row r="50" spans="1:10" x14ac:dyDescent="0.2">
      <c r="A50" s="233" t="s">
        <v>188</v>
      </c>
      <c r="B50" s="217">
        <v>50.5</v>
      </c>
      <c r="C50" s="217">
        <f t="shared" si="0"/>
        <v>0.505</v>
      </c>
      <c r="D50" s="217">
        <v>64.34</v>
      </c>
      <c r="E50" s="218">
        <v>5410</v>
      </c>
      <c r="F50" s="218">
        <v>1955</v>
      </c>
      <c r="G50" s="217">
        <v>515.20000000000005</v>
      </c>
      <c r="H50" s="217">
        <v>177.7</v>
      </c>
      <c r="I50" s="217">
        <v>9.17</v>
      </c>
      <c r="J50" s="234">
        <v>5.51</v>
      </c>
    </row>
    <row r="51" spans="1:10" x14ac:dyDescent="0.2">
      <c r="A51" s="233" t="s">
        <v>189</v>
      </c>
      <c r="B51" s="217">
        <v>60.3</v>
      </c>
      <c r="C51" s="217">
        <f t="shared" si="0"/>
        <v>0.60299999999999998</v>
      </c>
      <c r="D51" s="217">
        <v>76.84</v>
      </c>
      <c r="E51" s="218">
        <v>7763</v>
      </c>
      <c r="F51" s="218">
        <v>2769</v>
      </c>
      <c r="G51" s="217">
        <v>675.1</v>
      </c>
      <c r="H51" s="217">
        <v>230.7</v>
      </c>
      <c r="I51" s="217">
        <v>10.050000000000001</v>
      </c>
      <c r="J51" s="234">
        <v>6</v>
      </c>
    </row>
    <row r="52" spans="1:10" x14ac:dyDescent="0.2">
      <c r="A52" s="233" t="s">
        <v>190</v>
      </c>
      <c r="B52" s="217">
        <v>68.2</v>
      </c>
      <c r="C52" s="217">
        <f t="shared" si="0"/>
        <v>0.68200000000000005</v>
      </c>
      <c r="D52" s="217">
        <v>86.82</v>
      </c>
      <c r="E52" s="218">
        <v>10450</v>
      </c>
      <c r="F52" s="218">
        <v>3668</v>
      </c>
      <c r="G52" s="217">
        <v>836.4</v>
      </c>
      <c r="H52" s="217">
        <v>282.10000000000002</v>
      </c>
      <c r="I52" s="217">
        <v>10.97</v>
      </c>
      <c r="J52" s="234">
        <v>6.5</v>
      </c>
    </row>
    <row r="53" spans="1:10" x14ac:dyDescent="0.2">
      <c r="A53" s="233" t="s">
        <v>191</v>
      </c>
      <c r="B53" s="217">
        <v>76.400000000000006</v>
      </c>
      <c r="C53" s="217">
        <f t="shared" si="0"/>
        <v>0.76400000000000001</v>
      </c>
      <c r="D53" s="217">
        <v>97.26</v>
      </c>
      <c r="E53" s="218">
        <v>13670</v>
      </c>
      <c r="F53" s="218">
        <v>4763</v>
      </c>
      <c r="G53" s="218">
        <v>1013</v>
      </c>
      <c r="H53" s="217">
        <v>340.2</v>
      </c>
      <c r="I53" s="217">
        <v>11.86</v>
      </c>
      <c r="J53" s="234">
        <v>7</v>
      </c>
    </row>
    <row r="54" spans="1:10" x14ac:dyDescent="0.2">
      <c r="A54" s="233" t="s">
        <v>192</v>
      </c>
      <c r="B54" s="217">
        <v>88.3</v>
      </c>
      <c r="C54" s="217">
        <f t="shared" si="0"/>
        <v>0.88300000000000001</v>
      </c>
      <c r="D54" s="217">
        <v>112.5</v>
      </c>
      <c r="E54" s="218">
        <v>18260</v>
      </c>
      <c r="F54" s="218">
        <v>6310</v>
      </c>
      <c r="G54" s="218">
        <v>1260</v>
      </c>
      <c r="H54" s="217">
        <v>420.6</v>
      </c>
      <c r="I54" s="217">
        <v>12.74</v>
      </c>
      <c r="J54" s="234">
        <v>7.49</v>
      </c>
    </row>
    <row r="55" spans="1:10" x14ac:dyDescent="0.2">
      <c r="A55" s="233" t="s">
        <v>193</v>
      </c>
      <c r="B55" s="217">
        <v>97.6</v>
      </c>
      <c r="C55" s="217">
        <f t="shared" si="0"/>
        <v>0.97599999999999998</v>
      </c>
      <c r="D55" s="217">
        <v>124.4</v>
      </c>
      <c r="E55" s="218">
        <v>22930</v>
      </c>
      <c r="F55" s="218">
        <v>6985</v>
      </c>
      <c r="G55" s="218">
        <v>1479</v>
      </c>
      <c r="H55" s="217">
        <v>465.7</v>
      </c>
      <c r="I55" s="217">
        <v>13.58</v>
      </c>
      <c r="J55" s="234">
        <v>7.49</v>
      </c>
    </row>
    <row r="56" spans="1:10" x14ac:dyDescent="0.2">
      <c r="A56" s="233" t="s">
        <v>194</v>
      </c>
      <c r="B56" s="217">
        <v>105</v>
      </c>
      <c r="C56" s="217">
        <f>B56/100</f>
        <v>1.05</v>
      </c>
      <c r="D56" s="217">
        <v>133.5</v>
      </c>
      <c r="E56" s="218">
        <v>27690</v>
      </c>
      <c r="F56" s="218">
        <v>7436</v>
      </c>
      <c r="G56" s="218">
        <v>1678</v>
      </c>
      <c r="H56" s="217">
        <v>495.7</v>
      </c>
      <c r="I56" s="217">
        <v>14.4</v>
      </c>
      <c r="J56" s="234">
        <v>7.46</v>
      </c>
    </row>
    <row r="57" spans="1:10" x14ac:dyDescent="0.2">
      <c r="A57" s="233" t="s">
        <v>195</v>
      </c>
      <c r="B57" s="217">
        <v>112</v>
      </c>
      <c r="C57" s="217">
        <f t="shared" si="0"/>
        <v>1.1200000000000001</v>
      </c>
      <c r="D57" s="217">
        <v>142.80000000000001</v>
      </c>
      <c r="E57" s="218">
        <v>33090</v>
      </c>
      <c r="F57" s="218">
        <v>7887</v>
      </c>
      <c r="G57" s="218">
        <v>1891</v>
      </c>
      <c r="H57" s="217">
        <v>525.79999999999995</v>
      </c>
      <c r="I57" s="217">
        <v>15.22</v>
      </c>
      <c r="J57" s="234">
        <v>7.43</v>
      </c>
    </row>
    <row r="58" spans="1:10" x14ac:dyDescent="0.2">
      <c r="A58" s="233" t="s">
        <v>196</v>
      </c>
      <c r="B58" s="217">
        <v>125</v>
      </c>
      <c r="C58" s="217">
        <f t="shared" si="0"/>
        <v>1.25</v>
      </c>
      <c r="D58" s="217">
        <v>159</v>
      </c>
      <c r="E58" s="218">
        <v>45070</v>
      </c>
      <c r="F58" s="218">
        <v>8564</v>
      </c>
      <c r="G58" s="218">
        <v>2311</v>
      </c>
      <c r="H58" s="220">
        <v>570.9</v>
      </c>
      <c r="I58" s="217">
        <v>16.84</v>
      </c>
      <c r="J58" s="234">
        <v>7.34</v>
      </c>
    </row>
    <row r="59" spans="1:10" x14ac:dyDescent="0.2">
      <c r="A59" s="233" t="s">
        <v>197</v>
      </c>
      <c r="B59" s="217">
        <v>140</v>
      </c>
      <c r="C59" s="217">
        <f t="shared" si="0"/>
        <v>1.4</v>
      </c>
      <c r="D59" s="217">
        <v>178</v>
      </c>
      <c r="E59" s="218">
        <v>63720</v>
      </c>
      <c r="F59" s="218">
        <v>9465</v>
      </c>
      <c r="G59" s="218">
        <v>2896</v>
      </c>
      <c r="H59" s="217">
        <v>631</v>
      </c>
      <c r="I59" s="217">
        <v>18.920000000000002</v>
      </c>
      <c r="J59" s="234">
        <v>7.29</v>
      </c>
    </row>
    <row r="60" spans="1:10" x14ac:dyDescent="0.2">
      <c r="A60" s="233" t="s">
        <v>198</v>
      </c>
      <c r="B60" s="217">
        <v>155</v>
      </c>
      <c r="C60" s="217">
        <f t="shared" si="0"/>
        <v>1.55</v>
      </c>
      <c r="D60" s="217">
        <v>197.5</v>
      </c>
      <c r="E60" s="218">
        <v>86970</v>
      </c>
      <c r="F60" s="218">
        <v>10370</v>
      </c>
      <c r="G60" s="218">
        <v>3550</v>
      </c>
      <c r="H60" s="217">
        <v>691.1</v>
      </c>
      <c r="I60" s="217">
        <v>21.98</v>
      </c>
      <c r="J60" s="234">
        <v>7.24</v>
      </c>
    </row>
    <row r="61" spans="1:10" x14ac:dyDescent="0.2">
      <c r="A61" s="233" t="s">
        <v>199</v>
      </c>
      <c r="B61" s="217">
        <v>166</v>
      </c>
      <c r="C61" s="217">
        <f t="shared" si="0"/>
        <v>1.66</v>
      </c>
      <c r="D61" s="217">
        <v>211.8</v>
      </c>
      <c r="E61" s="218">
        <v>111900</v>
      </c>
      <c r="F61" s="218">
        <v>10820</v>
      </c>
      <c r="G61" s="218">
        <v>4146</v>
      </c>
      <c r="H61" s="217">
        <v>721.3</v>
      </c>
      <c r="I61" s="217">
        <v>22.99</v>
      </c>
      <c r="J61" s="234">
        <v>7.15</v>
      </c>
    </row>
    <row r="62" spans="1:10" x14ac:dyDescent="0.2">
      <c r="A62" s="233" t="s">
        <v>200</v>
      </c>
      <c r="B62" s="217">
        <v>178</v>
      </c>
      <c r="C62" s="217">
        <f t="shared" si="0"/>
        <v>1.78</v>
      </c>
      <c r="D62" s="217">
        <v>226.5</v>
      </c>
      <c r="E62" s="218">
        <v>141200</v>
      </c>
      <c r="F62" s="218">
        <v>11270</v>
      </c>
      <c r="G62" s="218">
        <v>4787</v>
      </c>
      <c r="H62" s="217">
        <v>751.4</v>
      </c>
      <c r="I62" s="217">
        <v>24.97</v>
      </c>
      <c r="J62" s="234">
        <v>7.05</v>
      </c>
    </row>
    <row r="63" spans="1:10" x14ac:dyDescent="0.2">
      <c r="A63" s="233" t="s">
        <v>201</v>
      </c>
      <c r="B63" s="217">
        <v>190</v>
      </c>
      <c r="C63" s="217">
        <f t="shared" si="0"/>
        <v>1.9</v>
      </c>
      <c r="D63" s="217">
        <v>241.6</v>
      </c>
      <c r="E63" s="218">
        <v>175200</v>
      </c>
      <c r="F63" s="218">
        <v>11720</v>
      </c>
      <c r="G63" s="218">
        <v>5474</v>
      </c>
      <c r="H63" s="217">
        <v>781.6</v>
      </c>
      <c r="I63" s="217">
        <v>26.93</v>
      </c>
      <c r="J63" s="234">
        <v>6.97</v>
      </c>
    </row>
    <row r="64" spans="1:10" x14ac:dyDescent="0.2">
      <c r="A64" s="233" t="s">
        <v>202</v>
      </c>
      <c r="B64" s="217">
        <v>204</v>
      </c>
      <c r="C64" s="217">
        <f t="shared" si="0"/>
        <v>2.04</v>
      </c>
      <c r="D64" s="217">
        <v>260.5</v>
      </c>
      <c r="E64" s="218">
        <v>215300</v>
      </c>
      <c r="F64" s="218">
        <v>12180</v>
      </c>
      <c r="G64" s="218">
        <v>6241</v>
      </c>
      <c r="H64" s="217">
        <v>811.9</v>
      </c>
      <c r="I64" s="217">
        <v>28.87</v>
      </c>
      <c r="J64" s="234">
        <v>6.84</v>
      </c>
    </row>
    <row r="65" spans="1:10" x14ac:dyDescent="0.2">
      <c r="A65" s="233" t="s">
        <v>203</v>
      </c>
      <c r="B65" s="217">
        <v>224</v>
      </c>
      <c r="C65" s="217">
        <f t="shared" si="0"/>
        <v>2.2400000000000002</v>
      </c>
      <c r="D65" s="217">
        <v>285.8</v>
      </c>
      <c r="E65" s="218">
        <v>303400</v>
      </c>
      <c r="F65" s="218">
        <v>12640</v>
      </c>
      <c r="G65" s="218">
        <v>7682</v>
      </c>
      <c r="H65" s="217">
        <v>842.6</v>
      </c>
      <c r="I65" s="217">
        <v>32.58</v>
      </c>
      <c r="J65" s="234">
        <v>6.65</v>
      </c>
    </row>
    <row r="66" spans="1:10" x14ac:dyDescent="0.2">
      <c r="A66" s="233" t="s">
        <v>204</v>
      </c>
      <c r="B66" s="217">
        <v>252</v>
      </c>
      <c r="C66" s="217">
        <f t="shared" si="0"/>
        <v>2.52</v>
      </c>
      <c r="D66" s="217">
        <v>320.5</v>
      </c>
      <c r="E66" s="218">
        <v>422100</v>
      </c>
      <c r="F66" s="218">
        <v>13550</v>
      </c>
      <c r="G66" s="218">
        <v>9485</v>
      </c>
      <c r="H66" s="217">
        <v>903.2</v>
      </c>
      <c r="I66" s="217">
        <v>36.29</v>
      </c>
      <c r="J66" s="234">
        <v>6.5</v>
      </c>
    </row>
    <row r="67" spans="1:10" x14ac:dyDescent="0.2">
      <c r="A67" s="233" t="s">
        <v>205</v>
      </c>
      <c r="B67" s="217">
        <v>272</v>
      </c>
      <c r="C67" s="217">
        <f t="shared" si="0"/>
        <v>2.72</v>
      </c>
      <c r="D67" s="217">
        <v>346.8</v>
      </c>
      <c r="E67" s="218">
        <v>553800</v>
      </c>
      <c r="F67" s="218">
        <v>14000</v>
      </c>
      <c r="G67" s="218">
        <v>11190</v>
      </c>
      <c r="H67" s="217">
        <v>933.6</v>
      </c>
      <c r="I67" s="217">
        <v>39.96</v>
      </c>
      <c r="J67" s="234">
        <v>6.35</v>
      </c>
    </row>
    <row r="68" spans="1:10" x14ac:dyDescent="0.2">
      <c r="A68" s="233" t="s">
        <v>206</v>
      </c>
      <c r="B68" s="217">
        <v>20.399999999999999</v>
      </c>
      <c r="C68" s="217">
        <f t="shared" si="0"/>
        <v>0.20399999999999999</v>
      </c>
      <c r="D68" s="217">
        <v>26.04</v>
      </c>
      <c r="E68" s="217">
        <v>449.5</v>
      </c>
      <c r="F68" s="217">
        <v>167.3</v>
      </c>
      <c r="G68" s="217">
        <v>89.91</v>
      </c>
      <c r="H68" s="217">
        <v>33.450000000000003</v>
      </c>
      <c r="I68" s="217">
        <v>4.16</v>
      </c>
      <c r="J68" s="234">
        <v>2.5299999999999998</v>
      </c>
    </row>
    <row r="69" spans="1:10" x14ac:dyDescent="0.2">
      <c r="A69" s="233" t="s">
        <v>207</v>
      </c>
      <c r="B69" s="217">
        <v>26.7</v>
      </c>
      <c r="C69" s="217">
        <f t="shared" si="0"/>
        <v>0.26700000000000002</v>
      </c>
      <c r="D69" s="217">
        <v>34.01</v>
      </c>
      <c r="E69" s="217">
        <v>864.4</v>
      </c>
      <c r="F69" s="217">
        <v>317.5</v>
      </c>
      <c r="G69" s="217">
        <v>144.1</v>
      </c>
      <c r="H69" s="217">
        <v>52.92</v>
      </c>
      <c r="I69" s="217">
        <v>5.04</v>
      </c>
      <c r="J69" s="234">
        <v>3.06</v>
      </c>
    </row>
    <row r="70" spans="1:10" x14ac:dyDescent="0.2">
      <c r="A70" s="233" t="s">
        <v>208</v>
      </c>
      <c r="B70" s="217">
        <v>33.700000000000003</v>
      </c>
      <c r="C70" s="217">
        <f t="shared" ref="C70:C76" si="1">B70/100</f>
        <v>0.33700000000000002</v>
      </c>
      <c r="D70" s="217">
        <v>42.96</v>
      </c>
      <c r="E70" s="218">
        <v>1509</v>
      </c>
      <c r="F70" s="217">
        <v>549.70000000000005</v>
      </c>
      <c r="G70" s="217">
        <v>215.6</v>
      </c>
      <c r="H70" s="217">
        <v>78.52</v>
      </c>
      <c r="I70" s="217">
        <v>5.93</v>
      </c>
      <c r="J70" s="234">
        <v>3.58</v>
      </c>
    </row>
    <row r="71" spans="1:10" x14ac:dyDescent="0.2">
      <c r="A71" s="233" t="s">
        <v>209</v>
      </c>
      <c r="B71" s="217">
        <v>42.6</v>
      </c>
      <c r="C71" s="217">
        <f t="shared" si="1"/>
        <v>0.42599999999999999</v>
      </c>
      <c r="D71" s="217">
        <v>54.25</v>
      </c>
      <c r="E71" s="218">
        <v>2492</v>
      </c>
      <c r="F71" s="217">
        <v>889.2</v>
      </c>
      <c r="G71" s="217">
        <v>311.5</v>
      </c>
      <c r="H71" s="217">
        <v>111.2</v>
      </c>
      <c r="I71" s="217">
        <v>6.78</v>
      </c>
      <c r="J71" s="234">
        <v>4.05</v>
      </c>
    </row>
    <row r="72" spans="1:10" x14ac:dyDescent="0.2">
      <c r="A72" s="233" t="s">
        <v>210</v>
      </c>
      <c r="B72" s="217">
        <v>51.2</v>
      </c>
      <c r="C72" s="217">
        <f t="shared" si="1"/>
        <v>0.51200000000000001</v>
      </c>
      <c r="D72" s="217">
        <v>65.25</v>
      </c>
      <c r="E72" s="218">
        <v>3831</v>
      </c>
      <c r="F72" s="218">
        <v>1363</v>
      </c>
      <c r="G72" s="217">
        <v>425.7</v>
      </c>
      <c r="H72" s="217">
        <v>151.4</v>
      </c>
      <c r="I72" s="217">
        <v>7.66</v>
      </c>
      <c r="J72" s="234">
        <v>4.57</v>
      </c>
    </row>
    <row r="73" spans="1:10" x14ac:dyDescent="0.2">
      <c r="A73" s="233" t="s">
        <v>211</v>
      </c>
      <c r="B73" s="217">
        <v>61.3</v>
      </c>
      <c r="C73" s="217">
        <f t="shared" si="1"/>
        <v>0.61299999999999999</v>
      </c>
      <c r="D73" s="217">
        <v>78.08</v>
      </c>
      <c r="E73" s="218">
        <v>5696</v>
      </c>
      <c r="F73" s="218">
        <v>2003</v>
      </c>
      <c r="G73" s="217">
        <v>569.6</v>
      </c>
      <c r="H73" s="217">
        <v>200.3</v>
      </c>
      <c r="I73" s="217">
        <v>8.5399999999999991</v>
      </c>
      <c r="J73" s="234">
        <v>5.07</v>
      </c>
    </row>
    <row r="74" spans="1:10" x14ac:dyDescent="0.2">
      <c r="A74" s="233" t="s">
        <v>212</v>
      </c>
      <c r="B74" s="217">
        <v>71.5</v>
      </c>
      <c r="C74" s="217">
        <f t="shared" si="1"/>
        <v>0.71499999999999997</v>
      </c>
      <c r="D74" s="217">
        <v>91.04</v>
      </c>
      <c r="E74" s="218">
        <v>8091</v>
      </c>
      <c r="F74" s="218">
        <v>2843</v>
      </c>
      <c r="G74" s="217">
        <v>735.5</v>
      </c>
      <c r="H74" s="217">
        <v>258.5</v>
      </c>
      <c r="I74" s="217">
        <v>9.43</v>
      </c>
      <c r="J74" s="234">
        <v>5.59</v>
      </c>
    </row>
    <row r="75" spans="1:10" x14ac:dyDescent="0.2">
      <c r="A75" s="233" t="s">
        <v>213</v>
      </c>
      <c r="B75" s="217">
        <v>83.2</v>
      </c>
      <c r="C75" s="217">
        <f t="shared" si="1"/>
        <v>0.83200000000000007</v>
      </c>
      <c r="D75" s="217">
        <v>106</v>
      </c>
      <c r="E75" s="218">
        <v>11260</v>
      </c>
      <c r="F75" s="218">
        <v>3923</v>
      </c>
      <c r="G75" s="217">
        <v>938.3</v>
      </c>
      <c r="H75" s="217">
        <v>326.89999999999998</v>
      </c>
      <c r="I75" s="217">
        <v>10.31</v>
      </c>
      <c r="J75" s="234">
        <v>6.08</v>
      </c>
    </row>
    <row r="76" spans="1:10" x14ac:dyDescent="0.2">
      <c r="A76" s="233" t="s">
        <v>214</v>
      </c>
      <c r="B76" s="217">
        <v>93</v>
      </c>
      <c r="C76" s="217">
        <f t="shared" si="1"/>
        <v>0.93</v>
      </c>
      <c r="D76" s="217">
        <v>118.4</v>
      </c>
      <c r="E76" s="218">
        <v>14920</v>
      </c>
      <c r="F76" s="218">
        <v>5135</v>
      </c>
      <c r="G76" s="218">
        <v>1148</v>
      </c>
      <c r="H76" s="217">
        <v>395</v>
      </c>
      <c r="I76" s="217">
        <v>11.22</v>
      </c>
      <c r="J76" s="234">
        <v>6.58</v>
      </c>
    </row>
    <row r="77" spans="1:10" x14ac:dyDescent="0.2">
      <c r="A77" s="233" t="s">
        <v>215</v>
      </c>
      <c r="B77" s="217">
        <v>103</v>
      </c>
      <c r="C77" s="217">
        <f>B77/100</f>
        <v>1.03</v>
      </c>
      <c r="D77" s="217">
        <v>131.4</v>
      </c>
      <c r="E77" s="218">
        <v>19270</v>
      </c>
      <c r="F77" s="218">
        <v>6595</v>
      </c>
      <c r="G77" s="218">
        <v>1376</v>
      </c>
      <c r="H77" s="217">
        <v>471</v>
      </c>
      <c r="I77" s="217">
        <v>12.11</v>
      </c>
      <c r="J77" s="234">
        <v>7.09</v>
      </c>
    </row>
    <row r="78" spans="1:10" x14ac:dyDescent="0.2">
      <c r="A78" s="233" t="s">
        <v>216</v>
      </c>
      <c r="B78" s="217">
        <v>117</v>
      </c>
      <c r="C78" s="217">
        <f t="shared" ref="C78:C102" si="2">B78/100</f>
        <v>1.17</v>
      </c>
      <c r="D78" s="217">
        <v>149.1</v>
      </c>
      <c r="E78" s="218">
        <v>25170</v>
      </c>
      <c r="F78" s="218">
        <v>8563</v>
      </c>
      <c r="G78" s="218">
        <v>1678</v>
      </c>
      <c r="H78" s="217">
        <v>570.9</v>
      </c>
      <c r="I78" s="217">
        <v>12.99</v>
      </c>
      <c r="J78" s="234">
        <v>7.58</v>
      </c>
    </row>
    <row r="79" spans="1:10" x14ac:dyDescent="0.2">
      <c r="A79" s="233" t="s">
        <v>217</v>
      </c>
      <c r="B79" s="217">
        <v>127</v>
      </c>
      <c r="C79" s="217">
        <f t="shared" si="2"/>
        <v>1.27</v>
      </c>
      <c r="D79" s="217">
        <v>161.30000000000001</v>
      </c>
      <c r="E79" s="218">
        <v>30820</v>
      </c>
      <c r="F79" s="218">
        <v>9239</v>
      </c>
      <c r="G79" s="218">
        <v>1926</v>
      </c>
      <c r="H79" s="217">
        <v>615.9</v>
      </c>
      <c r="I79" s="217">
        <v>13.82</v>
      </c>
      <c r="J79" s="234">
        <v>7.57</v>
      </c>
    </row>
    <row r="80" spans="1:10" x14ac:dyDescent="0.2">
      <c r="A80" s="233" t="s">
        <v>218</v>
      </c>
      <c r="B80" s="217">
        <v>134</v>
      </c>
      <c r="C80" s="217">
        <f t="shared" si="2"/>
        <v>1.34</v>
      </c>
      <c r="D80" s="217">
        <v>170.9</v>
      </c>
      <c r="E80" s="218">
        <v>36660</v>
      </c>
      <c r="F80" s="218">
        <v>9690</v>
      </c>
      <c r="G80" s="218">
        <v>2156</v>
      </c>
      <c r="H80" s="217">
        <v>646</v>
      </c>
      <c r="I80" s="217">
        <v>14.65</v>
      </c>
      <c r="J80" s="234">
        <v>7.53</v>
      </c>
    </row>
    <row r="81" spans="1:10" x14ac:dyDescent="0.2">
      <c r="A81" s="233" t="s">
        <v>219</v>
      </c>
      <c r="B81" s="217">
        <v>142</v>
      </c>
      <c r="C81" s="217">
        <f t="shared" si="2"/>
        <v>1.42</v>
      </c>
      <c r="D81" s="217">
        <v>180.6</v>
      </c>
      <c r="E81" s="218">
        <v>43190</v>
      </c>
      <c r="F81" s="218">
        <v>10140</v>
      </c>
      <c r="G81" s="218">
        <v>2400</v>
      </c>
      <c r="H81" s="217">
        <v>676.1</v>
      </c>
      <c r="I81" s="217">
        <v>15.46</v>
      </c>
      <c r="J81" s="234">
        <v>7.49</v>
      </c>
    </row>
    <row r="82" spans="1:10" x14ac:dyDescent="0.2">
      <c r="A82" s="233" t="s">
        <v>220</v>
      </c>
      <c r="B82" s="217">
        <v>155</v>
      </c>
      <c r="C82" s="217">
        <f t="shared" si="2"/>
        <v>1.55</v>
      </c>
      <c r="D82" s="217">
        <v>197.8</v>
      </c>
      <c r="E82" s="218">
        <v>57680</v>
      </c>
      <c r="F82" s="218">
        <v>10820</v>
      </c>
      <c r="G82" s="218">
        <v>2884</v>
      </c>
      <c r="H82" s="217">
        <v>721.3</v>
      </c>
      <c r="I82" s="217">
        <v>17.079999999999998</v>
      </c>
      <c r="J82" s="234">
        <v>7.4</v>
      </c>
    </row>
    <row r="83" spans="1:10" x14ac:dyDescent="0.2">
      <c r="A83" s="233" t="s">
        <v>221</v>
      </c>
      <c r="B83" s="217">
        <v>171</v>
      </c>
      <c r="C83" s="217">
        <f t="shared" si="2"/>
        <v>1.71</v>
      </c>
      <c r="D83" s="217">
        <v>218</v>
      </c>
      <c r="E83" s="218">
        <v>79890</v>
      </c>
      <c r="F83" s="218">
        <v>11720</v>
      </c>
      <c r="G83" s="218">
        <v>3551</v>
      </c>
      <c r="H83" s="217">
        <v>781.4</v>
      </c>
      <c r="I83" s="217">
        <v>19.14</v>
      </c>
      <c r="J83" s="234">
        <v>7.33</v>
      </c>
    </row>
    <row r="84" spans="1:10" x14ac:dyDescent="0.2">
      <c r="A84" s="233" t="s">
        <v>222</v>
      </c>
      <c r="B84" s="217">
        <v>187</v>
      </c>
      <c r="C84" s="217">
        <f t="shared" si="2"/>
        <v>1.87</v>
      </c>
      <c r="D84" s="217">
        <v>238.6</v>
      </c>
      <c r="E84" s="218">
        <v>107200</v>
      </c>
      <c r="F84" s="218">
        <v>12620</v>
      </c>
      <c r="G84" s="218">
        <v>4287</v>
      </c>
      <c r="H84" s="217">
        <v>841.6</v>
      </c>
      <c r="I84" s="217">
        <v>21.19</v>
      </c>
      <c r="J84" s="234">
        <v>7.27</v>
      </c>
    </row>
    <row r="85" spans="1:10" x14ac:dyDescent="0.2">
      <c r="A85" s="233" t="s">
        <v>223</v>
      </c>
      <c r="B85" s="217">
        <v>199</v>
      </c>
      <c r="C85" s="217">
        <f t="shared" si="2"/>
        <v>1.99</v>
      </c>
      <c r="D85" s="217">
        <v>254.1</v>
      </c>
      <c r="E85" s="218">
        <v>136700</v>
      </c>
      <c r="F85" s="218">
        <v>13080</v>
      </c>
      <c r="G85" s="218">
        <v>4971</v>
      </c>
      <c r="H85" s="217">
        <v>871.8</v>
      </c>
      <c r="I85" s="217">
        <v>23.2</v>
      </c>
      <c r="J85" s="234">
        <v>7.17</v>
      </c>
    </row>
    <row r="86" spans="1:10" x14ac:dyDescent="0.2">
      <c r="A86" s="233" t="s">
        <v>224</v>
      </c>
      <c r="B86" s="217">
        <v>212</v>
      </c>
      <c r="C86" s="217">
        <f t="shared" si="2"/>
        <v>2.12</v>
      </c>
      <c r="D86" s="217">
        <v>270</v>
      </c>
      <c r="E86" s="218">
        <v>171000</v>
      </c>
      <c r="F86" s="218">
        <v>13530</v>
      </c>
      <c r="G86" s="218">
        <v>5701</v>
      </c>
      <c r="H86" s="217">
        <v>902</v>
      </c>
      <c r="I86" s="217">
        <v>25.17</v>
      </c>
      <c r="J86" s="234">
        <v>7.08</v>
      </c>
    </row>
    <row r="87" spans="1:10" x14ac:dyDescent="0.2">
      <c r="A87" s="233" t="s">
        <v>225</v>
      </c>
      <c r="B87" s="217">
        <v>225</v>
      </c>
      <c r="C87" s="217">
        <f t="shared" si="2"/>
        <v>2.25</v>
      </c>
      <c r="D87" s="217">
        <v>286.3</v>
      </c>
      <c r="E87" s="218">
        <v>210600</v>
      </c>
      <c r="F87" s="218">
        <v>13980</v>
      </c>
      <c r="G87" s="218">
        <v>6480</v>
      </c>
      <c r="H87" s="217">
        <v>932.3</v>
      </c>
      <c r="I87" s="217">
        <v>27.12</v>
      </c>
      <c r="J87" s="234">
        <v>6.99</v>
      </c>
    </row>
    <row r="88" spans="1:10" x14ac:dyDescent="0.2">
      <c r="A88" s="233" t="s">
        <v>226</v>
      </c>
      <c r="B88" s="217">
        <v>241</v>
      </c>
      <c r="C88" s="217">
        <f t="shared" si="2"/>
        <v>2.41</v>
      </c>
      <c r="D88" s="217">
        <v>306.39999999999998</v>
      </c>
      <c r="E88" s="218">
        <v>256900</v>
      </c>
      <c r="F88" s="218">
        <v>14440</v>
      </c>
      <c r="G88" s="218">
        <v>7340</v>
      </c>
      <c r="H88" s="217">
        <v>962.7</v>
      </c>
      <c r="I88" s="217">
        <v>28.96</v>
      </c>
      <c r="J88" s="234">
        <v>6.87</v>
      </c>
    </row>
    <row r="89" spans="1:10" x14ac:dyDescent="0.2">
      <c r="A89" s="233" t="s">
        <v>227</v>
      </c>
      <c r="B89" s="217">
        <v>262</v>
      </c>
      <c r="C89" s="217">
        <f t="shared" si="2"/>
        <v>2.62</v>
      </c>
      <c r="D89" s="217">
        <v>334.2</v>
      </c>
      <c r="E89" s="218">
        <v>359100</v>
      </c>
      <c r="F89" s="218">
        <v>14900</v>
      </c>
      <c r="G89" s="218">
        <v>8977</v>
      </c>
      <c r="H89" s="217">
        <v>993.6</v>
      </c>
      <c r="I89" s="217">
        <v>32.78</v>
      </c>
      <c r="J89" s="234">
        <v>6.68</v>
      </c>
    </row>
    <row r="90" spans="1:10" x14ac:dyDescent="0.2">
      <c r="A90" s="233" t="s">
        <v>228</v>
      </c>
      <c r="B90" s="217">
        <v>291</v>
      </c>
      <c r="C90" s="217">
        <f t="shared" si="2"/>
        <v>2.91</v>
      </c>
      <c r="D90" s="217">
        <v>371.3</v>
      </c>
      <c r="E90" s="218">
        <v>494100</v>
      </c>
      <c r="F90" s="218">
        <v>15820</v>
      </c>
      <c r="G90" s="218">
        <v>10980</v>
      </c>
      <c r="H90" s="218">
        <v>1054</v>
      </c>
      <c r="I90" s="217">
        <v>36.479999999999997</v>
      </c>
      <c r="J90" s="234">
        <v>6.53</v>
      </c>
    </row>
    <row r="91" spans="1:10" x14ac:dyDescent="0.2">
      <c r="A91" s="233" t="s">
        <v>229</v>
      </c>
      <c r="B91" s="217">
        <v>314</v>
      </c>
      <c r="C91" s="217">
        <f t="shared" si="2"/>
        <v>3.14</v>
      </c>
      <c r="D91" s="217">
        <v>400</v>
      </c>
      <c r="E91" s="218">
        <v>644700</v>
      </c>
      <c r="F91" s="218">
        <v>16280</v>
      </c>
      <c r="G91" s="218">
        <v>12890</v>
      </c>
      <c r="H91" s="218">
        <v>1085</v>
      </c>
      <c r="I91" s="217">
        <v>40.15</v>
      </c>
      <c r="J91" s="234">
        <v>6.38</v>
      </c>
    </row>
    <row r="92" spans="1:10" x14ac:dyDescent="0.2">
      <c r="A92" s="233" t="s">
        <v>230</v>
      </c>
      <c r="B92" s="217">
        <v>48.8</v>
      </c>
      <c r="C92" s="217">
        <f t="shared" si="2"/>
        <v>0.48799999999999999</v>
      </c>
      <c r="D92" s="217">
        <v>53.24</v>
      </c>
      <c r="E92" s="218">
        <v>1143</v>
      </c>
      <c r="F92" s="217">
        <v>399.2</v>
      </c>
      <c r="G92" s="217">
        <v>194</v>
      </c>
      <c r="H92" s="217">
        <v>75.31</v>
      </c>
      <c r="I92" s="217">
        <v>4.63</v>
      </c>
      <c r="J92" s="234">
        <v>2.74</v>
      </c>
    </row>
    <row r="93" spans="1:10" x14ac:dyDescent="0.2">
      <c r="A93" s="233" t="s">
        <v>231</v>
      </c>
      <c r="B93" s="217">
        <v>52.1</v>
      </c>
      <c r="C93" s="217">
        <f t="shared" si="2"/>
        <v>0.52100000000000002</v>
      </c>
      <c r="D93" s="217">
        <v>66.41</v>
      </c>
      <c r="E93" s="218">
        <v>2018</v>
      </c>
      <c r="F93" s="217">
        <v>702.8</v>
      </c>
      <c r="G93" s="217">
        <v>288.2</v>
      </c>
      <c r="H93" s="217">
        <v>111.6</v>
      </c>
      <c r="I93" s="217">
        <v>5.51</v>
      </c>
      <c r="J93" s="234">
        <v>3.25</v>
      </c>
    </row>
    <row r="94" spans="1:10" x14ac:dyDescent="0.2">
      <c r="A94" s="233" t="s">
        <v>232</v>
      </c>
      <c r="B94" s="217">
        <v>63.2</v>
      </c>
      <c r="C94" s="217">
        <f t="shared" si="2"/>
        <v>0.63200000000000001</v>
      </c>
      <c r="D94" s="217">
        <v>80.56</v>
      </c>
      <c r="E94" s="218">
        <v>3291</v>
      </c>
      <c r="F94" s="218">
        <v>1144</v>
      </c>
      <c r="G94" s="217">
        <v>411.4</v>
      </c>
      <c r="H94" s="217">
        <v>156.80000000000001</v>
      </c>
      <c r="I94" s="217">
        <v>6.39</v>
      </c>
      <c r="J94" s="234">
        <v>3.77</v>
      </c>
    </row>
    <row r="95" spans="1:10" x14ac:dyDescent="0.2">
      <c r="A95" s="233" t="s">
        <v>233</v>
      </c>
      <c r="B95" s="217">
        <v>76.2</v>
      </c>
      <c r="C95" s="217">
        <f t="shared" si="2"/>
        <v>0.76200000000000001</v>
      </c>
      <c r="D95" s="217">
        <v>97.05</v>
      </c>
      <c r="E95" s="218">
        <v>5098</v>
      </c>
      <c r="F95" s="218">
        <v>1759</v>
      </c>
      <c r="G95" s="217">
        <v>566.5</v>
      </c>
      <c r="H95" s="217">
        <v>211.9</v>
      </c>
      <c r="I95" s="217">
        <v>7.25</v>
      </c>
      <c r="J95" s="234">
        <v>4.26</v>
      </c>
    </row>
    <row r="96" spans="1:10" x14ac:dyDescent="0.2">
      <c r="A96" s="233" t="s">
        <v>234</v>
      </c>
      <c r="B96" s="217">
        <v>88.9</v>
      </c>
      <c r="C96" s="217">
        <f t="shared" si="2"/>
        <v>0.88900000000000001</v>
      </c>
      <c r="D96" s="217">
        <v>113.3</v>
      </c>
      <c r="E96" s="218">
        <v>7483</v>
      </c>
      <c r="F96" s="218">
        <v>2580</v>
      </c>
      <c r="G96" s="217">
        <v>748.3</v>
      </c>
      <c r="H96" s="217">
        <v>277.39999999999998</v>
      </c>
      <c r="I96" s="217">
        <v>8.1300000000000008</v>
      </c>
      <c r="J96" s="234">
        <v>4.7699999999999996</v>
      </c>
    </row>
    <row r="97" spans="1:10" x14ac:dyDescent="0.2">
      <c r="A97" s="233" t="s">
        <v>235</v>
      </c>
      <c r="B97" s="217">
        <v>103</v>
      </c>
      <c r="C97" s="217">
        <f t="shared" si="2"/>
        <v>1.03</v>
      </c>
      <c r="D97" s="217">
        <v>131.30000000000001</v>
      </c>
      <c r="E97" s="218">
        <v>10640</v>
      </c>
      <c r="F97" s="218">
        <v>3651</v>
      </c>
      <c r="G97" s="217">
        <v>967.4</v>
      </c>
      <c r="H97" s="217">
        <v>354.5</v>
      </c>
      <c r="I97" s="217">
        <v>9</v>
      </c>
      <c r="J97" s="234">
        <v>5.27</v>
      </c>
    </row>
    <row r="98" spans="1:10" x14ac:dyDescent="0.2">
      <c r="A98" s="233" t="s">
        <v>236</v>
      </c>
      <c r="B98" s="217">
        <v>117</v>
      </c>
      <c r="C98" s="217">
        <f t="shared" si="2"/>
        <v>1.17</v>
      </c>
      <c r="D98" s="217">
        <v>149.4</v>
      </c>
      <c r="E98" s="218">
        <v>14600</v>
      </c>
      <c r="F98" s="218">
        <v>5012</v>
      </c>
      <c r="G98" s="218">
        <v>1217</v>
      </c>
      <c r="H98" s="217">
        <v>443.5</v>
      </c>
      <c r="I98" s="217">
        <v>9.89</v>
      </c>
      <c r="J98" s="234">
        <v>5.79</v>
      </c>
    </row>
    <row r="99" spans="1:10" x14ac:dyDescent="0.2">
      <c r="A99" s="233" t="s">
        <v>237</v>
      </c>
      <c r="B99" s="217">
        <v>157</v>
      </c>
      <c r="C99" s="217">
        <f t="shared" si="2"/>
        <v>1.57</v>
      </c>
      <c r="D99" s="217">
        <v>199.6</v>
      </c>
      <c r="E99" s="218">
        <v>24290</v>
      </c>
      <c r="F99" s="218">
        <v>8153</v>
      </c>
      <c r="G99" s="218">
        <v>1799</v>
      </c>
      <c r="H99" s="217">
        <v>657.5</v>
      </c>
      <c r="I99" s="217">
        <v>11.03</v>
      </c>
      <c r="J99" s="234">
        <v>6.39</v>
      </c>
    </row>
    <row r="100" spans="1:10" x14ac:dyDescent="0.2">
      <c r="A100" s="233" t="s">
        <v>238</v>
      </c>
      <c r="B100" s="217">
        <v>172</v>
      </c>
      <c r="C100" s="217">
        <f t="shared" si="2"/>
        <v>1.72</v>
      </c>
      <c r="D100" s="217">
        <v>219.6</v>
      </c>
      <c r="E100" s="218">
        <v>31310</v>
      </c>
      <c r="F100" s="218">
        <v>10450</v>
      </c>
      <c r="G100" s="218">
        <v>2159</v>
      </c>
      <c r="H100" s="217">
        <v>779.7</v>
      </c>
      <c r="I100" s="217">
        <v>11.94</v>
      </c>
      <c r="J100" s="234">
        <v>6.9</v>
      </c>
    </row>
    <row r="101" spans="1:10" x14ac:dyDescent="0.2">
      <c r="A101" s="233" t="s">
        <v>239</v>
      </c>
      <c r="B101" s="217">
        <v>189</v>
      </c>
      <c r="C101" s="217">
        <f t="shared" si="2"/>
        <v>1.89</v>
      </c>
      <c r="D101" s="217">
        <v>240.2</v>
      </c>
      <c r="E101" s="218">
        <v>39550</v>
      </c>
      <c r="F101" s="218">
        <v>13160</v>
      </c>
      <c r="G101" s="218">
        <v>2551</v>
      </c>
      <c r="H101" s="217">
        <v>914.1</v>
      </c>
      <c r="I101" s="217">
        <v>12.83</v>
      </c>
      <c r="J101" s="234">
        <v>7.4</v>
      </c>
    </row>
    <row r="102" spans="1:10" x14ac:dyDescent="0.2">
      <c r="A102" s="233" t="s">
        <v>240</v>
      </c>
      <c r="B102" s="217">
        <v>238</v>
      </c>
      <c r="C102" s="217">
        <f t="shared" si="2"/>
        <v>2.38</v>
      </c>
      <c r="D102" s="217">
        <v>303.10000000000002</v>
      </c>
      <c r="E102" s="218">
        <v>59200</v>
      </c>
      <c r="F102" s="218">
        <v>19400</v>
      </c>
      <c r="G102" s="218">
        <v>3482</v>
      </c>
      <c r="H102" s="218">
        <v>1252</v>
      </c>
      <c r="I102" s="217">
        <v>13.98</v>
      </c>
      <c r="J102" s="234">
        <v>8</v>
      </c>
    </row>
    <row r="103" spans="1:10" x14ac:dyDescent="0.2">
      <c r="A103" s="233" t="s">
        <v>241</v>
      </c>
      <c r="B103" s="217">
        <v>245</v>
      </c>
      <c r="C103" s="217">
        <f>B103/100</f>
        <v>2.4500000000000002</v>
      </c>
      <c r="D103" s="217">
        <v>312</v>
      </c>
      <c r="E103" s="218">
        <v>68130</v>
      </c>
      <c r="F103" s="218">
        <v>19710</v>
      </c>
      <c r="G103" s="218">
        <v>3796</v>
      </c>
      <c r="H103" s="218">
        <v>1276</v>
      </c>
      <c r="I103" s="217">
        <v>14.78</v>
      </c>
      <c r="J103" s="234">
        <v>7.95</v>
      </c>
    </row>
    <row r="104" spans="1:10" x14ac:dyDescent="0.2">
      <c r="A104" s="233" t="s">
        <v>242</v>
      </c>
      <c r="B104" s="217">
        <v>248</v>
      </c>
      <c r="C104" s="217">
        <f>B104/100</f>
        <v>2.48</v>
      </c>
      <c r="D104" s="217">
        <v>315.8</v>
      </c>
      <c r="E104" s="218">
        <v>76370</v>
      </c>
      <c r="F104" s="218">
        <v>19710</v>
      </c>
      <c r="G104" s="218">
        <v>4052</v>
      </c>
      <c r="H104" s="218">
        <v>1276</v>
      </c>
      <c r="I104" s="217">
        <v>15.55</v>
      </c>
      <c r="J104" s="234">
        <v>7.9</v>
      </c>
    </row>
    <row r="105" spans="1:10" x14ac:dyDescent="0.2">
      <c r="A105" s="233" t="s">
        <v>243</v>
      </c>
      <c r="B105" s="217">
        <v>250</v>
      </c>
      <c r="C105" s="217">
        <f t="shared" ref="C105:C129" si="3">B105/100</f>
        <v>2.5</v>
      </c>
      <c r="D105" s="217">
        <v>318.8</v>
      </c>
      <c r="E105" s="218">
        <v>84870</v>
      </c>
      <c r="F105" s="218">
        <v>19520</v>
      </c>
      <c r="G105" s="218">
        <v>4297</v>
      </c>
      <c r="H105" s="218">
        <v>1268</v>
      </c>
      <c r="I105" s="217">
        <v>16.32</v>
      </c>
      <c r="J105" s="234">
        <v>7.83</v>
      </c>
    </row>
    <row r="106" spans="1:10" x14ac:dyDescent="0.2">
      <c r="A106" s="233" t="s">
        <v>244</v>
      </c>
      <c r="B106" s="217">
        <v>256</v>
      </c>
      <c r="C106" s="217">
        <f t="shared" si="3"/>
        <v>2.56</v>
      </c>
      <c r="D106" s="217">
        <v>325.8</v>
      </c>
      <c r="E106" s="218">
        <v>104100</v>
      </c>
      <c r="F106" s="218">
        <v>19340</v>
      </c>
      <c r="G106" s="218">
        <v>4820</v>
      </c>
      <c r="H106" s="218">
        <v>1260</v>
      </c>
      <c r="I106" s="217">
        <v>17.88</v>
      </c>
      <c r="J106" s="234">
        <v>7.7</v>
      </c>
    </row>
    <row r="107" spans="1:10" x14ac:dyDescent="0.2">
      <c r="A107" s="233" t="s">
        <v>245</v>
      </c>
      <c r="B107" s="217">
        <v>263</v>
      </c>
      <c r="C107" s="217">
        <f t="shared" si="3"/>
        <v>2.63</v>
      </c>
      <c r="D107" s="217">
        <v>335.4</v>
      </c>
      <c r="E107" s="218">
        <v>131500</v>
      </c>
      <c r="F107" s="218">
        <v>19340</v>
      </c>
      <c r="G107" s="218">
        <v>5501</v>
      </c>
      <c r="H107" s="218">
        <v>1260</v>
      </c>
      <c r="I107" s="217">
        <v>19.8</v>
      </c>
      <c r="J107" s="234">
        <v>7.59</v>
      </c>
    </row>
    <row r="108" spans="1:10" x14ac:dyDescent="0.2">
      <c r="A108" s="233" t="s">
        <v>246</v>
      </c>
      <c r="B108" s="217">
        <v>270</v>
      </c>
      <c r="C108" s="217">
        <f t="shared" si="3"/>
        <v>2.7</v>
      </c>
      <c r="D108" s="217">
        <v>344.3</v>
      </c>
      <c r="E108" s="218">
        <v>161900</v>
      </c>
      <c r="F108" s="218">
        <v>19150</v>
      </c>
      <c r="G108" s="218">
        <v>6180</v>
      </c>
      <c r="H108" s="218">
        <v>1252</v>
      </c>
      <c r="I108" s="217">
        <v>21.69</v>
      </c>
      <c r="J108" s="234">
        <v>7.46</v>
      </c>
    </row>
    <row r="109" spans="1:10" x14ac:dyDescent="0.2">
      <c r="A109" s="233" t="s">
        <v>247</v>
      </c>
      <c r="B109" s="217">
        <v>278</v>
      </c>
      <c r="C109" s="217">
        <f t="shared" si="3"/>
        <v>2.78</v>
      </c>
      <c r="D109" s="217">
        <v>354.4</v>
      </c>
      <c r="E109" s="218">
        <v>198000</v>
      </c>
      <c r="F109" s="218">
        <v>19160</v>
      </c>
      <c r="G109" s="218">
        <v>6923</v>
      </c>
      <c r="H109" s="218">
        <v>1252</v>
      </c>
      <c r="I109" s="221">
        <v>23.64</v>
      </c>
      <c r="J109" s="234">
        <v>7.35</v>
      </c>
    </row>
    <row r="110" spans="1:10" x14ac:dyDescent="0.2">
      <c r="A110" s="233" t="s">
        <v>248</v>
      </c>
      <c r="B110" s="217">
        <v>285</v>
      </c>
      <c r="C110" s="217">
        <f t="shared" si="3"/>
        <v>2.85</v>
      </c>
      <c r="D110" s="217">
        <v>363.7</v>
      </c>
      <c r="E110" s="218">
        <v>237400</v>
      </c>
      <c r="F110" s="218">
        <v>18980</v>
      </c>
      <c r="G110" s="218">
        <v>7660</v>
      </c>
      <c r="H110" s="218">
        <v>1244</v>
      </c>
      <c r="I110" s="217">
        <v>25.55</v>
      </c>
      <c r="J110" s="234">
        <v>7.22</v>
      </c>
    </row>
    <row r="111" spans="1:10" x14ac:dyDescent="0.2">
      <c r="A111" s="233" t="s">
        <v>249</v>
      </c>
      <c r="B111" s="217">
        <v>293</v>
      </c>
      <c r="C111" s="217">
        <f t="shared" si="3"/>
        <v>2.93</v>
      </c>
      <c r="D111" s="217">
        <v>373.7</v>
      </c>
      <c r="E111" s="218">
        <v>281700</v>
      </c>
      <c r="F111" s="218">
        <v>18980</v>
      </c>
      <c r="G111" s="218">
        <v>8433</v>
      </c>
      <c r="H111" s="218">
        <v>1245</v>
      </c>
      <c r="I111" s="217">
        <v>27.45</v>
      </c>
      <c r="J111" s="234">
        <v>7.13</v>
      </c>
    </row>
    <row r="112" spans="1:10" x14ac:dyDescent="0.2">
      <c r="A112" s="233" t="s">
        <v>250</v>
      </c>
      <c r="B112" s="217">
        <v>301</v>
      </c>
      <c r="C112" s="217">
        <f t="shared" si="3"/>
        <v>3.01</v>
      </c>
      <c r="D112" s="217">
        <v>383</v>
      </c>
      <c r="E112" s="218">
        <v>329300</v>
      </c>
      <c r="F112" s="218">
        <v>18800</v>
      </c>
      <c r="G112" s="218">
        <v>9198</v>
      </c>
      <c r="H112" s="218">
        <v>1237</v>
      </c>
      <c r="I112" s="217">
        <v>29.32</v>
      </c>
      <c r="J112" s="235">
        <v>0.29236111111111113</v>
      </c>
    </row>
    <row r="113" spans="1:10" x14ac:dyDescent="0.2">
      <c r="A113" s="233" t="s">
        <v>251</v>
      </c>
      <c r="B113" s="217">
        <v>317</v>
      </c>
      <c r="C113" s="217">
        <f t="shared" si="3"/>
        <v>3.17</v>
      </c>
      <c r="D113" s="217">
        <v>404.3</v>
      </c>
      <c r="E113" s="218">
        <v>442600</v>
      </c>
      <c r="F113" s="218">
        <v>18630</v>
      </c>
      <c r="G113" s="218">
        <v>10870</v>
      </c>
      <c r="H113" s="218">
        <v>1230</v>
      </c>
      <c r="I113" s="217">
        <v>33.090000000000003</v>
      </c>
      <c r="J113" s="234">
        <v>6.79</v>
      </c>
    </row>
    <row r="114" spans="1:10" x14ac:dyDescent="0.2">
      <c r="A114" s="233" t="s">
        <v>252</v>
      </c>
      <c r="B114" s="217">
        <v>333</v>
      </c>
      <c r="C114" s="217">
        <f t="shared" si="3"/>
        <v>3.33</v>
      </c>
      <c r="D114" s="217">
        <v>423.6</v>
      </c>
      <c r="E114" s="218">
        <v>570400</v>
      </c>
      <c r="F114" s="218">
        <v>18450</v>
      </c>
      <c r="G114" s="218">
        <v>12540</v>
      </c>
      <c r="H114" s="218">
        <v>1222</v>
      </c>
      <c r="I114" s="217">
        <v>36.700000000000003</v>
      </c>
      <c r="J114" s="234">
        <v>6.6</v>
      </c>
    </row>
    <row r="115" spans="1:10" x14ac:dyDescent="0.2">
      <c r="A115" s="233" t="s">
        <v>253</v>
      </c>
      <c r="B115" s="217">
        <v>349</v>
      </c>
      <c r="C115" s="217">
        <f t="shared" si="3"/>
        <v>3.49</v>
      </c>
      <c r="D115" s="217">
        <v>444.2</v>
      </c>
      <c r="E115" s="218">
        <v>722300</v>
      </c>
      <c r="F115" s="218">
        <v>18460</v>
      </c>
      <c r="G115" s="218">
        <v>14330</v>
      </c>
      <c r="H115" s="218">
        <v>1222</v>
      </c>
      <c r="I115" s="217">
        <v>40.32</v>
      </c>
      <c r="J115" s="234">
        <v>6.45</v>
      </c>
    </row>
    <row r="116" spans="1:10" x14ac:dyDescent="0.2">
      <c r="A116" s="233" t="s">
        <v>254</v>
      </c>
      <c r="B116" s="219">
        <v>0.18541666666666667</v>
      </c>
      <c r="C116" s="217">
        <f t="shared" si="3"/>
        <v>1.8541666666666667E-3</v>
      </c>
      <c r="D116" s="217">
        <v>5.44</v>
      </c>
      <c r="E116" s="217">
        <v>6.39</v>
      </c>
      <c r="F116" s="217">
        <v>5.0999999999999996</v>
      </c>
      <c r="G116" s="217">
        <v>4.26</v>
      </c>
      <c r="H116" s="217">
        <v>2.6</v>
      </c>
      <c r="I116" s="217">
        <v>1.08</v>
      </c>
      <c r="J116" s="234">
        <v>0.96799999999999997</v>
      </c>
    </row>
    <row r="117" spans="1:10" x14ac:dyDescent="0.2">
      <c r="A117" s="233" t="s">
        <v>255</v>
      </c>
      <c r="B117" s="217">
        <v>4.88</v>
      </c>
      <c r="C117" s="217">
        <f t="shared" si="3"/>
        <v>4.8799999999999996E-2</v>
      </c>
      <c r="D117" s="217">
        <v>6.21</v>
      </c>
      <c r="E117" s="217">
        <v>14.1</v>
      </c>
      <c r="F117" s="217">
        <v>6.68</v>
      </c>
      <c r="G117" s="217">
        <v>7.07</v>
      </c>
      <c r="H117" s="217">
        <v>3.08</v>
      </c>
      <c r="I117" s="217">
        <v>1.51</v>
      </c>
      <c r="J117" s="234">
        <v>1.04</v>
      </c>
    </row>
    <row r="118" spans="1:10" x14ac:dyDescent="0.2">
      <c r="A118" s="233" t="s">
        <v>256</v>
      </c>
      <c r="B118" s="217">
        <v>5.59</v>
      </c>
      <c r="C118" s="217">
        <f t="shared" si="3"/>
        <v>5.5899999999999998E-2</v>
      </c>
      <c r="D118" s="217">
        <v>7.12</v>
      </c>
      <c r="E118" s="217">
        <v>26.5</v>
      </c>
      <c r="F118" s="217">
        <v>9.1</v>
      </c>
      <c r="G118" s="217">
        <v>10.06</v>
      </c>
      <c r="H118" s="217">
        <v>3.74</v>
      </c>
      <c r="I118" s="217">
        <v>1.93</v>
      </c>
      <c r="J118" s="234">
        <v>1.1299999999999999</v>
      </c>
    </row>
    <row r="119" spans="1:10" x14ac:dyDescent="0.2">
      <c r="A119" s="233" t="s">
        <v>257</v>
      </c>
      <c r="B119" s="217">
        <v>7.09</v>
      </c>
      <c r="C119" s="217">
        <f t="shared" si="3"/>
        <v>7.0900000000000005E-2</v>
      </c>
      <c r="D119" s="217">
        <v>9.0299999999999994</v>
      </c>
      <c r="E119" s="217">
        <v>57.5</v>
      </c>
      <c r="F119" s="217">
        <v>14</v>
      </c>
      <c r="G119" s="217">
        <v>17.7</v>
      </c>
      <c r="H119" s="217">
        <v>5.05</v>
      </c>
      <c r="I119" s="217">
        <v>2.52</v>
      </c>
      <c r="J119" s="234">
        <v>1.25</v>
      </c>
    </row>
    <row r="120" spans="1:10" x14ac:dyDescent="0.2">
      <c r="A120" s="233" t="s">
        <v>258</v>
      </c>
      <c r="B120" s="217">
        <v>8.65</v>
      </c>
      <c r="C120" s="217">
        <f t="shared" si="3"/>
        <v>8.6500000000000007E-2</v>
      </c>
      <c r="D120" s="217">
        <v>11</v>
      </c>
      <c r="E120" s="217">
        <v>106</v>
      </c>
      <c r="F120" s="217">
        <v>19.399999999999999</v>
      </c>
      <c r="G120" s="217">
        <v>26.5</v>
      </c>
      <c r="H120" s="217">
        <v>6.35</v>
      </c>
      <c r="I120" s="217">
        <v>3.1</v>
      </c>
      <c r="J120" s="234">
        <v>1.33</v>
      </c>
    </row>
    <row r="121" spans="1:10" x14ac:dyDescent="0.2">
      <c r="A121" s="233" t="s">
        <v>259</v>
      </c>
      <c r="B121" s="217">
        <v>10.6</v>
      </c>
      <c r="C121" s="217">
        <f t="shared" si="3"/>
        <v>0.106</v>
      </c>
      <c r="D121" s="217">
        <v>13.5</v>
      </c>
      <c r="E121" s="217">
        <v>205</v>
      </c>
      <c r="F121" s="217">
        <v>29.1</v>
      </c>
      <c r="G121" s="217">
        <v>41.1</v>
      </c>
      <c r="H121" s="217">
        <v>8.4499999999999993</v>
      </c>
      <c r="I121" s="217">
        <v>3.91</v>
      </c>
      <c r="J121" s="234">
        <v>1.47</v>
      </c>
    </row>
    <row r="122" spans="1:10" x14ac:dyDescent="0.2">
      <c r="A122" s="233" t="s">
        <v>260</v>
      </c>
      <c r="B122" s="217">
        <v>13.3</v>
      </c>
      <c r="C122" s="217">
        <f t="shared" si="3"/>
        <v>0.13300000000000001</v>
      </c>
      <c r="D122" s="217">
        <v>17</v>
      </c>
      <c r="E122" s="217">
        <v>364</v>
      </c>
      <c r="F122" s="217">
        <v>43.1</v>
      </c>
      <c r="G122" s="217">
        <v>60.7</v>
      </c>
      <c r="H122" s="217">
        <v>11.1</v>
      </c>
      <c r="I122" s="217">
        <v>4.63</v>
      </c>
      <c r="J122" s="234">
        <v>1.59</v>
      </c>
    </row>
    <row r="123" spans="1:10" x14ac:dyDescent="0.2">
      <c r="A123" s="233" t="s">
        <v>261</v>
      </c>
      <c r="B123" s="217">
        <v>16</v>
      </c>
      <c r="C123" s="217">
        <f t="shared" si="3"/>
        <v>0.16</v>
      </c>
      <c r="D123" s="217">
        <v>20.399999999999999</v>
      </c>
      <c r="E123" s="217">
        <v>605</v>
      </c>
      <c r="F123" s="217">
        <v>62.5</v>
      </c>
      <c r="G123" s="217">
        <v>86.4</v>
      </c>
      <c r="H123" s="217">
        <v>14.7</v>
      </c>
      <c r="I123" s="217">
        <v>5.45</v>
      </c>
      <c r="J123" s="234">
        <v>1.75</v>
      </c>
    </row>
    <row r="124" spans="1:10" x14ac:dyDescent="0.2">
      <c r="A124" s="233" t="s">
        <v>262</v>
      </c>
      <c r="B124" s="217">
        <v>18.899999999999999</v>
      </c>
      <c r="C124" s="217">
        <f t="shared" si="3"/>
        <v>0.18899999999999997</v>
      </c>
      <c r="D124" s="217">
        <v>24</v>
      </c>
      <c r="E124" s="217">
        <v>925</v>
      </c>
      <c r="F124" s="217">
        <v>85.1</v>
      </c>
      <c r="G124" s="217">
        <v>116</v>
      </c>
      <c r="H124" s="217">
        <v>18.2</v>
      </c>
      <c r="I124" s="217">
        <v>6.21</v>
      </c>
      <c r="J124" s="234">
        <v>1.88</v>
      </c>
    </row>
    <row r="125" spans="1:10" x14ac:dyDescent="0.2">
      <c r="A125" s="233" t="s">
        <v>263</v>
      </c>
      <c r="B125" s="217">
        <v>22</v>
      </c>
      <c r="C125" s="217">
        <f t="shared" si="3"/>
        <v>0.22</v>
      </c>
      <c r="D125" s="217">
        <v>28</v>
      </c>
      <c r="E125" s="218">
        <v>1354</v>
      </c>
      <c r="F125" s="217">
        <v>114</v>
      </c>
      <c r="G125" s="217">
        <v>150</v>
      </c>
      <c r="H125" s="217">
        <v>22.4</v>
      </c>
      <c r="I125" s="217">
        <v>6.96</v>
      </c>
      <c r="J125" s="234">
        <v>2.0099999999999998</v>
      </c>
    </row>
    <row r="126" spans="1:10" x14ac:dyDescent="0.2">
      <c r="A126" s="233" t="s">
        <v>264</v>
      </c>
      <c r="B126" s="217">
        <v>25.3</v>
      </c>
      <c r="C126" s="217">
        <f t="shared" si="3"/>
        <v>0.253</v>
      </c>
      <c r="D126" s="217">
        <v>32.200000000000003</v>
      </c>
      <c r="E126" s="218">
        <v>1911</v>
      </c>
      <c r="F126" s="217">
        <v>148</v>
      </c>
      <c r="G126" s="217">
        <v>191</v>
      </c>
      <c r="H126" s="217">
        <v>26.9</v>
      </c>
      <c r="I126" s="217">
        <v>7.71</v>
      </c>
      <c r="J126" s="234">
        <v>2.14</v>
      </c>
    </row>
    <row r="127" spans="1:10" x14ac:dyDescent="0.2">
      <c r="A127" s="233" t="s">
        <v>265</v>
      </c>
      <c r="B127" s="217">
        <v>29.4</v>
      </c>
      <c r="C127" s="217">
        <f t="shared" si="3"/>
        <v>0.29399999999999998</v>
      </c>
      <c r="D127" s="217">
        <v>37.4</v>
      </c>
      <c r="E127" s="218">
        <v>2691</v>
      </c>
      <c r="F127" s="217">
        <v>196</v>
      </c>
      <c r="G127" s="217">
        <v>245</v>
      </c>
      <c r="H127" s="217">
        <v>33.5</v>
      </c>
      <c r="I127" s="217">
        <v>8.48</v>
      </c>
      <c r="J127" s="234">
        <v>2.29</v>
      </c>
    </row>
    <row r="128" spans="1:10" x14ac:dyDescent="0.2">
      <c r="A128" s="233" t="s">
        <v>266</v>
      </c>
      <c r="B128" s="217">
        <v>33.200000000000003</v>
      </c>
      <c r="C128" s="217">
        <f t="shared" si="3"/>
        <v>0.33200000000000002</v>
      </c>
      <c r="D128" s="217">
        <v>42.3</v>
      </c>
      <c r="E128" s="218">
        <v>3599</v>
      </c>
      <c r="F128" s="217">
        <v>247</v>
      </c>
      <c r="G128" s="217">
        <v>300</v>
      </c>
      <c r="H128" s="217">
        <v>39.5</v>
      </c>
      <c r="I128" s="217">
        <v>9.2200000000000006</v>
      </c>
      <c r="J128" s="234">
        <v>4.42</v>
      </c>
    </row>
    <row r="129" spans="1:10" x14ac:dyDescent="0.2">
      <c r="A129" s="233" t="s">
        <v>267</v>
      </c>
      <c r="B129" s="217">
        <v>37.9</v>
      </c>
      <c r="C129" s="217">
        <f t="shared" si="3"/>
        <v>0.379</v>
      </c>
      <c r="D129" s="217">
        <v>48.3</v>
      </c>
      <c r="E129" s="218">
        <v>4824</v>
      </c>
      <c r="F129" s="217">
        <v>317</v>
      </c>
      <c r="G129" s="217">
        <v>371</v>
      </c>
      <c r="H129" s="217">
        <v>47.8</v>
      </c>
      <c r="I129" s="217">
        <v>10</v>
      </c>
      <c r="J129" s="234">
        <v>2.56</v>
      </c>
    </row>
    <row r="130" spans="1:10" x14ac:dyDescent="0.2">
      <c r="A130" s="233" t="s">
        <v>268</v>
      </c>
      <c r="B130" s="217">
        <v>41.9</v>
      </c>
      <c r="C130" s="217">
        <f>B130/100</f>
        <v>0.41899999999999998</v>
      </c>
      <c r="D130" s="217">
        <v>53.4</v>
      </c>
      <c r="E130" s="218">
        <v>6276</v>
      </c>
      <c r="F130" s="217">
        <v>398</v>
      </c>
      <c r="G130" s="217">
        <v>448</v>
      </c>
      <c r="H130" s="217">
        <v>57.2</v>
      </c>
      <c r="I130" s="217">
        <v>10.8</v>
      </c>
      <c r="J130" s="234">
        <v>2.73</v>
      </c>
    </row>
    <row r="131" spans="1:10" x14ac:dyDescent="0.2">
      <c r="A131" s="233" t="s">
        <v>269</v>
      </c>
      <c r="B131" s="217">
        <v>46.1</v>
      </c>
      <c r="C131" s="217">
        <f>B131/100</f>
        <v>0.46100000000000002</v>
      </c>
      <c r="D131" s="217">
        <v>58.8</v>
      </c>
      <c r="E131" s="218">
        <v>8028</v>
      </c>
      <c r="F131" s="217">
        <v>493</v>
      </c>
      <c r="G131" s="217">
        <v>535</v>
      </c>
      <c r="H131" s="217">
        <v>67.599999999999994</v>
      </c>
      <c r="I131" s="217">
        <v>11.7</v>
      </c>
      <c r="J131" s="234">
        <v>2.9</v>
      </c>
    </row>
    <row r="132" spans="1:10" x14ac:dyDescent="0.2">
      <c r="A132" s="233" t="s">
        <v>270</v>
      </c>
      <c r="B132" s="217">
        <v>1.1299999999999999</v>
      </c>
      <c r="C132" s="217">
        <f t="shared" ref="C132:C156" si="4">B132/100</f>
        <v>1.1299999999999999E-2</v>
      </c>
      <c r="D132" s="217">
        <v>1.44</v>
      </c>
      <c r="E132" s="217">
        <v>0.503</v>
      </c>
      <c r="F132" s="217">
        <v>0.27500000000000002</v>
      </c>
      <c r="G132" s="217">
        <v>0.371</v>
      </c>
      <c r="H132" s="217">
        <v>0.27500000000000002</v>
      </c>
      <c r="I132" s="217">
        <v>0.59099999999999997</v>
      </c>
      <c r="J132" s="234">
        <v>0.437</v>
      </c>
    </row>
    <row r="133" spans="1:10" x14ac:dyDescent="0.2">
      <c r="A133" s="233" t="s">
        <v>271</v>
      </c>
      <c r="B133" s="217">
        <v>1.61</v>
      </c>
      <c r="C133" s="217">
        <f t="shared" si="4"/>
        <v>1.61E-2</v>
      </c>
      <c r="D133" s="217">
        <v>2.0499999999999998</v>
      </c>
      <c r="E133" s="217">
        <v>1.1299999999999999</v>
      </c>
      <c r="F133" s="217">
        <v>0.60099999999999998</v>
      </c>
      <c r="G133" s="217">
        <v>0.66200000000000003</v>
      </c>
      <c r="H133" s="217">
        <v>0.48099999999999998</v>
      </c>
      <c r="I133" s="217">
        <v>0.74399999999999999</v>
      </c>
      <c r="J133" s="234">
        <v>0.54200000000000004</v>
      </c>
    </row>
    <row r="134" spans="1:10" x14ac:dyDescent="0.2">
      <c r="A134" s="233" t="s">
        <v>272</v>
      </c>
      <c r="B134" s="217">
        <v>2.16</v>
      </c>
      <c r="C134" s="217">
        <f t="shared" si="4"/>
        <v>2.1600000000000001E-2</v>
      </c>
      <c r="D134" s="217">
        <v>2.75</v>
      </c>
      <c r="E134" s="217">
        <v>2.2200000000000002</v>
      </c>
      <c r="F134" s="217">
        <v>1.1499999999999999</v>
      </c>
      <c r="G134" s="217">
        <v>1.07</v>
      </c>
      <c r="H134" s="217">
        <v>0.76700000000000002</v>
      </c>
      <c r="I134" s="217">
        <v>0.89700000000000002</v>
      </c>
      <c r="J134" s="234">
        <v>0.64700000000000002</v>
      </c>
    </row>
    <row r="135" spans="1:10" x14ac:dyDescent="0.2">
      <c r="A135" s="233" t="s">
        <v>273</v>
      </c>
      <c r="B135" s="217">
        <v>2.78</v>
      </c>
      <c r="C135" s="217">
        <f t="shared" si="4"/>
        <v>2.7799999999999998E-2</v>
      </c>
      <c r="D135" s="217">
        <v>3.55</v>
      </c>
      <c r="E135" s="217">
        <v>3.92</v>
      </c>
      <c r="F135" s="217">
        <v>2.0099999999999998</v>
      </c>
      <c r="G135" s="217">
        <v>1.62</v>
      </c>
      <c r="H135" s="217">
        <v>1.1499999999999999</v>
      </c>
      <c r="I135" s="217">
        <v>1.05</v>
      </c>
      <c r="J135" s="234">
        <v>0.752</v>
      </c>
    </row>
    <row r="136" spans="1:10" x14ac:dyDescent="0.2">
      <c r="A136" s="233" t="s">
        <v>274</v>
      </c>
      <c r="B136" s="217">
        <v>3.49</v>
      </c>
      <c r="C136" s="217">
        <f t="shared" si="4"/>
        <v>3.49E-2</v>
      </c>
      <c r="D136" s="217">
        <v>4.4400000000000004</v>
      </c>
      <c r="E136" s="217">
        <v>6.45</v>
      </c>
      <c r="F136" s="217">
        <v>3.26</v>
      </c>
      <c r="G136" s="217">
        <v>2.3199999999999998</v>
      </c>
      <c r="H136" s="217">
        <v>1.63</v>
      </c>
      <c r="I136" s="217">
        <v>1.21</v>
      </c>
      <c r="J136" s="234">
        <v>0.85699999999999998</v>
      </c>
    </row>
    <row r="137" spans="1:10" x14ac:dyDescent="0.2">
      <c r="A137" s="233" t="s">
        <v>275</v>
      </c>
      <c r="B137" s="217">
        <v>4.26</v>
      </c>
      <c r="C137" s="217">
        <f t="shared" si="4"/>
        <v>4.2599999999999999E-2</v>
      </c>
      <c r="D137" s="217">
        <v>5.43</v>
      </c>
      <c r="E137" s="217">
        <v>10</v>
      </c>
      <c r="F137" s="217">
        <v>5.0199999999999996</v>
      </c>
      <c r="G137" s="217">
        <v>3.2</v>
      </c>
      <c r="H137" s="217">
        <v>2.23</v>
      </c>
      <c r="I137" s="217">
        <v>1.36</v>
      </c>
      <c r="J137" s="234">
        <v>0.96199999999999997</v>
      </c>
    </row>
    <row r="138" spans="1:10" x14ac:dyDescent="0.2">
      <c r="A138" s="233" t="s">
        <v>276</v>
      </c>
      <c r="B138" s="217">
        <v>5.1100000000000003</v>
      </c>
      <c r="C138" s="217">
        <f t="shared" si="4"/>
        <v>5.1100000000000007E-2</v>
      </c>
      <c r="D138" s="217">
        <v>6.51</v>
      </c>
      <c r="E138" s="217">
        <v>14.9</v>
      </c>
      <c r="F138" s="217">
        <v>7.41</v>
      </c>
      <c r="G138" s="217">
        <v>4.26</v>
      </c>
      <c r="H138" s="217">
        <v>2.97</v>
      </c>
      <c r="I138" s="217">
        <v>1.51</v>
      </c>
      <c r="J138" s="234">
        <v>1.07</v>
      </c>
    </row>
    <row r="139" spans="1:10" x14ac:dyDescent="0.2">
      <c r="A139" s="233" t="s">
        <v>277</v>
      </c>
      <c r="B139" s="217">
        <v>7.03</v>
      </c>
      <c r="C139" s="217">
        <f t="shared" si="4"/>
        <v>7.0300000000000001E-2</v>
      </c>
      <c r="D139" s="217">
        <v>8.9600000000000009</v>
      </c>
      <c r="E139" s="217">
        <v>29.7</v>
      </c>
      <c r="F139" s="217">
        <v>14.6</v>
      </c>
      <c r="G139" s="217">
        <v>7.06</v>
      </c>
      <c r="H139" s="217">
        <v>4.87</v>
      </c>
      <c r="I139" s="217">
        <v>1.82</v>
      </c>
      <c r="J139" s="234">
        <v>1.28</v>
      </c>
    </row>
    <row r="140" spans="1:10" x14ac:dyDescent="0.2">
      <c r="A140" s="233" t="s">
        <v>278</v>
      </c>
      <c r="B140" s="217">
        <v>9.26</v>
      </c>
      <c r="C140" s="217">
        <f t="shared" si="4"/>
        <v>9.2600000000000002E-2</v>
      </c>
      <c r="D140" s="217">
        <v>11.8</v>
      </c>
      <c r="E140" s="217">
        <v>53.4</v>
      </c>
      <c r="F140" s="217">
        <v>26.1</v>
      </c>
      <c r="G140" s="217">
        <v>10.9</v>
      </c>
      <c r="H140" s="217">
        <v>7.46</v>
      </c>
      <c r="I140" s="217">
        <v>2.13</v>
      </c>
      <c r="J140" s="234">
        <v>1.49</v>
      </c>
    </row>
    <row r="141" spans="1:10" x14ac:dyDescent="0.2">
      <c r="A141" s="233" t="s">
        <v>279</v>
      </c>
      <c r="B141" s="217">
        <v>11.9</v>
      </c>
      <c r="C141" s="217">
        <f t="shared" si="4"/>
        <v>0.11900000000000001</v>
      </c>
      <c r="D141" s="217">
        <v>15</v>
      </c>
      <c r="E141" s="217">
        <v>89</v>
      </c>
      <c r="F141" s="217">
        <v>43.2</v>
      </c>
      <c r="G141" s="217">
        <v>15.8</v>
      </c>
      <c r="H141" s="217">
        <v>10.8</v>
      </c>
      <c r="I141" s="217">
        <v>2.44</v>
      </c>
      <c r="J141" s="234">
        <v>1.7</v>
      </c>
    </row>
    <row r="142" spans="1:10" x14ac:dyDescent="0.2">
      <c r="A142" s="233" t="s">
        <v>280</v>
      </c>
      <c r="B142" s="217">
        <v>16.3</v>
      </c>
      <c r="C142" s="217">
        <f t="shared" si="4"/>
        <v>0.16300000000000001</v>
      </c>
      <c r="D142" s="217">
        <v>20.8</v>
      </c>
      <c r="E142" s="217">
        <v>195</v>
      </c>
      <c r="F142" s="217">
        <v>92.7</v>
      </c>
      <c r="G142" s="217">
        <v>27.5</v>
      </c>
      <c r="H142" s="217">
        <v>18.5</v>
      </c>
      <c r="I142" s="217">
        <v>3.06</v>
      </c>
      <c r="J142" s="234">
        <v>2.11</v>
      </c>
    </row>
    <row r="143" spans="1:10" x14ac:dyDescent="0.2">
      <c r="A143" s="233" t="s">
        <v>281</v>
      </c>
      <c r="B143" s="217">
        <v>0.49399999999999999</v>
      </c>
      <c r="C143" s="217">
        <f t="shared" si="4"/>
        <v>4.9399999999999999E-3</v>
      </c>
      <c r="D143" s="217">
        <v>0.63</v>
      </c>
      <c r="E143" s="217">
        <v>0.11799999999999999</v>
      </c>
      <c r="F143" s="217">
        <v>0.11799999999999999</v>
      </c>
      <c r="G143" s="217">
        <v>0.19700000000000001</v>
      </c>
      <c r="H143" s="217">
        <v>0.19700000000000001</v>
      </c>
      <c r="I143" s="217">
        <v>0.433</v>
      </c>
      <c r="J143" s="234">
        <v>0.433</v>
      </c>
    </row>
    <row r="144" spans="1:10" x14ac:dyDescent="0.2">
      <c r="A144" s="236" t="s">
        <v>282</v>
      </c>
      <c r="B144" s="222">
        <v>0.63600000000000001</v>
      </c>
      <c r="C144" s="217">
        <f t="shared" si="4"/>
        <v>6.3600000000000002E-3</v>
      </c>
      <c r="D144" s="222">
        <v>0.81</v>
      </c>
      <c r="E144" s="222">
        <v>0.249</v>
      </c>
      <c r="F144" s="222">
        <v>0.249</v>
      </c>
      <c r="G144" s="222">
        <v>0.33200000000000002</v>
      </c>
      <c r="H144" s="222">
        <v>0.33200000000000002</v>
      </c>
      <c r="I144" s="222">
        <v>0.55400000000000005</v>
      </c>
      <c r="J144" s="237">
        <v>0.55400000000000005</v>
      </c>
    </row>
    <row r="145" spans="1:10" x14ac:dyDescent="0.2">
      <c r="A145" s="238" t="s">
        <v>283</v>
      </c>
      <c r="B145" s="217">
        <v>0.871</v>
      </c>
      <c r="C145" s="217">
        <f t="shared" si="4"/>
        <v>8.7100000000000007E-3</v>
      </c>
      <c r="D145" s="217">
        <v>1.1100000000000001</v>
      </c>
      <c r="E145" s="217">
        <v>0.63700000000000001</v>
      </c>
      <c r="F145" s="217">
        <v>0.63700000000000001</v>
      </c>
      <c r="G145" s="217">
        <v>0.63700000000000001</v>
      </c>
      <c r="H145" s="217">
        <v>0.63700000000000001</v>
      </c>
      <c r="I145" s="217">
        <v>0.75800000000000001</v>
      </c>
      <c r="J145" s="234">
        <v>0.75800000000000001</v>
      </c>
    </row>
    <row r="146" spans="1:10" x14ac:dyDescent="0.2">
      <c r="A146" s="238" t="s">
        <v>284</v>
      </c>
      <c r="B146" s="217">
        <v>1.1299999999999999</v>
      </c>
      <c r="C146" s="217">
        <f t="shared" si="4"/>
        <v>1.1299999999999999E-2</v>
      </c>
      <c r="D146" s="217">
        <v>1.1399999999999999</v>
      </c>
      <c r="E146" s="221">
        <v>0.78700000000000003</v>
      </c>
      <c r="F146" s="221">
        <v>0.78700000000000003</v>
      </c>
      <c r="G146" s="221">
        <v>0.78700000000000003</v>
      </c>
      <c r="H146" s="221">
        <v>0.78700000000000003</v>
      </c>
      <c r="I146" s="217">
        <v>0.73899999999999999</v>
      </c>
      <c r="J146" s="234">
        <v>0.73899999999999999</v>
      </c>
    </row>
    <row r="147" spans="1:10" x14ac:dyDescent="0.2">
      <c r="A147" s="239" t="s">
        <v>285</v>
      </c>
      <c r="B147" s="222">
        <v>1.1599999999999999</v>
      </c>
      <c r="C147" s="217">
        <f t="shared" si="4"/>
        <v>1.1599999999999999E-2</v>
      </c>
      <c r="D147" s="222">
        <v>1.41</v>
      </c>
      <c r="E147" s="222">
        <v>1.3</v>
      </c>
      <c r="F147" s="222">
        <v>1.3</v>
      </c>
      <c r="G147" s="222">
        <v>1.04</v>
      </c>
      <c r="H147" s="222">
        <v>1.04</v>
      </c>
      <c r="I147" s="222">
        <v>0.96</v>
      </c>
      <c r="J147" s="237">
        <v>0.96</v>
      </c>
    </row>
    <row r="148" spans="1:10" x14ac:dyDescent="0.2">
      <c r="A148" s="239" t="s">
        <v>286</v>
      </c>
      <c r="B148" s="222">
        <v>1.53</v>
      </c>
      <c r="C148" s="217">
        <f t="shared" si="4"/>
        <v>1.5300000000000001E-2</v>
      </c>
      <c r="D148" s="222">
        <v>1.84</v>
      </c>
      <c r="E148" s="222">
        <v>1.63</v>
      </c>
      <c r="F148" s="222">
        <v>1.63</v>
      </c>
      <c r="G148" s="222">
        <v>1.31</v>
      </c>
      <c r="H148" s="222">
        <v>1.31</v>
      </c>
      <c r="I148" s="222">
        <v>0.94099999999999995</v>
      </c>
      <c r="J148" s="237">
        <v>0.94099999999999995</v>
      </c>
    </row>
    <row r="149" spans="1:10" x14ac:dyDescent="0.2">
      <c r="A149" s="238" t="s">
        <v>287</v>
      </c>
      <c r="B149" s="217">
        <v>1.39</v>
      </c>
      <c r="C149" s="217">
        <f t="shared" si="4"/>
        <v>1.3899999999999999E-2</v>
      </c>
      <c r="D149" s="217">
        <v>1.72</v>
      </c>
      <c r="E149" s="217">
        <v>2.3199999999999998</v>
      </c>
      <c r="F149" s="217">
        <v>2.3199999999999998</v>
      </c>
      <c r="G149" s="217">
        <v>1.54</v>
      </c>
      <c r="H149" s="217">
        <v>1.54</v>
      </c>
      <c r="I149" s="217">
        <v>1.17</v>
      </c>
      <c r="J149" s="234">
        <v>1.17</v>
      </c>
    </row>
    <row r="150" spans="1:10" x14ac:dyDescent="0.2">
      <c r="A150" s="238" t="s">
        <v>288</v>
      </c>
      <c r="B150" s="217">
        <v>1.82</v>
      </c>
      <c r="C150" s="217">
        <f t="shared" si="4"/>
        <v>1.8200000000000001E-2</v>
      </c>
      <c r="D150" s="217">
        <v>2.3199999999999998</v>
      </c>
      <c r="E150" s="217">
        <v>2.94</v>
      </c>
      <c r="F150" s="217">
        <v>2.94</v>
      </c>
      <c r="G150" s="217">
        <v>1.96</v>
      </c>
      <c r="H150" s="217">
        <v>1.96</v>
      </c>
      <c r="I150" s="217">
        <v>1.1499999999999999</v>
      </c>
      <c r="J150" s="234">
        <v>1.1499999999999999</v>
      </c>
    </row>
    <row r="151" spans="1:10" x14ac:dyDescent="0.2">
      <c r="A151" s="238" t="s">
        <v>289</v>
      </c>
      <c r="B151" s="217">
        <v>2.54</v>
      </c>
      <c r="C151" s="217">
        <f t="shared" si="4"/>
        <v>2.5399999999999999E-2</v>
      </c>
      <c r="D151" s="217">
        <v>3.24</v>
      </c>
      <c r="E151" s="217">
        <v>3.99</v>
      </c>
      <c r="F151" s="217">
        <v>3.99</v>
      </c>
      <c r="G151" s="217">
        <v>2.66</v>
      </c>
      <c r="H151" s="217">
        <v>2.66</v>
      </c>
      <c r="I151" s="217">
        <v>1.1100000000000001</v>
      </c>
      <c r="J151" s="234">
        <v>1.1100000000000001</v>
      </c>
    </row>
    <row r="152" spans="1:10" x14ac:dyDescent="0.2">
      <c r="A152" s="239" t="s">
        <v>290</v>
      </c>
      <c r="B152" s="222">
        <v>2.15</v>
      </c>
      <c r="C152" s="217">
        <f t="shared" si="4"/>
        <v>2.1499999999999998E-2</v>
      </c>
      <c r="D152" s="222">
        <v>2.7</v>
      </c>
      <c r="E152" s="222">
        <v>4.8099999999999996</v>
      </c>
      <c r="F152" s="222">
        <v>4.8099999999999996</v>
      </c>
      <c r="G152" s="222">
        <v>2.75</v>
      </c>
      <c r="H152" s="222">
        <v>2.75</v>
      </c>
      <c r="I152" s="222">
        <v>1.35</v>
      </c>
      <c r="J152" s="237">
        <v>1.35</v>
      </c>
    </row>
    <row r="153" spans="1:10" x14ac:dyDescent="0.2">
      <c r="A153" s="239" t="s">
        <v>291</v>
      </c>
      <c r="B153" s="222">
        <v>3.02</v>
      </c>
      <c r="C153" s="217">
        <f t="shared" si="4"/>
        <v>3.0200000000000001E-2</v>
      </c>
      <c r="D153" s="222">
        <v>3.84</v>
      </c>
      <c r="E153" s="222">
        <v>6.61</v>
      </c>
      <c r="F153" s="222">
        <v>6.61</v>
      </c>
      <c r="G153" s="222">
        <v>3.78</v>
      </c>
      <c r="H153" s="222">
        <v>3.78</v>
      </c>
      <c r="I153" s="222">
        <v>1.31</v>
      </c>
      <c r="J153" s="237">
        <v>1.31</v>
      </c>
    </row>
    <row r="154" spans="1:10" x14ac:dyDescent="0.2">
      <c r="A154" s="238" t="s">
        <v>292</v>
      </c>
      <c r="B154" s="217">
        <v>2.42</v>
      </c>
      <c r="C154" s="217">
        <f t="shared" si="4"/>
        <v>2.4199999999999999E-2</v>
      </c>
      <c r="D154" s="217">
        <v>3.08</v>
      </c>
      <c r="E154" s="217">
        <v>7.33</v>
      </c>
      <c r="F154" s="217">
        <v>7.33</v>
      </c>
      <c r="G154" s="217">
        <v>3.67</v>
      </c>
      <c r="H154" s="217">
        <v>3.67</v>
      </c>
      <c r="I154" s="217">
        <v>1.55</v>
      </c>
      <c r="J154" s="234">
        <v>1.55</v>
      </c>
    </row>
    <row r="155" spans="1:10" x14ac:dyDescent="0.2">
      <c r="A155" s="238" t="s">
        <v>293</v>
      </c>
      <c r="B155" s="217">
        <v>3.5</v>
      </c>
      <c r="C155" s="217">
        <f t="shared" si="4"/>
        <v>3.5000000000000003E-2</v>
      </c>
      <c r="D155" s="217">
        <v>4.4400000000000004</v>
      </c>
      <c r="E155" s="217">
        <v>10</v>
      </c>
      <c r="F155" s="217">
        <v>10</v>
      </c>
      <c r="G155" s="217">
        <v>5.0999999999999996</v>
      </c>
      <c r="H155" s="217">
        <v>5.0999999999999996</v>
      </c>
      <c r="I155" s="217">
        <v>1.51</v>
      </c>
      <c r="J155" s="234">
        <v>1.51</v>
      </c>
    </row>
    <row r="156" spans="1:10" x14ac:dyDescent="0.2">
      <c r="A156" s="239" t="s">
        <v>294</v>
      </c>
      <c r="B156" s="222">
        <v>3.03</v>
      </c>
      <c r="C156" s="217">
        <f t="shared" si="4"/>
        <v>3.0299999999999997E-2</v>
      </c>
      <c r="D156" s="222">
        <v>3.86</v>
      </c>
      <c r="E156" s="222">
        <v>14.8</v>
      </c>
      <c r="F156" s="222">
        <v>14.8</v>
      </c>
      <c r="G156" s="222">
        <v>5.91</v>
      </c>
      <c r="H156" s="222">
        <v>5.91</v>
      </c>
      <c r="I156" s="222">
        <v>1.96</v>
      </c>
      <c r="J156" s="237">
        <v>1.96</v>
      </c>
    </row>
    <row r="157" spans="1:10" x14ac:dyDescent="0.2">
      <c r="A157" s="239" t="s">
        <v>295</v>
      </c>
      <c r="B157" s="222">
        <v>4.4800000000000004</v>
      </c>
      <c r="C157" s="217">
        <f>B157/100</f>
        <v>4.4800000000000006E-2</v>
      </c>
      <c r="D157" s="222">
        <v>5.64</v>
      </c>
      <c r="E157" s="222">
        <v>20.8</v>
      </c>
      <c r="F157" s="222">
        <v>20.8</v>
      </c>
      <c r="G157" s="222">
        <v>8.34</v>
      </c>
      <c r="H157" s="222">
        <v>8.34</v>
      </c>
      <c r="I157" s="222">
        <v>1.92</v>
      </c>
      <c r="J157" s="237">
        <v>1.92</v>
      </c>
    </row>
    <row r="158" spans="1:10" x14ac:dyDescent="0.2">
      <c r="A158" s="238" t="s">
        <v>296</v>
      </c>
      <c r="B158" s="217">
        <v>3.65</v>
      </c>
      <c r="C158" s="217">
        <f>B158/100</f>
        <v>3.6499999999999998E-2</v>
      </c>
      <c r="D158" s="217">
        <v>4.6500000000000004</v>
      </c>
      <c r="E158" s="217">
        <v>26</v>
      </c>
      <c r="F158" s="217">
        <v>26</v>
      </c>
      <c r="G158" s="217">
        <v>8.68</v>
      </c>
      <c r="H158" s="217">
        <v>8.68</v>
      </c>
      <c r="I158" s="217">
        <v>2.37</v>
      </c>
      <c r="J158" s="234">
        <v>2.37</v>
      </c>
    </row>
    <row r="159" spans="1:10" x14ac:dyDescent="0.2">
      <c r="A159" s="238" t="s">
        <v>297</v>
      </c>
      <c r="B159" s="217">
        <v>5.4</v>
      </c>
      <c r="C159" s="217">
        <f t="shared" ref="C159:C181" si="5">B159/100</f>
        <v>5.4000000000000006E-2</v>
      </c>
      <c r="D159" s="217">
        <v>6.88</v>
      </c>
      <c r="E159" s="217">
        <v>37.1</v>
      </c>
      <c r="F159" s="217">
        <v>37.1</v>
      </c>
      <c r="G159" s="217">
        <v>12.4</v>
      </c>
      <c r="H159" s="217">
        <v>12.4</v>
      </c>
      <c r="I159" s="217">
        <v>2.33</v>
      </c>
      <c r="J159" s="234">
        <v>2.33</v>
      </c>
    </row>
    <row r="160" spans="1:10" x14ac:dyDescent="0.2">
      <c r="A160" s="239" t="s">
        <v>298</v>
      </c>
      <c r="B160" s="222">
        <v>4.93</v>
      </c>
      <c r="C160" s="217">
        <f t="shared" si="5"/>
        <v>4.9299999999999997E-2</v>
      </c>
      <c r="D160" s="222">
        <v>6.28</v>
      </c>
      <c r="E160" s="222">
        <v>63.3</v>
      </c>
      <c r="F160" s="222">
        <v>63.3</v>
      </c>
      <c r="G160" s="222">
        <v>15.8</v>
      </c>
      <c r="H160" s="222">
        <v>15.8</v>
      </c>
      <c r="I160" s="222">
        <v>3.19</v>
      </c>
      <c r="J160" s="237">
        <v>3.19</v>
      </c>
    </row>
    <row r="161" spans="1:10" x14ac:dyDescent="0.2">
      <c r="A161" s="239" t="s">
        <v>299</v>
      </c>
      <c r="B161" s="222">
        <v>7.32</v>
      </c>
      <c r="C161" s="217">
        <f t="shared" si="5"/>
        <v>7.3200000000000001E-2</v>
      </c>
      <c r="D161" s="222">
        <v>9.33</v>
      </c>
      <c r="E161" s="222">
        <v>91.4</v>
      </c>
      <c r="F161" s="222">
        <v>91.4</v>
      </c>
      <c r="G161" s="222">
        <v>22.9</v>
      </c>
      <c r="H161" s="222">
        <v>22.9</v>
      </c>
      <c r="I161" s="222">
        <v>3.15</v>
      </c>
      <c r="J161" s="237">
        <v>3.15</v>
      </c>
    </row>
    <row r="162" spans="1:10" x14ac:dyDescent="0.2">
      <c r="A162" s="239" t="s">
        <v>300</v>
      </c>
      <c r="B162" s="222">
        <v>9.67</v>
      </c>
      <c r="C162" s="217">
        <f t="shared" si="5"/>
        <v>9.6699999999999994E-2</v>
      </c>
      <c r="D162" s="222">
        <v>12.2</v>
      </c>
      <c r="E162" s="222">
        <v>117</v>
      </c>
      <c r="F162" s="222">
        <v>117</v>
      </c>
      <c r="G162" s="222">
        <v>29.3</v>
      </c>
      <c r="H162" s="222">
        <v>29.3</v>
      </c>
      <c r="I162" s="222">
        <v>3.1</v>
      </c>
      <c r="J162" s="237">
        <v>3.1</v>
      </c>
    </row>
    <row r="163" spans="1:10" x14ac:dyDescent="0.2">
      <c r="A163" s="238" t="s">
        <v>301</v>
      </c>
      <c r="B163" s="217">
        <v>9.1</v>
      </c>
      <c r="C163" s="217">
        <f t="shared" si="5"/>
        <v>9.0999999999999998E-2</v>
      </c>
      <c r="D163" s="217">
        <v>11.6</v>
      </c>
      <c r="E163" s="217">
        <v>183</v>
      </c>
      <c r="F163" s="217">
        <v>183</v>
      </c>
      <c r="G163" s="217">
        <v>36.6</v>
      </c>
      <c r="H163" s="217">
        <v>36.6</v>
      </c>
      <c r="I163" s="217">
        <v>3.97</v>
      </c>
      <c r="J163" s="234">
        <v>3.97</v>
      </c>
    </row>
    <row r="164" spans="1:10" x14ac:dyDescent="0.2">
      <c r="A164" s="238" t="s">
        <v>302</v>
      </c>
      <c r="B164" s="217">
        <v>12.1</v>
      </c>
      <c r="C164" s="217">
        <f t="shared" si="5"/>
        <v>0.121</v>
      </c>
      <c r="D164" s="217">
        <v>15.4</v>
      </c>
      <c r="E164" s="217">
        <v>236</v>
      </c>
      <c r="F164" s="217">
        <v>236</v>
      </c>
      <c r="G164" s="217">
        <v>47.3</v>
      </c>
      <c r="H164" s="217">
        <v>47.3</v>
      </c>
      <c r="I164" s="217">
        <v>3.92</v>
      </c>
      <c r="J164" s="234">
        <v>3.92</v>
      </c>
    </row>
    <row r="165" spans="1:10" x14ac:dyDescent="0.2">
      <c r="A165" s="239" t="s">
        <v>303</v>
      </c>
      <c r="B165" s="222">
        <v>11</v>
      </c>
      <c r="C165" s="217">
        <f t="shared" si="5"/>
        <v>0.11</v>
      </c>
      <c r="D165" s="222">
        <v>14</v>
      </c>
      <c r="E165" s="222">
        <v>321</v>
      </c>
      <c r="F165" s="222">
        <v>321</v>
      </c>
      <c r="G165" s="222">
        <v>53.5</v>
      </c>
      <c r="H165" s="222">
        <v>53.5</v>
      </c>
      <c r="I165" s="222">
        <v>4.79</v>
      </c>
      <c r="J165" s="237">
        <v>4.79</v>
      </c>
    </row>
    <row r="166" spans="1:10" x14ac:dyDescent="0.2">
      <c r="A166" s="239" t="s">
        <v>304</v>
      </c>
      <c r="B166" s="222">
        <v>14.6</v>
      </c>
      <c r="C166" s="217">
        <f t="shared" si="5"/>
        <v>0.14599999999999999</v>
      </c>
      <c r="D166" s="222">
        <v>18.600000000000001</v>
      </c>
      <c r="E166" s="222">
        <v>417</v>
      </c>
      <c r="F166" s="222">
        <v>417</v>
      </c>
      <c r="G166" s="222">
        <v>69.5</v>
      </c>
      <c r="H166" s="222">
        <v>69.5</v>
      </c>
      <c r="I166" s="222">
        <v>4.7300000000000004</v>
      </c>
      <c r="J166" s="237">
        <v>4.7300000000000004</v>
      </c>
    </row>
    <row r="167" spans="1:10" x14ac:dyDescent="0.2">
      <c r="A167" s="239" t="s">
        <v>305</v>
      </c>
      <c r="B167" s="222">
        <v>18.100000000000001</v>
      </c>
      <c r="C167" s="217">
        <f t="shared" si="5"/>
        <v>0.18100000000000002</v>
      </c>
      <c r="D167" s="222">
        <v>23</v>
      </c>
      <c r="E167" s="222">
        <v>508</v>
      </c>
      <c r="F167" s="222">
        <v>508</v>
      </c>
      <c r="G167" s="222">
        <v>84.7</v>
      </c>
      <c r="H167" s="222">
        <v>84.7</v>
      </c>
      <c r="I167" s="222">
        <v>4.7</v>
      </c>
      <c r="J167" s="237">
        <v>4.7</v>
      </c>
    </row>
    <row r="168" spans="1:10" x14ac:dyDescent="0.2">
      <c r="A168" s="238" t="s">
        <v>306</v>
      </c>
      <c r="B168" s="217">
        <v>14.1</v>
      </c>
      <c r="C168" s="217">
        <f t="shared" si="5"/>
        <v>0.14099999999999999</v>
      </c>
      <c r="D168" s="217">
        <v>17.8</v>
      </c>
      <c r="E168" s="217">
        <v>636</v>
      </c>
      <c r="F168" s="217">
        <v>636</v>
      </c>
      <c r="G168" s="217">
        <v>84.7</v>
      </c>
      <c r="H168" s="217">
        <v>84.7</v>
      </c>
      <c r="I168" s="217">
        <v>6</v>
      </c>
      <c r="J168" s="234">
        <v>6</v>
      </c>
    </row>
    <row r="169" spans="1:10" x14ac:dyDescent="0.2">
      <c r="A169" s="238" t="s">
        <v>307</v>
      </c>
      <c r="B169" s="217">
        <v>18.7</v>
      </c>
      <c r="C169" s="217">
        <f t="shared" si="5"/>
        <v>0.187</v>
      </c>
      <c r="D169" s="217">
        <v>23.6</v>
      </c>
      <c r="E169" s="217">
        <v>831</v>
      </c>
      <c r="F169" s="217">
        <v>831</v>
      </c>
      <c r="G169" s="217">
        <v>111</v>
      </c>
      <c r="H169" s="217">
        <v>111</v>
      </c>
      <c r="I169" s="217">
        <v>5.96</v>
      </c>
      <c r="J169" s="234">
        <v>5.96</v>
      </c>
    </row>
    <row r="170" spans="1:10" x14ac:dyDescent="0.2">
      <c r="A170" s="238" t="s">
        <v>308</v>
      </c>
      <c r="B170" s="217">
        <v>23.3</v>
      </c>
      <c r="C170" s="217">
        <f t="shared" si="5"/>
        <v>0.23300000000000001</v>
      </c>
      <c r="D170" s="217">
        <v>29.4</v>
      </c>
      <c r="E170" s="218">
        <v>1017</v>
      </c>
      <c r="F170" s="218">
        <v>1017</v>
      </c>
      <c r="G170" s="217">
        <v>136</v>
      </c>
      <c r="H170" s="217">
        <v>136</v>
      </c>
      <c r="I170" s="217">
        <v>5.92</v>
      </c>
      <c r="J170" s="234">
        <v>5.92</v>
      </c>
    </row>
    <row r="171" spans="1:10" x14ac:dyDescent="0.2">
      <c r="A171" s="239" t="s">
        <v>309</v>
      </c>
      <c r="B171" s="222">
        <v>18.600000000000001</v>
      </c>
      <c r="C171" s="217">
        <f t="shared" si="5"/>
        <v>0.18600000000000003</v>
      </c>
      <c r="D171" s="222">
        <v>23.6</v>
      </c>
      <c r="E171" s="223">
        <v>1529</v>
      </c>
      <c r="F171" s="223">
        <v>1529</v>
      </c>
      <c r="G171" s="222">
        <v>153</v>
      </c>
      <c r="H171" s="222">
        <v>153</v>
      </c>
      <c r="I171" s="222">
        <v>8.0500000000000007</v>
      </c>
      <c r="J171" s="237">
        <v>8.0500000000000007</v>
      </c>
    </row>
    <row r="172" spans="1:10" x14ac:dyDescent="0.2">
      <c r="A172" s="239" t="s">
        <v>310</v>
      </c>
      <c r="B172" s="222">
        <v>24.6</v>
      </c>
      <c r="C172" s="217">
        <f t="shared" si="5"/>
        <v>0.24600000000000002</v>
      </c>
      <c r="D172" s="222">
        <v>31.4</v>
      </c>
      <c r="E172" s="223">
        <v>2008</v>
      </c>
      <c r="F172" s="223">
        <v>2008</v>
      </c>
      <c r="G172" s="222">
        <v>201</v>
      </c>
      <c r="H172" s="222">
        <v>201</v>
      </c>
      <c r="I172" s="222">
        <v>8</v>
      </c>
      <c r="J172" s="237">
        <v>8</v>
      </c>
    </row>
    <row r="173" spans="1:10" x14ac:dyDescent="0.2">
      <c r="A173" s="239" t="s">
        <v>311</v>
      </c>
      <c r="B173" s="222">
        <v>30.6</v>
      </c>
      <c r="C173" s="217">
        <f t="shared" si="5"/>
        <v>0.30599999999999999</v>
      </c>
      <c r="D173" s="222">
        <v>39</v>
      </c>
      <c r="E173" s="223">
        <v>2473</v>
      </c>
      <c r="F173" s="223">
        <v>2473</v>
      </c>
      <c r="G173" s="222">
        <v>247</v>
      </c>
      <c r="H173" s="222">
        <v>247</v>
      </c>
      <c r="I173" s="222">
        <v>7.96</v>
      </c>
      <c r="J173" s="237">
        <v>7.96</v>
      </c>
    </row>
    <row r="174" spans="1:10" x14ac:dyDescent="0.2">
      <c r="A174" s="238" t="s">
        <v>312</v>
      </c>
      <c r="B174" s="217">
        <v>60.8</v>
      </c>
      <c r="C174" s="217">
        <f t="shared" si="5"/>
        <v>0.60799999999999998</v>
      </c>
      <c r="D174" s="217">
        <v>77.400000000000006</v>
      </c>
      <c r="E174" s="218">
        <v>7567</v>
      </c>
      <c r="F174" s="218">
        <v>7567</v>
      </c>
      <c r="G174" s="217">
        <v>605</v>
      </c>
      <c r="H174" s="217">
        <v>605</v>
      </c>
      <c r="I174" s="217">
        <v>9.89</v>
      </c>
      <c r="J174" s="234">
        <v>9.89</v>
      </c>
    </row>
    <row r="175" spans="1:10" x14ac:dyDescent="0.2">
      <c r="A175" s="238" t="s">
        <v>313</v>
      </c>
      <c r="B175" s="217">
        <v>75.400000000000006</v>
      </c>
      <c r="C175" s="217">
        <f t="shared" si="5"/>
        <v>0.754</v>
      </c>
      <c r="D175" s="217">
        <v>96</v>
      </c>
      <c r="E175" s="218">
        <v>9232</v>
      </c>
      <c r="F175" s="218">
        <v>9232</v>
      </c>
      <c r="G175" s="217">
        <v>739</v>
      </c>
      <c r="H175" s="217">
        <v>739</v>
      </c>
      <c r="I175" s="217">
        <v>9.81</v>
      </c>
      <c r="J175" s="234">
        <v>9.81</v>
      </c>
    </row>
    <row r="176" spans="1:10" x14ac:dyDescent="0.2">
      <c r="A176" s="239" t="s">
        <v>314</v>
      </c>
      <c r="B176" s="222">
        <v>91.1</v>
      </c>
      <c r="C176" s="217">
        <f t="shared" si="5"/>
        <v>0.91099999999999992</v>
      </c>
      <c r="D176" s="222">
        <v>116</v>
      </c>
      <c r="E176" s="223">
        <v>16279</v>
      </c>
      <c r="F176" s="223">
        <v>16279</v>
      </c>
      <c r="G176" s="223">
        <v>1085</v>
      </c>
      <c r="H176" s="223">
        <v>1085</v>
      </c>
      <c r="I176" s="222">
        <v>11.8</v>
      </c>
      <c r="J176" s="237">
        <v>11.8</v>
      </c>
    </row>
    <row r="177" spans="1:10" x14ac:dyDescent="0.2">
      <c r="A177" s="239" t="s">
        <v>315</v>
      </c>
      <c r="B177" s="222">
        <v>143</v>
      </c>
      <c r="C177" s="217">
        <f t="shared" si="5"/>
        <v>1.43</v>
      </c>
      <c r="D177" s="222">
        <v>182</v>
      </c>
      <c r="E177" s="223">
        <v>24511</v>
      </c>
      <c r="F177" s="223">
        <v>24511</v>
      </c>
      <c r="G177" s="223">
        <v>1634</v>
      </c>
      <c r="H177" s="223">
        <v>1634</v>
      </c>
      <c r="I177" s="222">
        <v>11.6</v>
      </c>
      <c r="J177" s="237">
        <v>11.6</v>
      </c>
    </row>
    <row r="178" spans="1:10" x14ac:dyDescent="0.2">
      <c r="A178" s="238" t="s">
        <v>316</v>
      </c>
      <c r="B178" s="217">
        <v>122</v>
      </c>
      <c r="C178" s="217">
        <f t="shared" si="5"/>
        <v>1.22</v>
      </c>
      <c r="D178" s="217">
        <v>156</v>
      </c>
      <c r="E178" s="218">
        <v>39572</v>
      </c>
      <c r="F178" s="218">
        <v>39572</v>
      </c>
      <c r="G178" s="218">
        <v>1979</v>
      </c>
      <c r="H178" s="218">
        <v>1979</v>
      </c>
      <c r="I178" s="217">
        <v>15.9</v>
      </c>
      <c r="J178" s="234">
        <v>15.9</v>
      </c>
    </row>
    <row r="179" spans="1:10" x14ac:dyDescent="0.2">
      <c r="A179" s="238" t="s">
        <v>317</v>
      </c>
      <c r="B179" s="217">
        <v>193</v>
      </c>
      <c r="C179" s="217">
        <f t="shared" si="5"/>
        <v>1.93</v>
      </c>
      <c r="D179" s="217">
        <v>246</v>
      </c>
      <c r="E179" s="218">
        <v>60503</v>
      </c>
      <c r="F179" s="218">
        <v>60503</v>
      </c>
      <c r="G179" s="218">
        <v>3025</v>
      </c>
      <c r="H179" s="218">
        <v>3025</v>
      </c>
      <c r="I179" s="217">
        <v>15.7</v>
      </c>
      <c r="J179" s="234">
        <v>15.7</v>
      </c>
    </row>
    <row r="180" spans="1:10" x14ac:dyDescent="0.2">
      <c r="A180" s="233" t="s">
        <v>318</v>
      </c>
      <c r="B180" s="221">
        <v>0.63600000000000001</v>
      </c>
      <c r="C180" s="217">
        <f t="shared" si="5"/>
        <v>6.3600000000000002E-3</v>
      </c>
      <c r="D180" s="221">
        <v>0.81</v>
      </c>
      <c r="E180" s="221">
        <v>0.38</v>
      </c>
      <c r="F180" s="221">
        <v>0.11799999999999999</v>
      </c>
      <c r="G180" s="221">
        <v>0.38</v>
      </c>
      <c r="H180" s="221">
        <v>0.23599999999999999</v>
      </c>
      <c r="I180" s="221">
        <v>0.68500000000000005</v>
      </c>
      <c r="J180" s="240">
        <v>0.38200000000000001</v>
      </c>
    </row>
    <row r="181" spans="1:10" x14ac:dyDescent="0.2">
      <c r="A181" s="239" t="s">
        <v>319</v>
      </c>
      <c r="B181" s="222">
        <v>0.754</v>
      </c>
      <c r="C181" s="217">
        <f t="shared" si="5"/>
        <v>7.5399999999999998E-3</v>
      </c>
      <c r="D181" s="222">
        <v>0.96</v>
      </c>
      <c r="E181" s="222">
        <v>0.68100000000000005</v>
      </c>
      <c r="F181" s="222">
        <v>0.14499999999999999</v>
      </c>
      <c r="G181" s="222">
        <v>0.54500000000000004</v>
      </c>
      <c r="H181" s="222">
        <v>0.28999999999999998</v>
      </c>
      <c r="I181" s="222">
        <v>0.84199999999999997</v>
      </c>
      <c r="J181" s="237">
        <v>0.38900000000000001</v>
      </c>
    </row>
    <row r="182" spans="1:10" x14ac:dyDescent="0.2">
      <c r="A182" s="239" t="s">
        <v>320</v>
      </c>
      <c r="B182" s="222">
        <v>0.97299999999999998</v>
      </c>
      <c r="C182" s="217">
        <f>B182/100</f>
        <v>9.7299999999999991E-3</v>
      </c>
      <c r="D182" s="222">
        <v>1.24</v>
      </c>
      <c r="E182" s="222">
        <v>0.83899999999999997</v>
      </c>
      <c r="F182" s="222">
        <v>0.17</v>
      </c>
      <c r="G182" s="222">
        <v>0.67100000000000004</v>
      </c>
      <c r="H182" s="222">
        <v>0.34</v>
      </c>
      <c r="I182" s="222">
        <v>0.82299999999999995</v>
      </c>
      <c r="J182" s="237">
        <v>0.37</v>
      </c>
    </row>
    <row r="183" spans="1:10" x14ac:dyDescent="0.2">
      <c r="A183" s="238" t="s">
        <v>321</v>
      </c>
      <c r="B183" s="217">
        <v>0.871</v>
      </c>
      <c r="C183" s="217">
        <f t="shared" ref="C183:C205" si="6">B183/100</f>
        <v>8.7100000000000007E-3</v>
      </c>
      <c r="D183" s="217">
        <v>1.1100000000000001</v>
      </c>
      <c r="E183" s="217">
        <v>1.1000000000000001</v>
      </c>
      <c r="F183" s="217">
        <v>0.17299999999999999</v>
      </c>
      <c r="G183" s="217">
        <v>0.73299999999999998</v>
      </c>
      <c r="H183" s="217">
        <v>0.36399999999999999</v>
      </c>
      <c r="I183" s="217">
        <v>0.995</v>
      </c>
      <c r="J183" s="234">
        <v>0.39500000000000002</v>
      </c>
    </row>
    <row r="184" spans="1:10" x14ac:dyDescent="0.2">
      <c r="A184" s="238" t="s">
        <v>322</v>
      </c>
      <c r="B184" s="217">
        <v>1.1299999999999999</v>
      </c>
      <c r="C184" s="217">
        <f t="shared" si="6"/>
        <v>1.1299999999999999E-2</v>
      </c>
      <c r="D184" s="217">
        <v>1.44</v>
      </c>
      <c r="E184" s="217">
        <v>1.37</v>
      </c>
      <c r="F184" s="217">
        <v>0.20300000000000001</v>
      </c>
      <c r="G184" s="217">
        <v>0.91300000000000003</v>
      </c>
      <c r="H184" s="217">
        <v>0.40600000000000003</v>
      </c>
      <c r="I184" s="217">
        <v>0.97499999999999998</v>
      </c>
      <c r="J184" s="234">
        <v>0.375</v>
      </c>
    </row>
    <row r="185" spans="1:10" x14ac:dyDescent="0.2">
      <c r="A185" s="239" t="s">
        <v>323</v>
      </c>
      <c r="B185" s="222">
        <v>0.98899999999999999</v>
      </c>
      <c r="C185" s="217">
        <f t="shared" si="6"/>
        <v>9.8899999999999995E-3</v>
      </c>
      <c r="D185" s="222">
        <v>1.26</v>
      </c>
      <c r="E185" s="222">
        <v>1.41</v>
      </c>
      <c r="F185" s="222">
        <v>0.45500000000000002</v>
      </c>
      <c r="G185" s="222">
        <v>0.93799999999999994</v>
      </c>
      <c r="H185" s="222">
        <v>0.60699999999999998</v>
      </c>
      <c r="I185" s="222">
        <v>1.06</v>
      </c>
      <c r="J185" s="237">
        <v>0.60099999999999998</v>
      </c>
    </row>
    <row r="186" spans="1:10" x14ac:dyDescent="0.2">
      <c r="A186" s="239" t="s">
        <v>324</v>
      </c>
      <c r="B186" s="222">
        <v>1.29</v>
      </c>
      <c r="C186" s="217">
        <f t="shared" si="6"/>
        <v>1.29E-2</v>
      </c>
      <c r="D186" s="222">
        <v>1.64</v>
      </c>
      <c r="E186" s="222">
        <v>1.76</v>
      </c>
      <c r="F186" s="222">
        <v>0.55600000000000005</v>
      </c>
      <c r="G186" s="222">
        <v>1.17</v>
      </c>
      <c r="H186" s="222">
        <v>0.74099999999999999</v>
      </c>
      <c r="I186" s="222">
        <v>1.04</v>
      </c>
      <c r="J186" s="237">
        <v>0.58199999999999996</v>
      </c>
    </row>
    <row r="187" spans="1:10" x14ac:dyDescent="0.2">
      <c r="A187" s="238" t="s">
        <v>325</v>
      </c>
      <c r="B187" s="217">
        <v>1.1100000000000001</v>
      </c>
      <c r="C187" s="217">
        <f t="shared" si="6"/>
        <v>1.11E-2</v>
      </c>
      <c r="D187" s="217">
        <v>1.41</v>
      </c>
      <c r="E187" s="217">
        <v>1.71</v>
      </c>
      <c r="F187" s="217">
        <v>0.89400000000000002</v>
      </c>
      <c r="G187" s="217">
        <v>1.1399999999999999</v>
      </c>
      <c r="H187" s="217">
        <v>0.89400000000000002</v>
      </c>
      <c r="I187" s="217">
        <v>1.1000000000000001</v>
      </c>
      <c r="J187" s="234">
        <v>0.79600000000000004</v>
      </c>
    </row>
    <row r="188" spans="1:10" x14ac:dyDescent="0.2">
      <c r="A188" s="238" t="s">
        <v>326</v>
      </c>
      <c r="B188" s="217">
        <v>1.44</v>
      </c>
      <c r="C188" s="217">
        <f t="shared" si="6"/>
        <v>1.44E-2</v>
      </c>
      <c r="D188" s="217">
        <v>1.84</v>
      </c>
      <c r="E188" s="217">
        <v>2.16</v>
      </c>
      <c r="F188" s="217">
        <v>1.1100000000000001</v>
      </c>
      <c r="G188" s="217">
        <v>1.44</v>
      </c>
      <c r="H188" s="217">
        <v>1.1100000000000001</v>
      </c>
      <c r="I188" s="217">
        <v>1.08</v>
      </c>
      <c r="J188" s="234">
        <v>0.77800000000000002</v>
      </c>
    </row>
    <row r="189" spans="1:10" x14ac:dyDescent="0.2">
      <c r="A189" s="239" t="s">
        <v>327</v>
      </c>
      <c r="B189" s="222">
        <v>1.76</v>
      </c>
      <c r="C189" s="217">
        <f t="shared" si="6"/>
        <v>1.7600000000000001E-2</v>
      </c>
      <c r="D189" s="222">
        <v>2.2400000000000002</v>
      </c>
      <c r="E189" s="222">
        <v>4.45</v>
      </c>
      <c r="F189" s="222">
        <v>1.44</v>
      </c>
      <c r="G189" s="222">
        <v>2.2200000000000002</v>
      </c>
      <c r="H189" s="222">
        <v>1.44</v>
      </c>
      <c r="I189" s="222">
        <v>1.41</v>
      </c>
      <c r="J189" s="237">
        <v>0.80200000000000005</v>
      </c>
    </row>
    <row r="190" spans="1:10" x14ac:dyDescent="0.2">
      <c r="A190" s="239" t="s">
        <v>328</v>
      </c>
      <c r="B190" s="222">
        <v>2.54</v>
      </c>
      <c r="C190" s="217">
        <f t="shared" si="6"/>
        <v>2.5399999999999999E-2</v>
      </c>
      <c r="D190" s="222">
        <v>3.24</v>
      </c>
      <c r="E190" s="222">
        <v>6.08</v>
      </c>
      <c r="F190" s="222">
        <v>1.89</v>
      </c>
      <c r="G190" s="222">
        <v>3.04</v>
      </c>
      <c r="H190" s="222">
        <v>1.89</v>
      </c>
      <c r="I190" s="222">
        <v>1.37</v>
      </c>
      <c r="J190" s="237">
        <v>0.76400000000000001</v>
      </c>
    </row>
    <row r="191" spans="1:10" x14ac:dyDescent="0.2">
      <c r="A191" s="238" t="s">
        <v>329</v>
      </c>
      <c r="B191" s="217">
        <v>2.0699999999999998</v>
      </c>
      <c r="C191" s="217">
        <f t="shared" si="6"/>
        <v>2.07E-2</v>
      </c>
      <c r="D191" s="217">
        <v>2.64</v>
      </c>
      <c r="E191" s="217">
        <v>5.89</v>
      </c>
      <c r="F191" s="217">
        <v>3.73</v>
      </c>
      <c r="G191" s="217">
        <v>2.94</v>
      </c>
      <c r="H191" s="217">
        <v>2.48</v>
      </c>
      <c r="I191" s="217">
        <v>1.49</v>
      </c>
      <c r="J191" s="234">
        <v>1.19</v>
      </c>
    </row>
    <row r="192" spans="1:10" x14ac:dyDescent="0.2">
      <c r="A192" s="238" t="s">
        <v>330</v>
      </c>
      <c r="B192" s="217">
        <v>3.01</v>
      </c>
      <c r="C192" s="217">
        <f t="shared" si="6"/>
        <v>3.0099999999999998E-2</v>
      </c>
      <c r="D192" s="217">
        <v>3.84</v>
      </c>
      <c r="E192" s="217">
        <v>8.14</v>
      </c>
      <c r="F192" s="217">
        <v>5.08</v>
      </c>
      <c r="G192" s="217">
        <v>4.07</v>
      </c>
      <c r="H192" s="217">
        <v>3.39</v>
      </c>
      <c r="I192" s="217">
        <v>1.45</v>
      </c>
      <c r="J192" s="234">
        <v>1.1499999999999999</v>
      </c>
    </row>
    <row r="193" spans="1:10" x14ac:dyDescent="0.2">
      <c r="A193" s="239" t="s">
        <v>331</v>
      </c>
      <c r="B193" s="222">
        <v>2.0699999999999998</v>
      </c>
      <c r="C193" s="217">
        <f t="shared" si="6"/>
        <v>2.07E-2</v>
      </c>
      <c r="D193" s="222">
        <v>2.64</v>
      </c>
      <c r="E193" s="222">
        <v>7.85</v>
      </c>
      <c r="F193" s="222">
        <v>1.76</v>
      </c>
      <c r="G193" s="222">
        <v>3.14</v>
      </c>
      <c r="H193" s="222">
        <v>1.76</v>
      </c>
      <c r="I193" s="222">
        <v>1.72</v>
      </c>
      <c r="J193" s="237">
        <v>0.81599999999999995</v>
      </c>
    </row>
    <row r="194" spans="1:10" x14ac:dyDescent="0.2">
      <c r="A194" s="239" t="s">
        <v>332</v>
      </c>
      <c r="B194" s="222">
        <v>3.01</v>
      </c>
      <c r="C194" s="217">
        <f t="shared" si="6"/>
        <v>3.0099999999999998E-2</v>
      </c>
      <c r="D194" s="222">
        <v>3.84</v>
      </c>
      <c r="E194" s="222">
        <v>10.9</v>
      </c>
      <c r="F194" s="222">
        <v>2.33</v>
      </c>
      <c r="G194" s="222">
        <v>4.3600000000000003</v>
      </c>
      <c r="H194" s="222">
        <v>2.33</v>
      </c>
      <c r="I194" s="222">
        <v>1.68</v>
      </c>
      <c r="J194" s="237">
        <v>0.77900000000000003</v>
      </c>
    </row>
    <row r="195" spans="1:10" x14ac:dyDescent="0.2">
      <c r="A195" s="238" t="s">
        <v>333</v>
      </c>
      <c r="B195" s="217">
        <v>2.23</v>
      </c>
      <c r="C195" s="217">
        <f t="shared" si="6"/>
        <v>2.23E-2</v>
      </c>
      <c r="D195" s="217">
        <v>2.84</v>
      </c>
      <c r="E195" s="217">
        <v>9.01</v>
      </c>
      <c r="F195" s="217">
        <v>2.96</v>
      </c>
      <c r="G195" s="217">
        <v>3.6</v>
      </c>
      <c r="H195" s="217">
        <v>2.37</v>
      </c>
      <c r="I195" s="217">
        <v>1.78</v>
      </c>
      <c r="J195" s="234">
        <v>1.02</v>
      </c>
    </row>
    <row r="196" spans="1:10" x14ac:dyDescent="0.2">
      <c r="A196" s="238" t="s">
        <v>334</v>
      </c>
      <c r="B196" s="217">
        <v>3.25</v>
      </c>
      <c r="C196" s="217">
        <f t="shared" si="6"/>
        <v>3.2500000000000001E-2</v>
      </c>
      <c r="D196" s="217">
        <v>4.1399999999999997</v>
      </c>
      <c r="E196" s="217">
        <v>12.6</v>
      </c>
      <c r="F196" s="217">
        <v>3.99</v>
      </c>
      <c r="G196" s="217">
        <v>5.0199999999999996</v>
      </c>
      <c r="H196" s="217">
        <v>3.19</v>
      </c>
      <c r="I196" s="217">
        <v>1.74</v>
      </c>
      <c r="J196" s="234">
        <v>0.98199999999999998</v>
      </c>
    </row>
    <row r="197" spans="1:10" x14ac:dyDescent="0.2">
      <c r="A197" s="239" t="s">
        <v>335</v>
      </c>
      <c r="B197" s="222">
        <v>2.39</v>
      </c>
      <c r="C197" s="217">
        <f t="shared" si="6"/>
        <v>2.3900000000000001E-2</v>
      </c>
      <c r="D197" s="222">
        <v>3.04</v>
      </c>
      <c r="E197" s="222">
        <v>10.199999999999999</v>
      </c>
      <c r="F197" s="222">
        <v>4.51</v>
      </c>
      <c r="G197" s="222">
        <v>4.0599999999999996</v>
      </c>
      <c r="H197" s="222">
        <v>3.01</v>
      </c>
      <c r="I197" s="222">
        <v>1.83</v>
      </c>
      <c r="J197" s="237">
        <v>1.22</v>
      </c>
    </row>
    <row r="198" spans="1:10" x14ac:dyDescent="0.2">
      <c r="A198" s="239" t="s">
        <v>336</v>
      </c>
      <c r="B198" s="222">
        <v>3.49</v>
      </c>
      <c r="C198" s="217">
        <f t="shared" si="6"/>
        <v>3.49E-2</v>
      </c>
      <c r="D198" s="222">
        <v>4.4400000000000004</v>
      </c>
      <c r="E198" s="222">
        <v>14.2</v>
      </c>
      <c r="F198" s="222">
        <v>6.18</v>
      </c>
      <c r="G198" s="222">
        <v>5.68</v>
      </c>
      <c r="H198" s="222">
        <v>4.12</v>
      </c>
      <c r="I198" s="222">
        <v>1.79</v>
      </c>
      <c r="J198" s="237">
        <v>1.18</v>
      </c>
    </row>
    <row r="199" spans="1:10" x14ac:dyDescent="0.2">
      <c r="A199" s="238" t="s">
        <v>337</v>
      </c>
      <c r="B199" s="217">
        <v>2.39</v>
      </c>
      <c r="C199" s="217">
        <f t="shared" si="6"/>
        <v>2.3900000000000001E-2</v>
      </c>
      <c r="D199" s="217">
        <v>3.04</v>
      </c>
      <c r="E199" s="217">
        <v>12.6</v>
      </c>
      <c r="F199" s="217">
        <v>2.09</v>
      </c>
      <c r="G199" s="217">
        <v>4.2</v>
      </c>
      <c r="H199" s="217">
        <v>2.09</v>
      </c>
      <c r="I199" s="217">
        <v>2.0299999999999998</v>
      </c>
      <c r="J199" s="234">
        <v>0.82899999999999996</v>
      </c>
    </row>
    <row r="200" spans="1:10" x14ac:dyDescent="0.2">
      <c r="A200" s="238" t="s">
        <v>338</v>
      </c>
      <c r="B200" s="217">
        <v>3.49</v>
      </c>
      <c r="C200" s="217">
        <f t="shared" si="6"/>
        <v>3.49E-2</v>
      </c>
      <c r="D200" s="217">
        <v>4.4400000000000004</v>
      </c>
      <c r="E200" s="217">
        <v>17.600000000000001</v>
      </c>
      <c r="F200" s="217">
        <v>2.76</v>
      </c>
      <c r="G200" s="217">
        <v>5.87</v>
      </c>
      <c r="H200" s="217">
        <v>2.76</v>
      </c>
      <c r="I200" s="217">
        <v>1.99</v>
      </c>
      <c r="J200" s="234">
        <v>0.78800000000000003</v>
      </c>
    </row>
    <row r="201" spans="1:10" x14ac:dyDescent="0.2">
      <c r="A201" s="239" t="s">
        <v>339</v>
      </c>
      <c r="B201" s="222">
        <v>2.7</v>
      </c>
      <c r="C201" s="217">
        <f t="shared" si="6"/>
        <v>2.7000000000000003E-2</v>
      </c>
      <c r="D201" s="222">
        <v>3.44</v>
      </c>
      <c r="E201" s="222">
        <v>16</v>
      </c>
      <c r="F201" s="222">
        <v>5.3</v>
      </c>
      <c r="G201" s="222">
        <v>5.32</v>
      </c>
      <c r="H201" s="222">
        <v>3.53</v>
      </c>
      <c r="I201" s="222">
        <v>2.15</v>
      </c>
      <c r="J201" s="237">
        <v>1.24</v>
      </c>
    </row>
    <row r="202" spans="1:10" x14ac:dyDescent="0.2">
      <c r="A202" s="239" t="s">
        <v>340</v>
      </c>
      <c r="B202" s="222">
        <v>3.96</v>
      </c>
      <c r="C202" s="217">
        <f t="shared" si="6"/>
        <v>3.9599999999999996E-2</v>
      </c>
      <c r="D202" s="222">
        <v>5.04</v>
      </c>
      <c r="E202" s="222">
        <v>22.5</v>
      </c>
      <c r="F202" s="222">
        <v>7.28</v>
      </c>
      <c r="G202" s="222">
        <v>7.5</v>
      </c>
      <c r="H202" s="222">
        <v>4.8499999999999996</v>
      </c>
      <c r="I202" s="222">
        <v>2.11</v>
      </c>
      <c r="J202" s="237">
        <v>1.2</v>
      </c>
    </row>
    <row r="203" spans="1:10" x14ac:dyDescent="0.2">
      <c r="A203" s="238" t="s">
        <v>341</v>
      </c>
      <c r="B203" s="217">
        <v>3.01</v>
      </c>
      <c r="C203" s="217">
        <f t="shared" si="6"/>
        <v>3.0099999999999998E-2</v>
      </c>
      <c r="D203" s="217">
        <v>3.84</v>
      </c>
      <c r="E203" s="217">
        <v>19.3</v>
      </c>
      <c r="F203" s="217">
        <v>10.199999999999999</v>
      </c>
      <c r="G203" s="217">
        <v>6.43</v>
      </c>
      <c r="H203" s="217">
        <v>5.1100000000000003</v>
      </c>
      <c r="I203" s="217">
        <v>2.2400000000000002</v>
      </c>
      <c r="J203" s="234">
        <v>1.63</v>
      </c>
    </row>
    <row r="204" spans="1:10" x14ac:dyDescent="0.2">
      <c r="A204" s="238" t="s">
        <v>342</v>
      </c>
      <c r="B204" s="217">
        <v>4.43</v>
      </c>
      <c r="C204" s="217">
        <f t="shared" si="6"/>
        <v>4.4299999999999999E-2</v>
      </c>
      <c r="D204" s="217">
        <v>5.64</v>
      </c>
      <c r="E204" s="217">
        <v>27.4</v>
      </c>
      <c r="F204" s="217">
        <v>14.3</v>
      </c>
      <c r="G204" s="217">
        <v>9.1199999999999992</v>
      </c>
      <c r="H204" s="217">
        <v>7.15</v>
      </c>
      <c r="I204" s="217">
        <v>2.2000000000000002</v>
      </c>
      <c r="J204" s="234">
        <v>1.59</v>
      </c>
    </row>
    <row r="205" spans="1:10" x14ac:dyDescent="0.2">
      <c r="A205" s="239" t="s">
        <v>343</v>
      </c>
      <c r="B205" s="222">
        <v>3.01</v>
      </c>
      <c r="C205" s="217">
        <f t="shared" si="6"/>
        <v>3.0099999999999998E-2</v>
      </c>
      <c r="D205" s="222">
        <v>3.84</v>
      </c>
      <c r="E205" s="222">
        <v>26.8</v>
      </c>
      <c r="F205" s="222">
        <v>2.74</v>
      </c>
      <c r="G205" s="222">
        <v>6.7</v>
      </c>
      <c r="H205" s="222">
        <v>2.74</v>
      </c>
      <c r="I205" s="222">
        <v>2.64</v>
      </c>
      <c r="J205" s="237">
        <v>0.84499999999999997</v>
      </c>
    </row>
    <row r="206" spans="1:10" x14ac:dyDescent="0.2">
      <c r="A206" s="239" t="s">
        <v>344</v>
      </c>
      <c r="B206" s="222">
        <v>4.43</v>
      </c>
      <c r="C206" s="217">
        <f>B206/100</f>
        <v>4.4299999999999999E-2</v>
      </c>
      <c r="D206" s="222">
        <v>5.64</v>
      </c>
      <c r="E206" s="222">
        <v>38.1</v>
      </c>
      <c r="F206" s="222">
        <v>3.64</v>
      </c>
      <c r="G206" s="222">
        <v>9.51</v>
      </c>
      <c r="H206" s="222">
        <v>3.64</v>
      </c>
      <c r="I206" s="222">
        <v>2.6</v>
      </c>
      <c r="J206" s="237">
        <v>0.80300000000000005</v>
      </c>
    </row>
    <row r="207" spans="1:10" x14ac:dyDescent="0.2">
      <c r="A207" s="238" t="s">
        <v>345</v>
      </c>
      <c r="B207" s="217">
        <v>3.33</v>
      </c>
      <c r="C207" s="217">
        <f t="shared" ref="C207:C231" si="7">B207/100</f>
        <v>3.3300000000000003E-2</v>
      </c>
      <c r="D207" s="217">
        <v>4.24</v>
      </c>
      <c r="E207" s="217">
        <v>32.9</v>
      </c>
      <c r="F207" s="217">
        <v>6.87</v>
      </c>
      <c r="G207" s="217">
        <v>8.2200000000000006</v>
      </c>
      <c r="H207" s="217">
        <v>4.58</v>
      </c>
      <c r="I207" s="217">
        <v>2.79</v>
      </c>
      <c r="J207" s="234">
        <v>1.27</v>
      </c>
    </row>
    <row r="208" spans="1:10" x14ac:dyDescent="0.2">
      <c r="A208" s="238" t="s">
        <v>346</v>
      </c>
      <c r="B208" s="217">
        <v>4.9000000000000004</v>
      </c>
      <c r="C208" s="217">
        <f t="shared" si="7"/>
        <v>4.9000000000000002E-2</v>
      </c>
      <c r="D208" s="217">
        <v>6.24</v>
      </c>
      <c r="E208" s="217">
        <v>47</v>
      </c>
      <c r="F208" s="217">
        <v>9.48</v>
      </c>
      <c r="G208" s="217">
        <v>11.8</v>
      </c>
      <c r="H208" s="217">
        <v>6.32</v>
      </c>
      <c r="I208" s="217">
        <v>2.74</v>
      </c>
      <c r="J208" s="234">
        <v>1.23</v>
      </c>
    </row>
    <row r="209" spans="1:10" x14ac:dyDescent="0.2">
      <c r="A209" s="239" t="s">
        <v>347</v>
      </c>
      <c r="B209" s="222">
        <v>3.64</v>
      </c>
      <c r="C209" s="217">
        <f t="shared" si="7"/>
        <v>3.6400000000000002E-2</v>
      </c>
      <c r="D209" s="222">
        <v>4.6399999999999997</v>
      </c>
      <c r="E209" s="222">
        <v>39</v>
      </c>
      <c r="F209" s="222">
        <v>13</v>
      </c>
      <c r="G209" s="222">
        <v>9.74</v>
      </c>
      <c r="H209" s="222">
        <v>6.56</v>
      </c>
      <c r="I209" s="222">
        <v>2.89</v>
      </c>
      <c r="J209" s="237">
        <v>1.68</v>
      </c>
    </row>
    <row r="210" spans="1:10" x14ac:dyDescent="0.2">
      <c r="A210" s="239" t="s">
        <v>348</v>
      </c>
      <c r="B210" s="222">
        <v>5.37</v>
      </c>
      <c r="C210" s="217">
        <f t="shared" si="7"/>
        <v>5.3699999999999998E-2</v>
      </c>
      <c r="D210" s="222">
        <v>6.84</v>
      </c>
      <c r="E210" s="222">
        <v>55.8</v>
      </c>
      <c r="F210" s="222">
        <v>18.399999999999999</v>
      </c>
      <c r="G210" s="222">
        <v>14</v>
      </c>
      <c r="H210" s="222">
        <v>9.2100000000000009</v>
      </c>
      <c r="I210" s="222">
        <v>2.85</v>
      </c>
      <c r="J210" s="237">
        <v>1.64</v>
      </c>
    </row>
    <row r="211" spans="1:10" x14ac:dyDescent="0.2">
      <c r="A211" s="238" t="s">
        <v>349</v>
      </c>
      <c r="B211" s="217">
        <v>4.2699999999999996</v>
      </c>
      <c r="C211" s="217">
        <f t="shared" si="7"/>
        <v>4.2699999999999995E-2</v>
      </c>
      <c r="D211" s="217">
        <v>5.44</v>
      </c>
      <c r="E211" s="217">
        <v>51.1</v>
      </c>
      <c r="F211" s="217">
        <v>34.799999999999997</v>
      </c>
      <c r="G211" s="217">
        <v>12.8</v>
      </c>
      <c r="H211" s="217">
        <v>11.6</v>
      </c>
      <c r="I211" s="217">
        <v>3.06</v>
      </c>
      <c r="J211" s="234">
        <v>2.5299999999999998</v>
      </c>
    </row>
    <row r="212" spans="1:10" x14ac:dyDescent="0.2">
      <c r="A212" s="238" t="s">
        <v>350</v>
      </c>
      <c r="B212" s="217">
        <v>6.31</v>
      </c>
      <c r="C212" s="217">
        <f t="shared" si="7"/>
        <v>6.3099999999999989E-2</v>
      </c>
      <c r="D212" s="217">
        <v>8.0399999999999991</v>
      </c>
      <c r="E212" s="217">
        <v>73.599999999999994</v>
      </c>
      <c r="F212" s="217">
        <v>46.9</v>
      </c>
      <c r="G212" s="217">
        <v>18.399999999999999</v>
      </c>
      <c r="H212" s="217">
        <v>15.6</v>
      </c>
      <c r="I212" s="217">
        <v>3.03</v>
      </c>
      <c r="J212" s="234">
        <v>2.42</v>
      </c>
    </row>
    <row r="213" spans="1:10" x14ac:dyDescent="0.2">
      <c r="A213" s="239" t="s">
        <v>351</v>
      </c>
      <c r="B213" s="222">
        <v>3.96</v>
      </c>
      <c r="C213" s="217">
        <f t="shared" si="7"/>
        <v>3.9599999999999996E-2</v>
      </c>
      <c r="D213" s="222">
        <v>5.04</v>
      </c>
      <c r="E213" s="222">
        <v>58.3</v>
      </c>
      <c r="F213" s="222">
        <v>8.4</v>
      </c>
      <c r="G213" s="222">
        <v>11.7</v>
      </c>
      <c r="H213" s="222">
        <v>5.63</v>
      </c>
      <c r="I213" s="222">
        <v>3.4</v>
      </c>
      <c r="J213" s="237">
        <v>1.29</v>
      </c>
    </row>
    <row r="214" spans="1:10" x14ac:dyDescent="0.2">
      <c r="A214" s="239" t="s">
        <v>352</v>
      </c>
      <c r="B214" s="222">
        <v>5.84</v>
      </c>
      <c r="C214" s="217">
        <f t="shared" si="7"/>
        <v>5.8400000000000001E-2</v>
      </c>
      <c r="D214" s="222">
        <v>7.44</v>
      </c>
      <c r="E214" s="222">
        <v>83.9</v>
      </c>
      <c r="F214" s="222">
        <v>11.8</v>
      </c>
      <c r="G214" s="222">
        <v>16.8</v>
      </c>
      <c r="H214" s="222">
        <v>7.87</v>
      </c>
      <c r="I214" s="222">
        <v>3.36</v>
      </c>
      <c r="J214" s="237">
        <v>1.26</v>
      </c>
    </row>
    <row r="215" spans="1:10" x14ac:dyDescent="0.2">
      <c r="A215" s="239" t="s">
        <v>353</v>
      </c>
      <c r="B215" s="222">
        <v>7.66</v>
      </c>
      <c r="C215" s="217">
        <f t="shared" si="7"/>
        <v>7.6600000000000001E-2</v>
      </c>
      <c r="D215" s="222">
        <v>9.76</v>
      </c>
      <c r="E215" s="222">
        <v>107</v>
      </c>
      <c r="F215" s="222">
        <v>14.3</v>
      </c>
      <c r="G215" s="222">
        <v>21.4</v>
      </c>
      <c r="H215" s="222">
        <v>9.5299999999999994</v>
      </c>
      <c r="I215" s="222">
        <v>3.31</v>
      </c>
      <c r="J215" s="237">
        <v>1.21</v>
      </c>
    </row>
    <row r="216" spans="1:10" x14ac:dyDescent="0.2">
      <c r="A216" s="238" t="s">
        <v>354</v>
      </c>
      <c r="B216" s="217">
        <v>4.2699999999999996</v>
      </c>
      <c r="C216" s="217">
        <f t="shared" si="7"/>
        <v>4.2699999999999995E-2</v>
      </c>
      <c r="D216" s="217">
        <v>5.44</v>
      </c>
      <c r="E216" s="217">
        <v>67.900000000000006</v>
      </c>
      <c r="F216" s="217">
        <v>16</v>
      </c>
      <c r="G216" s="217">
        <v>13.6</v>
      </c>
      <c r="H216" s="217">
        <v>8</v>
      </c>
      <c r="I216" s="217">
        <v>3.53</v>
      </c>
      <c r="J216" s="234">
        <v>1.71</v>
      </c>
    </row>
    <row r="217" spans="1:10" x14ac:dyDescent="0.2">
      <c r="A217" s="238" t="s">
        <v>355</v>
      </c>
      <c r="B217" s="217">
        <v>6.31</v>
      </c>
      <c r="C217" s="217">
        <f t="shared" si="7"/>
        <v>6.3099999999999989E-2</v>
      </c>
      <c r="D217" s="217">
        <v>8.0399999999999991</v>
      </c>
      <c r="E217" s="217">
        <v>98</v>
      </c>
      <c r="F217" s="217">
        <v>22.5</v>
      </c>
      <c r="G217" s="217">
        <v>19.600000000000001</v>
      </c>
      <c r="H217" s="217">
        <v>11.3</v>
      </c>
      <c r="I217" s="217">
        <v>3.49</v>
      </c>
      <c r="J217" s="234">
        <v>1.67</v>
      </c>
    </row>
    <row r="218" spans="1:10" x14ac:dyDescent="0.2">
      <c r="A218" s="238" t="s">
        <v>356</v>
      </c>
      <c r="B218" s="217">
        <v>8.32</v>
      </c>
      <c r="C218" s="217">
        <f t="shared" si="7"/>
        <v>8.3199999999999996E-2</v>
      </c>
      <c r="D218" s="217">
        <v>10.6</v>
      </c>
      <c r="E218" s="217">
        <v>126</v>
      </c>
      <c r="F218" s="217">
        <v>28.2</v>
      </c>
      <c r="G218" s="217">
        <v>25.2</v>
      </c>
      <c r="H218" s="217">
        <v>14.1</v>
      </c>
      <c r="I218" s="217">
        <v>3.45</v>
      </c>
      <c r="J218" s="234">
        <v>1.63</v>
      </c>
    </row>
    <row r="219" spans="1:10" x14ac:dyDescent="0.2">
      <c r="A219" s="239" t="s">
        <v>357</v>
      </c>
      <c r="B219" s="222">
        <v>4.58</v>
      </c>
      <c r="C219" s="217">
        <f t="shared" si="7"/>
        <v>4.58E-2</v>
      </c>
      <c r="D219" s="222">
        <v>5.84</v>
      </c>
      <c r="E219" s="222">
        <v>77.5</v>
      </c>
      <c r="F219" s="222">
        <v>26.3</v>
      </c>
      <c r="G219" s="222">
        <v>15.5</v>
      </c>
      <c r="H219" s="222">
        <v>10.5</v>
      </c>
      <c r="I219" s="222">
        <v>3.64</v>
      </c>
      <c r="J219" s="237">
        <v>2.12</v>
      </c>
    </row>
    <row r="220" spans="1:10" x14ac:dyDescent="0.2">
      <c r="A220" s="239" t="s">
        <v>358</v>
      </c>
      <c r="B220" s="222">
        <v>6.78</v>
      </c>
      <c r="C220" s="217">
        <f t="shared" si="7"/>
        <v>6.7799999999999999E-2</v>
      </c>
      <c r="D220" s="222">
        <v>8.64</v>
      </c>
      <c r="E220" s="222">
        <v>112</v>
      </c>
      <c r="F220" s="222">
        <v>37.700000000000003</v>
      </c>
      <c r="G220" s="222">
        <v>22.4</v>
      </c>
      <c r="H220" s="222">
        <v>15.1</v>
      </c>
      <c r="I220" s="222">
        <v>3.6</v>
      </c>
      <c r="J220" s="237">
        <v>2.09</v>
      </c>
    </row>
    <row r="221" spans="1:10" x14ac:dyDescent="0.2">
      <c r="A221" s="239" t="s">
        <v>359</v>
      </c>
      <c r="B221" s="222">
        <v>7.85</v>
      </c>
      <c r="C221" s="217">
        <f t="shared" si="7"/>
        <v>7.85E-2</v>
      </c>
      <c r="D221" s="222">
        <v>10</v>
      </c>
      <c r="E221" s="222">
        <v>128</v>
      </c>
      <c r="F221" s="222">
        <v>42.6</v>
      </c>
      <c r="G221" s="222">
        <v>25.6</v>
      </c>
      <c r="H221" s="222">
        <v>17</v>
      </c>
      <c r="I221" s="222">
        <v>3.58</v>
      </c>
      <c r="J221" s="237">
        <v>2.06</v>
      </c>
    </row>
    <row r="222" spans="1:10" x14ac:dyDescent="0.2">
      <c r="A222" s="239" t="s">
        <v>360</v>
      </c>
      <c r="B222" s="222">
        <v>8.9499999999999993</v>
      </c>
      <c r="C222" s="217">
        <f t="shared" si="7"/>
        <v>8.9499999999999996E-2</v>
      </c>
      <c r="D222" s="222">
        <v>11.4</v>
      </c>
      <c r="E222" s="222">
        <v>144</v>
      </c>
      <c r="F222" s="222">
        <v>47.4</v>
      </c>
      <c r="G222" s="222">
        <v>28.8</v>
      </c>
      <c r="H222" s="222">
        <v>18.899999999999999</v>
      </c>
      <c r="I222" s="222">
        <v>3.56</v>
      </c>
      <c r="J222" s="237">
        <v>2.04</v>
      </c>
    </row>
    <row r="223" spans="1:10" x14ac:dyDescent="0.2">
      <c r="A223" s="238" t="s">
        <v>361</v>
      </c>
      <c r="B223" s="217">
        <v>4.9000000000000004</v>
      </c>
      <c r="C223" s="217">
        <f t="shared" si="7"/>
        <v>4.9000000000000002E-2</v>
      </c>
      <c r="D223" s="217">
        <v>6.24</v>
      </c>
      <c r="E223" s="217">
        <v>108</v>
      </c>
      <c r="F223" s="217">
        <v>18.899999999999999</v>
      </c>
      <c r="G223" s="217">
        <v>18</v>
      </c>
      <c r="H223" s="217">
        <v>9.4499999999999993</v>
      </c>
      <c r="I223" s="217">
        <v>4.16</v>
      </c>
      <c r="J223" s="234">
        <v>1.74</v>
      </c>
    </row>
    <row r="224" spans="1:10" x14ac:dyDescent="0.2">
      <c r="A224" s="238" t="s">
        <v>362</v>
      </c>
      <c r="B224" s="217">
        <v>7.25</v>
      </c>
      <c r="C224" s="217">
        <f t="shared" si="7"/>
        <v>7.2499999999999995E-2</v>
      </c>
      <c r="D224" s="217">
        <v>9.24</v>
      </c>
      <c r="E224" s="217">
        <v>156</v>
      </c>
      <c r="F224" s="217">
        <v>26.7</v>
      </c>
      <c r="G224" s="217">
        <v>26</v>
      </c>
      <c r="H224" s="217">
        <v>13.4</v>
      </c>
      <c r="I224" s="217">
        <v>4.1100000000000003</v>
      </c>
      <c r="J224" s="234">
        <v>1.7</v>
      </c>
    </row>
    <row r="225" spans="1:10" x14ac:dyDescent="0.2">
      <c r="A225" s="238" t="s">
        <v>363</v>
      </c>
      <c r="B225" s="217">
        <v>9.58</v>
      </c>
      <c r="C225" s="217">
        <f t="shared" si="7"/>
        <v>9.5799999999999996E-2</v>
      </c>
      <c r="D225" s="217">
        <v>12.2</v>
      </c>
      <c r="E225" s="217">
        <v>201</v>
      </c>
      <c r="F225" s="217">
        <v>33.4</v>
      </c>
      <c r="G225" s="217">
        <v>33.5</v>
      </c>
      <c r="H225" s="217">
        <v>16.7</v>
      </c>
      <c r="I225" s="217">
        <v>4.0599999999999996</v>
      </c>
      <c r="J225" s="234">
        <v>1.65</v>
      </c>
    </row>
    <row r="226" spans="1:10" x14ac:dyDescent="0.2">
      <c r="A226" s="239" t="s">
        <v>364</v>
      </c>
      <c r="B226" s="222">
        <v>5.53</v>
      </c>
      <c r="C226" s="217">
        <f t="shared" si="7"/>
        <v>5.5300000000000002E-2</v>
      </c>
      <c r="D226" s="222">
        <v>7.04</v>
      </c>
      <c r="E226" s="222">
        <v>136</v>
      </c>
      <c r="F226" s="222">
        <v>46.2</v>
      </c>
      <c r="G226" s="222">
        <v>22.7</v>
      </c>
      <c r="H226" s="222">
        <v>15.4</v>
      </c>
      <c r="I226" s="222">
        <v>4.4000000000000004</v>
      </c>
      <c r="J226" s="237">
        <v>2.56</v>
      </c>
    </row>
    <row r="227" spans="1:10" x14ac:dyDescent="0.2">
      <c r="A227" s="239" t="s">
        <v>365</v>
      </c>
      <c r="B227" s="222">
        <v>8.16</v>
      </c>
      <c r="C227" s="217">
        <f t="shared" si="7"/>
        <v>8.1600000000000006E-2</v>
      </c>
      <c r="D227" s="222">
        <v>10.4</v>
      </c>
      <c r="E227" s="222">
        <v>197</v>
      </c>
      <c r="F227" s="222">
        <v>66.400000000000006</v>
      </c>
      <c r="G227" s="222">
        <v>32.799999999999997</v>
      </c>
      <c r="H227" s="222">
        <v>22.1</v>
      </c>
      <c r="I227" s="222">
        <v>4.3499999999999996</v>
      </c>
      <c r="J227" s="237">
        <v>2.5299999999999998</v>
      </c>
    </row>
    <row r="228" spans="1:10" x14ac:dyDescent="0.2">
      <c r="A228" s="239" t="s">
        <v>366</v>
      </c>
      <c r="B228" s="222">
        <v>9.5</v>
      </c>
      <c r="C228" s="217">
        <f t="shared" si="7"/>
        <v>9.5000000000000001E-2</v>
      </c>
      <c r="D228" s="222">
        <v>12.1</v>
      </c>
      <c r="E228" s="222">
        <v>227</v>
      </c>
      <c r="F228" s="222">
        <v>75.8</v>
      </c>
      <c r="G228" s="222">
        <v>37.799999999999997</v>
      </c>
      <c r="H228" s="222">
        <v>25.3</v>
      </c>
      <c r="I228" s="222">
        <v>4.33</v>
      </c>
      <c r="J228" s="237">
        <v>2.5</v>
      </c>
    </row>
    <row r="229" spans="1:10" x14ac:dyDescent="0.2">
      <c r="A229" s="239" t="s">
        <v>367</v>
      </c>
      <c r="B229" s="222">
        <v>10.8</v>
      </c>
      <c r="C229" s="217">
        <f t="shared" si="7"/>
        <v>0.10800000000000001</v>
      </c>
      <c r="D229" s="222">
        <v>13.8</v>
      </c>
      <c r="E229" s="222">
        <v>255</v>
      </c>
      <c r="F229" s="222">
        <v>84.8</v>
      </c>
      <c r="G229" s="222">
        <v>42.5</v>
      </c>
      <c r="H229" s="222">
        <v>28.3</v>
      </c>
      <c r="I229" s="222">
        <v>4.3</v>
      </c>
      <c r="J229" s="237">
        <v>2.48</v>
      </c>
    </row>
    <row r="230" spans="1:10" x14ac:dyDescent="0.2">
      <c r="A230" s="238" t="s">
        <v>368</v>
      </c>
      <c r="B230" s="217">
        <v>9.58</v>
      </c>
      <c r="C230" s="217">
        <f t="shared" si="7"/>
        <v>9.5799999999999996E-2</v>
      </c>
      <c r="D230" s="217">
        <v>12.2</v>
      </c>
      <c r="E230" s="217">
        <v>344</v>
      </c>
      <c r="F230" s="217">
        <v>81</v>
      </c>
      <c r="G230" s="217">
        <v>45.8</v>
      </c>
      <c r="H230" s="217">
        <v>27</v>
      </c>
      <c r="I230" s="217">
        <v>5.3</v>
      </c>
      <c r="J230" s="234">
        <v>2.57</v>
      </c>
    </row>
    <row r="231" spans="1:10" x14ac:dyDescent="0.2">
      <c r="A231" s="238" t="s">
        <v>369</v>
      </c>
      <c r="B231" s="217">
        <v>12.7</v>
      </c>
      <c r="C231" s="217">
        <f t="shared" si="7"/>
        <v>0.127</v>
      </c>
      <c r="D231" s="217">
        <v>16.2</v>
      </c>
      <c r="E231" s="217">
        <v>447</v>
      </c>
      <c r="F231" s="217">
        <v>104</v>
      </c>
      <c r="G231" s="217">
        <v>59.6</v>
      </c>
      <c r="H231" s="217">
        <v>34.5</v>
      </c>
      <c r="I231" s="217">
        <v>5.26</v>
      </c>
      <c r="J231" s="234">
        <v>2.5299999999999998</v>
      </c>
    </row>
    <row r="232" spans="1:10" x14ac:dyDescent="0.2">
      <c r="A232" s="238" t="s">
        <v>370</v>
      </c>
      <c r="B232" s="217">
        <v>15.7</v>
      </c>
      <c r="C232" s="217">
        <f>B232/100</f>
        <v>0.157</v>
      </c>
      <c r="D232" s="217">
        <v>20</v>
      </c>
      <c r="E232" s="217">
        <v>544</v>
      </c>
      <c r="F232" s="217">
        <v>124</v>
      </c>
      <c r="G232" s="217">
        <v>72.599999999999994</v>
      </c>
      <c r="H232" s="217">
        <v>41.4</v>
      </c>
      <c r="I232" s="217">
        <v>5.22</v>
      </c>
      <c r="J232" s="234">
        <v>2.4900000000000002</v>
      </c>
    </row>
    <row r="233" spans="1:10" x14ac:dyDescent="0.2">
      <c r="A233" s="239" t="s">
        <v>371</v>
      </c>
      <c r="B233" s="222">
        <v>10.5</v>
      </c>
      <c r="C233" s="217">
        <f>B233/100</f>
        <v>0.105</v>
      </c>
      <c r="D233" s="222">
        <v>13.4</v>
      </c>
      <c r="E233" s="222">
        <v>409</v>
      </c>
      <c r="F233" s="222">
        <v>154</v>
      </c>
      <c r="G233" s="222">
        <v>54.5</v>
      </c>
      <c r="H233" s="222">
        <v>38.5</v>
      </c>
      <c r="I233" s="222">
        <v>5.52</v>
      </c>
      <c r="J233" s="237">
        <v>3.39</v>
      </c>
    </row>
    <row r="234" spans="1:10" x14ac:dyDescent="0.2">
      <c r="A234" s="239" t="s">
        <v>372</v>
      </c>
      <c r="B234" s="222">
        <v>14</v>
      </c>
      <c r="C234" s="217">
        <f t="shared" ref="C234:C258" si="8">B234/100</f>
        <v>0.14000000000000001</v>
      </c>
      <c r="D234" s="222">
        <v>17.8</v>
      </c>
      <c r="E234" s="222">
        <v>532</v>
      </c>
      <c r="F234" s="222">
        <v>198</v>
      </c>
      <c r="G234" s="222">
        <v>70.900000000000006</v>
      </c>
      <c r="H234" s="222">
        <v>49.5</v>
      </c>
      <c r="I234" s="222">
        <v>5.47</v>
      </c>
      <c r="J234" s="237">
        <v>3.34</v>
      </c>
    </row>
    <row r="235" spans="1:10" x14ac:dyDescent="0.2">
      <c r="A235" s="239" t="s">
        <v>373</v>
      </c>
      <c r="B235" s="222">
        <v>17.3</v>
      </c>
      <c r="C235" s="217">
        <f t="shared" si="8"/>
        <v>0.17300000000000001</v>
      </c>
      <c r="D235" s="222">
        <v>22</v>
      </c>
      <c r="E235" s="222">
        <v>649</v>
      </c>
      <c r="F235" s="222">
        <v>240</v>
      </c>
      <c r="G235" s="222">
        <v>86.5</v>
      </c>
      <c r="H235" s="222">
        <v>60</v>
      </c>
      <c r="I235" s="222">
        <v>5.43</v>
      </c>
      <c r="J235" s="237">
        <v>3.3</v>
      </c>
    </row>
    <row r="236" spans="1:10" x14ac:dyDescent="0.2">
      <c r="A236" s="238" t="s">
        <v>374</v>
      </c>
      <c r="B236" s="217">
        <v>11.5</v>
      </c>
      <c r="C236" s="217">
        <f t="shared" si="8"/>
        <v>0.115</v>
      </c>
      <c r="D236" s="217">
        <v>14.6</v>
      </c>
      <c r="E236" s="217">
        <v>473</v>
      </c>
      <c r="F236" s="217">
        <v>253</v>
      </c>
      <c r="G236" s="217">
        <v>63.1</v>
      </c>
      <c r="H236" s="217">
        <v>50.6</v>
      </c>
      <c r="I236" s="217">
        <v>5.69</v>
      </c>
      <c r="J236" s="234">
        <v>4.16</v>
      </c>
    </row>
    <row r="237" spans="1:10" x14ac:dyDescent="0.2">
      <c r="A237" s="238" t="s">
        <v>375</v>
      </c>
      <c r="B237" s="217">
        <v>15.2</v>
      </c>
      <c r="C237" s="217">
        <f t="shared" si="8"/>
        <v>0.152</v>
      </c>
      <c r="D237" s="217">
        <v>19.399999999999999</v>
      </c>
      <c r="E237" s="217">
        <v>617</v>
      </c>
      <c r="F237" s="217">
        <v>329</v>
      </c>
      <c r="G237" s="217">
        <v>82.3</v>
      </c>
      <c r="H237" s="217">
        <v>65.8</v>
      </c>
      <c r="I237" s="217">
        <v>5.64</v>
      </c>
      <c r="J237" s="234">
        <v>4.12</v>
      </c>
    </row>
    <row r="238" spans="1:10" x14ac:dyDescent="0.2">
      <c r="A238" s="238" t="s">
        <v>376</v>
      </c>
      <c r="B238" s="217">
        <v>18.8</v>
      </c>
      <c r="C238" s="217">
        <f t="shared" si="8"/>
        <v>0.188</v>
      </c>
      <c r="D238" s="217">
        <v>24</v>
      </c>
      <c r="E238" s="217">
        <v>754</v>
      </c>
      <c r="F238" s="217">
        <v>400</v>
      </c>
      <c r="G238" s="217">
        <v>101</v>
      </c>
      <c r="H238" s="217">
        <v>80</v>
      </c>
      <c r="I238" s="217">
        <v>5.61</v>
      </c>
      <c r="J238" s="234">
        <v>4.08</v>
      </c>
    </row>
    <row r="239" spans="1:10" x14ac:dyDescent="0.2">
      <c r="A239" s="239" t="s">
        <v>377</v>
      </c>
      <c r="B239" s="222">
        <v>12.4</v>
      </c>
      <c r="C239" s="217">
        <f t="shared" si="8"/>
        <v>0.124</v>
      </c>
      <c r="D239" s="222">
        <v>15.8</v>
      </c>
      <c r="E239" s="222">
        <v>686</v>
      </c>
      <c r="F239" s="222">
        <v>234</v>
      </c>
      <c r="G239" s="222">
        <v>76.2</v>
      </c>
      <c r="H239" s="222">
        <v>52</v>
      </c>
      <c r="I239" s="222">
        <v>6.59</v>
      </c>
      <c r="J239" s="237">
        <v>3.85</v>
      </c>
    </row>
    <row r="240" spans="1:10" x14ac:dyDescent="0.2">
      <c r="A240" s="239" t="s">
        <v>378</v>
      </c>
      <c r="B240" s="222">
        <v>16.5</v>
      </c>
      <c r="C240" s="217">
        <f t="shared" si="8"/>
        <v>0.16500000000000001</v>
      </c>
      <c r="D240" s="222">
        <v>21</v>
      </c>
      <c r="E240" s="222">
        <v>897</v>
      </c>
      <c r="F240" s="222">
        <v>303</v>
      </c>
      <c r="G240" s="222">
        <v>99.7</v>
      </c>
      <c r="H240" s="222">
        <v>67.3</v>
      </c>
      <c r="I240" s="222">
        <v>6.53</v>
      </c>
      <c r="J240" s="237">
        <v>3.8</v>
      </c>
    </row>
    <row r="241" spans="1:10" x14ac:dyDescent="0.2">
      <c r="A241" s="239" t="s">
        <v>379</v>
      </c>
      <c r="B241" s="222">
        <v>20.399999999999999</v>
      </c>
      <c r="C241" s="217">
        <f t="shared" si="8"/>
        <v>0.20399999999999999</v>
      </c>
      <c r="D241" s="222">
        <v>26</v>
      </c>
      <c r="E241" s="223">
        <v>1099</v>
      </c>
      <c r="F241" s="222">
        <v>368</v>
      </c>
      <c r="G241" s="222">
        <v>122</v>
      </c>
      <c r="H241" s="222">
        <v>81.8</v>
      </c>
      <c r="I241" s="222">
        <v>6.5</v>
      </c>
      <c r="J241" s="237">
        <v>3.76</v>
      </c>
    </row>
    <row r="242" spans="1:10" x14ac:dyDescent="0.2">
      <c r="A242" s="238" t="s">
        <v>380</v>
      </c>
      <c r="B242" s="217">
        <v>13.8</v>
      </c>
      <c r="C242" s="217">
        <f t="shared" si="8"/>
        <v>0.13800000000000001</v>
      </c>
      <c r="D242" s="217">
        <v>17.600000000000001</v>
      </c>
      <c r="E242" s="217">
        <v>947</v>
      </c>
      <c r="F242" s="217">
        <v>324</v>
      </c>
      <c r="G242" s="217">
        <v>94.7</v>
      </c>
      <c r="H242" s="217">
        <v>64.8</v>
      </c>
      <c r="I242" s="217">
        <v>7.33</v>
      </c>
      <c r="J242" s="234">
        <v>4.28</v>
      </c>
    </row>
    <row r="243" spans="1:10" x14ac:dyDescent="0.2">
      <c r="A243" s="238" t="s">
        <v>381</v>
      </c>
      <c r="B243" s="217">
        <v>18.399999999999999</v>
      </c>
      <c r="C243" s="217">
        <f t="shared" si="8"/>
        <v>0.184</v>
      </c>
      <c r="D243" s="217">
        <v>23.4</v>
      </c>
      <c r="E243" s="218">
        <v>1240</v>
      </c>
      <c r="F243" s="217">
        <v>421</v>
      </c>
      <c r="G243" s="217">
        <v>124</v>
      </c>
      <c r="H243" s="217">
        <v>84.2</v>
      </c>
      <c r="I243" s="217">
        <v>7.29</v>
      </c>
      <c r="J243" s="234">
        <v>4.24</v>
      </c>
    </row>
    <row r="244" spans="1:10" x14ac:dyDescent="0.2">
      <c r="A244" s="238" t="s">
        <v>382</v>
      </c>
      <c r="B244" s="217">
        <v>22.8</v>
      </c>
      <c r="C244" s="217">
        <f t="shared" si="8"/>
        <v>0.22800000000000001</v>
      </c>
      <c r="D244" s="217">
        <v>29</v>
      </c>
      <c r="E244" s="218">
        <v>1522</v>
      </c>
      <c r="F244" s="217">
        <v>512</v>
      </c>
      <c r="G244" s="217">
        <v>152</v>
      </c>
      <c r="H244" s="217">
        <v>102</v>
      </c>
      <c r="I244" s="217">
        <v>7.24</v>
      </c>
      <c r="J244" s="234">
        <v>4.2</v>
      </c>
    </row>
    <row r="245" spans="1:10" x14ac:dyDescent="0.2">
      <c r="A245" s="239" t="s">
        <v>383</v>
      </c>
      <c r="B245" s="222">
        <v>17.100000000000001</v>
      </c>
      <c r="C245" s="217">
        <f t="shared" si="8"/>
        <v>0.17100000000000001</v>
      </c>
      <c r="D245" s="222">
        <v>21.8</v>
      </c>
      <c r="E245" s="223">
        <v>1825</v>
      </c>
      <c r="F245" s="222">
        <v>588</v>
      </c>
      <c r="G245" s="222">
        <v>146</v>
      </c>
      <c r="H245" s="222">
        <v>98</v>
      </c>
      <c r="I245" s="222">
        <v>9.15</v>
      </c>
      <c r="J245" s="237">
        <v>5.19</v>
      </c>
    </row>
    <row r="246" spans="1:10" x14ac:dyDescent="0.2">
      <c r="A246" s="239" t="s">
        <v>384</v>
      </c>
      <c r="B246" s="222">
        <v>22.8</v>
      </c>
      <c r="C246" s="217">
        <f t="shared" si="8"/>
        <v>0.22800000000000001</v>
      </c>
      <c r="D246" s="222">
        <v>29</v>
      </c>
      <c r="E246" s="223">
        <v>2397</v>
      </c>
      <c r="F246" s="222">
        <v>767</v>
      </c>
      <c r="G246" s="222">
        <v>192</v>
      </c>
      <c r="H246" s="222">
        <v>128</v>
      </c>
      <c r="I246" s="222">
        <v>9.09</v>
      </c>
      <c r="J246" s="237">
        <v>5.14</v>
      </c>
    </row>
    <row r="247" spans="1:10" x14ac:dyDescent="0.2">
      <c r="A247" s="239" t="s">
        <v>385</v>
      </c>
      <c r="B247" s="222">
        <v>28.3</v>
      </c>
      <c r="C247" s="217">
        <f t="shared" si="8"/>
        <v>0.28300000000000003</v>
      </c>
      <c r="D247" s="222">
        <v>36</v>
      </c>
      <c r="E247" s="223">
        <v>2953</v>
      </c>
      <c r="F247" s="222">
        <v>938</v>
      </c>
      <c r="G247" s="222">
        <v>236</v>
      </c>
      <c r="H247" s="222">
        <v>156</v>
      </c>
      <c r="I247" s="222">
        <v>9.06</v>
      </c>
      <c r="J247" s="237">
        <v>5.0999999999999996</v>
      </c>
    </row>
    <row r="248" spans="1:10" x14ac:dyDescent="0.2">
      <c r="A248" s="238" t="s">
        <v>386</v>
      </c>
      <c r="B248" s="217">
        <v>18.5</v>
      </c>
      <c r="C248" s="217">
        <f t="shared" si="8"/>
        <v>0.185</v>
      </c>
      <c r="D248" s="217">
        <v>23.6</v>
      </c>
      <c r="E248" s="218">
        <v>2099</v>
      </c>
      <c r="F248" s="217">
        <v>960</v>
      </c>
      <c r="G248" s="217">
        <v>168</v>
      </c>
      <c r="H248" s="217">
        <v>128</v>
      </c>
      <c r="I248" s="217">
        <v>9.43</v>
      </c>
      <c r="J248" s="234">
        <v>6.38</v>
      </c>
    </row>
    <row r="249" spans="1:10" x14ac:dyDescent="0.2">
      <c r="A249" s="238" t="s">
        <v>387</v>
      </c>
      <c r="B249" s="217">
        <v>24.6</v>
      </c>
      <c r="C249" s="217">
        <f t="shared" si="8"/>
        <v>0.24600000000000002</v>
      </c>
      <c r="D249" s="217">
        <v>31.4</v>
      </c>
      <c r="E249" s="218">
        <v>2760</v>
      </c>
      <c r="F249" s="218">
        <v>1257</v>
      </c>
      <c r="G249" s="217">
        <v>221</v>
      </c>
      <c r="H249" s="217">
        <v>168</v>
      </c>
      <c r="I249" s="217">
        <v>9.3800000000000008</v>
      </c>
      <c r="J249" s="234">
        <v>6.33</v>
      </c>
    </row>
    <row r="250" spans="1:10" x14ac:dyDescent="0.2">
      <c r="A250" s="238" t="s">
        <v>388</v>
      </c>
      <c r="B250" s="217">
        <v>30.6</v>
      </c>
      <c r="C250" s="217">
        <f t="shared" si="8"/>
        <v>0.30599999999999999</v>
      </c>
      <c r="D250" s="217">
        <v>39</v>
      </c>
      <c r="E250" s="218">
        <v>3403</v>
      </c>
      <c r="F250" s="218">
        <v>1543</v>
      </c>
      <c r="G250" s="217">
        <v>272</v>
      </c>
      <c r="H250" s="217">
        <v>206</v>
      </c>
      <c r="I250" s="217">
        <v>9.34</v>
      </c>
      <c r="J250" s="234">
        <v>6.29</v>
      </c>
    </row>
    <row r="251" spans="1:10" x14ac:dyDescent="0.2">
      <c r="A251" s="239" t="s">
        <v>389</v>
      </c>
      <c r="B251" s="222">
        <v>24.6</v>
      </c>
      <c r="C251" s="217">
        <f t="shared" si="8"/>
        <v>0.24600000000000002</v>
      </c>
      <c r="D251" s="222">
        <v>31.4</v>
      </c>
      <c r="E251" s="223">
        <v>3412</v>
      </c>
      <c r="F251" s="222">
        <v>605</v>
      </c>
      <c r="G251" s="222">
        <v>227</v>
      </c>
      <c r="H251" s="222">
        <v>121</v>
      </c>
      <c r="I251" s="222">
        <v>10.4</v>
      </c>
      <c r="J251" s="237">
        <v>4.3899999999999997</v>
      </c>
    </row>
    <row r="252" spans="1:10" x14ac:dyDescent="0.2">
      <c r="A252" s="239" t="s">
        <v>390</v>
      </c>
      <c r="B252" s="222">
        <v>30.6</v>
      </c>
      <c r="C252" s="217">
        <f t="shared" si="8"/>
        <v>0.30599999999999999</v>
      </c>
      <c r="D252" s="222">
        <v>39</v>
      </c>
      <c r="E252" s="223">
        <v>4208</v>
      </c>
      <c r="F252" s="222">
        <v>738</v>
      </c>
      <c r="G252" s="222">
        <v>281</v>
      </c>
      <c r="H252" s="222">
        <v>148</v>
      </c>
      <c r="I252" s="222">
        <v>10.4</v>
      </c>
      <c r="J252" s="237">
        <v>4.3499999999999996</v>
      </c>
    </row>
    <row r="253" spans="1:10" x14ac:dyDescent="0.2">
      <c r="A253" s="239" t="s">
        <v>391</v>
      </c>
      <c r="B253" s="222">
        <v>36.6</v>
      </c>
      <c r="C253" s="217">
        <f t="shared" si="8"/>
        <v>0.36599999999999999</v>
      </c>
      <c r="D253" s="222">
        <v>46.6</v>
      </c>
      <c r="E253" s="223">
        <v>4982</v>
      </c>
      <c r="F253" s="222">
        <v>864</v>
      </c>
      <c r="G253" s="222">
        <v>332</v>
      </c>
      <c r="H253" s="222">
        <v>173</v>
      </c>
      <c r="I253" s="222">
        <v>10.3</v>
      </c>
      <c r="J253" s="237">
        <v>4.3099999999999996</v>
      </c>
    </row>
    <row r="254" spans="1:10" x14ac:dyDescent="0.2">
      <c r="A254" s="236" t="s">
        <v>392</v>
      </c>
      <c r="B254" s="222">
        <v>2.0099999999999998</v>
      </c>
      <c r="C254" s="217">
        <f t="shared" si="8"/>
        <v>2.0099999999999996E-2</v>
      </c>
      <c r="D254" s="222">
        <v>2.54</v>
      </c>
      <c r="E254" s="222">
        <v>3.09</v>
      </c>
      <c r="F254" s="222">
        <v>3.09</v>
      </c>
      <c r="G254" s="222">
        <v>1.84</v>
      </c>
      <c r="H254" s="222">
        <v>1.84</v>
      </c>
      <c r="I254" s="222">
        <v>1.1000000000000001</v>
      </c>
      <c r="J254" s="237">
        <v>1.1000000000000001</v>
      </c>
    </row>
    <row r="255" spans="1:10" x14ac:dyDescent="0.2">
      <c r="A255" s="236" t="s">
        <v>393</v>
      </c>
      <c r="B255" s="222">
        <v>2.2200000000000002</v>
      </c>
      <c r="C255" s="217">
        <f t="shared" si="8"/>
        <v>2.2200000000000001E-2</v>
      </c>
      <c r="D255" s="222">
        <v>2.81</v>
      </c>
      <c r="E255" s="222">
        <v>3.36</v>
      </c>
      <c r="F255" s="222">
        <v>3.36</v>
      </c>
      <c r="G255" s="222">
        <v>1.99</v>
      </c>
      <c r="H255" s="222">
        <v>1.99</v>
      </c>
      <c r="I255" s="222">
        <v>1.0900000000000001</v>
      </c>
      <c r="J255" s="237">
        <v>1.0900000000000001</v>
      </c>
    </row>
    <row r="256" spans="1:10" x14ac:dyDescent="0.2">
      <c r="A256" s="236" t="s">
        <v>394</v>
      </c>
      <c r="B256" s="222">
        <v>2.42</v>
      </c>
      <c r="C256" s="217">
        <f t="shared" si="8"/>
        <v>2.4199999999999999E-2</v>
      </c>
      <c r="D256" s="222">
        <v>3.07</v>
      </c>
      <c r="E256" s="222">
        <v>3.6</v>
      </c>
      <c r="F256" s="222">
        <v>3.6</v>
      </c>
      <c r="G256" s="222">
        <v>2.14</v>
      </c>
      <c r="H256" s="222">
        <v>2.14</v>
      </c>
      <c r="I256" s="222">
        <v>1.08</v>
      </c>
      <c r="J256" s="237">
        <v>1.08</v>
      </c>
    </row>
    <row r="257" spans="1:10" x14ac:dyDescent="0.2">
      <c r="A257" s="233" t="s">
        <v>395</v>
      </c>
      <c r="B257" s="217">
        <v>2.57</v>
      </c>
      <c r="C257" s="217">
        <f t="shared" si="8"/>
        <v>2.5699999999999997E-2</v>
      </c>
      <c r="D257" s="217">
        <v>3.25</v>
      </c>
      <c r="E257" s="217">
        <v>6.46</v>
      </c>
      <c r="F257" s="217">
        <v>6.46</v>
      </c>
      <c r="G257" s="217">
        <v>3.05</v>
      </c>
      <c r="H257" s="217">
        <v>3.05</v>
      </c>
      <c r="I257" s="217">
        <v>1.41</v>
      </c>
      <c r="J257" s="234">
        <v>1.41</v>
      </c>
    </row>
    <row r="258" spans="1:10" x14ac:dyDescent="0.2">
      <c r="A258" s="233" t="s">
        <v>396</v>
      </c>
      <c r="B258" s="217">
        <v>2.84</v>
      </c>
      <c r="C258" s="217">
        <f t="shared" si="8"/>
        <v>2.8399999999999998E-2</v>
      </c>
      <c r="D258" s="217">
        <v>3.6</v>
      </c>
      <c r="E258" s="217">
        <v>7.06</v>
      </c>
      <c r="F258" s="217">
        <v>7.06</v>
      </c>
      <c r="G258" s="217">
        <v>3.33</v>
      </c>
      <c r="H258" s="217">
        <v>3.33</v>
      </c>
      <c r="I258" s="217">
        <v>1.4</v>
      </c>
      <c r="J258" s="234">
        <v>1.4</v>
      </c>
    </row>
    <row r="259" spans="1:10" x14ac:dyDescent="0.2">
      <c r="A259" s="233" t="s">
        <v>397</v>
      </c>
      <c r="B259" s="217">
        <v>3.11</v>
      </c>
      <c r="C259" s="217">
        <f>B259/100</f>
        <v>3.1099999999999999E-2</v>
      </c>
      <c r="D259" s="217">
        <v>3.94</v>
      </c>
      <c r="E259" s="217">
        <v>7.62</v>
      </c>
      <c r="F259" s="217">
        <v>7.62</v>
      </c>
      <c r="G259" s="217">
        <v>3.59</v>
      </c>
      <c r="H259" s="217">
        <v>3.59</v>
      </c>
      <c r="I259" s="217">
        <v>1.39</v>
      </c>
      <c r="J259" s="234">
        <v>1.39</v>
      </c>
    </row>
    <row r="260" spans="1:10" x14ac:dyDescent="0.2">
      <c r="A260" s="236" t="s">
        <v>398</v>
      </c>
      <c r="B260" s="222">
        <v>2.95</v>
      </c>
      <c r="C260" s="217">
        <f>B260/100</f>
        <v>2.9500000000000002E-2</v>
      </c>
      <c r="D260" s="222">
        <v>3.73</v>
      </c>
      <c r="E260" s="222">
        <v>9.7799999999999994</v>
      </c>
      <c r="F260" s="222">
        <v>9.7799999999999994</v>
      </c>
      <c r="G260" s="222">
        <v>4.05</v>
      </c>
      <c r="H260" s="222">
        <v>4.05</v>
      </c>
      <c r="I260" s="222">
        <v>1.62</v>
      </c>
      <c r="J260" s="237">
        <v>1.62</v>
      </c>
    </row>
    <row r="261" spans="1:10" x14ac:dyDescent="0.2">
      <c r="A261" s="236" t="s">
        <v>399</v>
      </c>
      <c r="B261" s="222">
        <v>3.27</v>
      </c>
      <c r="C261" s="217">
        <f t="shared" ref="C261:C287" si="9">B261/100</f>
        <v>3.27E-2</v>
      </c>
      <c r="D261" s="222">
        <v>4.1399999999999997</v>
      </c>
      <c r="E261" s="222">
        <v>10.7</v>
      </c>
      <c r="F261" s="222">
        <v>10.7</v>
      </c>
      <c r="G261" s="222">
        <v>4.43</v>
      </c>
      <c r="H261" s="222">
        <v>4.43</v>
      </c>
      <c r="I261" s="222">
        <v>1.61</v>
      </c>
      <c r="J261" s="237">
        <v>1.61</v>
      </c>
    </row>
    <row r="262" spans="1:10" x14ac:dyDescent="0.2">
      <c r="A262" s="236" t="s">
        <v>400</v>
      </c>
      <c r="B262" s="222">
        <v>3.59</v>
      </c>
      <c r="C262" s="217">
        <f t="shared" si="9"/>
        <v>3.5900000000000001E-2</v>
      </c>
      <c r="D262" s="222">
        <v>4.53</v>
      </c>
      <c r="E262" s="222">
        <v>11.6</v>
      </c>
      <c r="F262" s="222">
        <v>11.6</v>
      </c>
      <c r="G262" s="222">
        <v>4.8</v>
      </c>
      <c r="H262" s="222">
        <v>4.8</v>
      </c>
      <c r="I262" s="222">
        <v>1.6</v>
      </c>
      <c r="J262" s="237">
        <v>1.6</v>
      </c>
    </row>
    <row r="263" spans="1:10" x14ac:dyDescent="0.2">
      <c r="A263" s="233" t="s">
        <v>401</v>
      </c>
      <c r="B263" s="217">
        <v>4.1399999999999997</v>
      </c>
      <c r="C263" s="217">
        <f t="shared" si="9"/>
        <v>4.1399999999999999E-2</v>
      </c>
      <c r="D263" s="217">
        <v>5.23</v>
      </c>
      <c r="E263" s="217">
        <v>21.6</v>
      </c>
      <c r="F263" s="217">
        <v>21.6</v>
      </c>
      <c r="G263" s="217">
        <v>7.16</v>
      </c>
      <c r="H263" s="217">
        <v>7.16</v>
      </c>
      <c r="I263" s="217">
        <v>2.0299999999999998</v>
      </c>
      <c r="J263" s="234">
        <v>2.0299999999999998</v>
      </c>
    </row>
    <row r="264" spans="1:10" x14ac:dyDescent="0.2">
      <c r="A264" s="233" t="s">
        <v>402</v>
      </c>
      <c r="B264" s="217">
        <v>4.54</v>
      </c>
      <c r="C264" s="217">
        <f t="shared" si="9"/>
        <v>4.5400000000000003E-2</v>
      </c>
      <c r="D264" s="217">
        <v>5.74</v>
      </c>
      <c r="E264" s="217">
        <v>23.5</v>
      </c>
      <c r="F264" s="217">
        <v>23.5</v>
      </c>
      <c r="G264" s="217">
        <v>7.78</v>
      </c>
      <c r="H264" s="217">
        <v>7.78</v>
      </c>
      <c r="I264" s="217">
        <v>2.02</v>
      </c>
      <c r="J264" s="234">
        <v>2.02</v>
      </c>
    </row>
    <row r="265" spans="1:10" x14ac:dyDescent="0.2">
      <c r="A265" s="233" t="s">
        <v>403</v>
      </c>
      <c r="B265" s="217">
        <v>5.07</v>
      </c>
      <c r="C265" s="217">
        <f t="shared" si="9"/>
        <v>5.0700000000000002E-2</v>
      </c>
      <c r="D265" s="217">
        <v>6.41</v>
      </c>
      <c r="E265" s="217">
        <v>25.9</v>
      </c>
      <c r="F265" s="217">
        <v>25.9</v>
      </c>
      <c r="G265" s="217">
        <v>8.58</v>
      </c>
      <c r="H265" s="217">
        <v>8.58</v>
      </c>
      <c r="I265" s="217">
        <v>2.0099999999999998</v>
      </c>
      <c r="J265" s="234">
        <v>2.0099999999999998</v>
      </c>
    </row>
    <row r="266" spans="1:10" x14ac:dyDescent="0.2">
      <c r="A266" s="236" t="s">
        <v>404</v>
      </c>
      <c r="B266" s="222">
        <v>4.75</v>
      </c>
      <c r="C266" s="217">
        <f t="shared" si="9"/>
        <v>4.7500000000000001E-2</v>
      </c>
      <c r="D266" s="222">
        <v>6</v>
      </c>
      <c r="E266" s="222">
        <v>40.6</v>
      </c>
      <c r="F266" s="222">
        <v>40.6</v>
      </c>
      <c r="G266" s="222">
        <v>10.7</v>
      </c>
      <c r="H266" s="222">
        <v>10.7</v>
      </c>
      <c r="I266" s="222">
        <v>2.6</v>
      </c>
      <c r="J266" s="237">
        <v>2.6</v>
      </c>
    </row>
    <row r="267" spans="1:10" x14ac:dyDescent="0.2">
      <c r="A267" s="236" t="s">
        <v>405</v>
      </c>
      <c r="B267" s="222">
        <v>5.28</v>
      </c>
      <c r="C267" s="217">
        <f t="shared" si="9"/>
        <v>5.28E-2</v>
      </c>
      <c r="D267" s="222">
        <v>6.67</v>
      </c>
      <c r="E267" s="222">
        <v>44.7</v>
      </c>
      <c r="F267" s="222">
        <v>44.7</v>
      </c>
      <c r="G267" s="222">
        <v>11.8</v>
      </c>
      <c r="H267" s="222">
        <v>11.8</v>
      </c>
      <c r="I267" s="222">
        <v>2.59</v>
      </c>
      <c r="J267" s="237">
        <v>2.59</v>
      </c>
    </row>
    <row r="268" spans="1:10" x14ac:dyDescent="0.2">
      <c r="A268" s="236" t="s">
        <v>406</v>
      </c>
      <c r="B268" s="222">
        <v>5.8</v>
      </c>
      <c r="C268" s="217">
        <f t="shared" si="9"/>
        <v>5.7999999999999996E-2</v>
      </c>
      <c r="D268" s="222">
        <v>7.33</v>
      </c>
      <c r="E268" s="222">
        <v>48.8</v>
      </c>
      <c r="F268" s="222">
        <v>48.8</v>
      </c>
      <c r="G268" s="222">
        <v>12.8</v>
      </c>
      <c r="H268" s="222">
        <v>12.8</v>
      </c>
      <c r="I268" s="222">
        <v>2.58</v>
      </c>
      <c r="J268" s="237">
        <v>2.58</v>
      </c>
    </row>
    <row r="269" spans="1:10" x14ac:dyDescent="0.2">
      <c r="A269" s="236" t="s">
        <v>407</v>
      </c>
      <c r="B269" s="222">
        <v>6.49</v>
      </c>
      <c r="C269" s="217">
        <f t="shared" si="9"/>
        <v>6.4899999999999999E-2</v>
      </c>
      <c r="D269" s="222">
        <v>8.1999999999999993</v>
      </c>
      <c r="E269" s="222">
        <v>54</v>
      </c>
      <c r="F269" s="222">
        <v>54</v>
      </c>
      <c r="G269" s="222">
        <v>14.2</v>
      </c>
      <c r="H269" s="222">
        <v>14.2</v>
      </c>
      <c r="I269" s="222">
        <v>2.57</v>
      </c>
      <c r="J269" s="237">
        <v>2.57</v>
      </c>
    </row>
    <row r="270" spans="1:10" x14ac:dyDescent="0.2">
      <c r="A270" s="233" t="s">
        <v>408</v>
      </c>
      <c r="B270" s="217">
        <v>5.57</v>
      </c>
      <c r="C270" s="217">
        <f t="shared" si="9"/>
        <v>5.57E-2</v>
      </c>
      <c r="D270" s="217">
        <v>7.05</v>
      </c>
      <c r="E270" s="217">
        <v>65.7</v>
      </c>
      <c r="F270" s="217">
        <v>65.7</v>
      </c>
      <c r="G270" s="217">
        <v>14.8</v>
      </c>
      <c r="H270" s="217">
        <v>14.8</v>
      </c>
      <c r="I270" s="217">
        <v>3.05</v>
      </c>
      <c r="J270" s="234">
        <v>3.05</v>
      </c>
    </row>
    <row r="271" spans="1:10" x14ac:dyDescent="0.2">
      <c r="A271" s="233" t="s">
        <v>409</v>
      </c>
      <c r="B271" s="217">
        <v>6.81</v>
      </c>
      <c r="C271" s="217">
        <f t="shared" si="9"/>
        <v>6.8099999999999994E-2</v>
      </c>
      <c r="D271" s="217">
        <v>8.6199999999999992</v>
      </c>
      <c r="E271" s="217">
        <v>79.2</v>
      </c>
      <c r="F271" s="217">
        <v>79.2</v>
      </c>
      <c r="G271" s="217">
        <v>17.8</v>
      </c>
      <c r="H271" s="217">
        <v>17.8</v>
      </c>
      <c r="I271" s="217">
        <v>3.03</v>
      </c>
      <c r="J271" s="234">
        <v>3.03</v>
      </c>
    </row>
    <row r="272" spans="1:10" x14ac:dyDescent="0.2">
      <c r="A272" s="233" t="s">
        <v>410</v>
      </c>
      <c r="B272" s="217">
        <v>7.63</v>
      </c>
      <c r="C272" s="217">
        <f t="shared" si="9"/>
        <v>7.6299999999999993E-2</v>
      </c>
      <c r="D272" s="217">
        <v>9.65</v>
      </c>
      <c r="E272" s="217">
        <v>87.9</v>
      </c>
      <c r="F272" s="217">
        <v>87.9</v>
      </c>
      <c r="G272" s="217">
        <v>19.8</v>
      </c>
      <c r="H272" s="217">
        <v>19.8</v>
      </c>
      <c r="I272" s="217">
        <v>3.02</v>
      </c>
      <c r="J272" s="234">
        <v>3.02</v>
      </c>
    </row>
    <row r="273" spans="1:10" x14ac:dyDescent="0.2">
      <c r="A273" s="233" t="s">
        <v>411</v>
      </c>
      <c r="B273" s="217">
        <v>8.43</v>
      </c>
      <c r="C273" s="217">
        <f t="shared" si="9"/>
        <v>8.43E-2</v>
      </c>
      <c r="D273" s="217">
        <v>10.7</v>
      </c>
      <c r="E273" s="217">
        <v>96.3</v>
      </c>
      <c r="F273" s="217">
        <v>96.3</v>
      </c>
      <c r="G273" s="217">
        <v>21.7</v>
      </c>
      <c r="H273" s="217">
        <v>21.7</v>
      </c>
      <c r="I273" s="217">
        <v>3</v>
      </c>
      <c r="J273" s="234">
        <v>3</v>
      </c>
    </row>
    <row r="274" spans="1:10" x14ac:dyDescent="0.2">
      <c r="A274" s="236" t="s">
        <v>412</v>
      </c>
      <c r="B274" s="222">
        <v>9.9</v>
      </c>
      <c r="C274" s="217">
        <f t="shared" si="9"/>
        <v>9.9000000000000005E-2</v>
      </c>
      <c r="D274" s="222">
        <v>12.5</v>
      </c>
      <c r="E274" s="222">
        <v>192</v>
      </c>
      <c r="F274" s="222">
        <v>192</v>
      </c>
      <c r="G274" s="222">
        <v>33.6</v>
      </c>
      <c r="H274" s="222">
        <v>33.6</v>
      </c>
      <c r="I274" s="222">
        <v>3.92</v>
      </c>
      <c r="J274" s="237">
        <v>3.92</v>
      </c>
    </row>
    <row r="275" spans="1:10" x14ac:dyDescent="0.2">
      <c r="A275" s="236" t="s">
        <v>413</v>
      </c>
      <c r="B275" s="222">
        <v>11</v>
      </c>
      <c r="C275" s="217">
        <f t="shared" si="9"/>
        <v>0.11</v>
      </c>
      <c r="D275" s="222">
        <v>13.9</v>
      </c>
      <c r="E275" s="222">
        <v>211</v>
      </c>
      <c r="F275" s="222">
        <v>211</v>
      </c>
      <c r="G275" s="222">
        <v>36.9</v>
      </c>
      <c r="H275" s="222">
        <v>36.9</v>
      </c>
      <c r="I275" s="222">
        <v>3.9</v>
      </c>
      <c r="J275" s="237">
        <v>3.9</v>
      </c>
    </row>
    <row r="276" spans="1:10" x14ac:dyDescent="0.2">
      <c r="A276" s="236" t="s">
        <v>414</v>
      </c>
      <c r="B276" s="222">
        <v>12.1</v>
      </c>
      <c r="C276" s="217">
        <f t="shared" si="9"/>
        <v>0.121</v>
      </c>
      <c r="D276" s="222">
        <v>15.5</v>
      </c>
      <c r="E276" s="222">
        <v>234</v>
      </c>
      <c r="F276" s="222">
        <v>234</v>
      </c>
      <c r="G276" s="222">
        <v>41</v>
      </c>
      <c r="H276" s="222">
        <v>41</v>
      </c>
      <c r="I276" s="222">
        <v>3.89</v>
      </c>
      <c r="J276" s="237">
        <v>3.89</v>
      </c>
    </row>
    <row r="277" spans="1:10" x14ac:dyDescent="0.2">
      <c r="A277" s="233" t="s">
        <v>415</v>
      </c>
      <c r="B277" s="217">
        <v>9.86</v>
      </c>
      <c r="C277" s="217">
        <f t="shared" si="9"/>
        <v>9.8599999999999993E-2</v>
      </c>
      <c r="D277" s="217">
        <v>12.5</v>
      </c>
      <c r="E277" s="217">
        <v>292</v>
      </c>
      <c r="F277" s="217">
        <v>292</v>
      </c>
      <c r="G277" s="217">
        <v>41.8</v>
      </c>
      <c r="H277" s="217">
        <v>41.8</v>
      </c>
      <c r="I277" s="217">
        <v>4.84</v>
      </c>
      <c r="J277" s="234">
        <v>4.84</v>
      </c>
    </row>
    <row r="278" spans="1:10" x14ac:dyDescent="0.2">
      <c r="A278" s="233" t="s">
        <v>416</v>
      </c>
      <c r="B278" s="217">
        <v>12.2</v>
      </c>
      <c r="C278" s="217">
        <f t="shared" si="9"/>
        <v>0.122</v>
      </c>
      <c r="D278" s="217">
        <v>15.4</v>
      </c>
      <c r="E278" s="217">
        <v>357</v>
      </c>
      <c r="F278" s="217">
        <v>357</v>
      </c>
      <c r="G278" s="217">
        <v>51.1</v>
      </c>
      <c r="H278" s="217">
        <v>51.1</v>
      </c>
      <c r="I278" s="217">
        <v>4.8099999999999996</v>
      </c>
      <c r="J278" s="234">
        <v>4.8099999999999996</v>
      </c>
    </row>
    <row r="279" spans="1:10" x14ac:dyDescent="0.2">
      <c r="A279" s="233" t="s">
        <v>417</v>
      </c>
      <c r="B279" s="217">
        <v>13.5</v>
      </c>
      <c r="C279" s="217">
        <f t="shared" si="9"/>
        <v>0.13500000000000001</v>
      </c>
      <c r="D279" s="217">
        <v>17.100000000000001</v>
      </c>
      <c r="E279" s="217">
        <v>393</v>
      </c>
      <c r="F279" s="217">
        <v>393</v>
      </c>
      <c r="G279" s="217">
        <v>56.2</v>
      </c>
      <c r="H279" s="217">
        <v>56.2</v>
      </c>
      <c r="I279" s="217">
        <v>4.8</v>
      </c>
      <c r="J279" s="234">
        <v>4.8</v>
      </c>
    </row>
    <row r="280" spans="1:10" x14ac:dyDescent="0.2">
      <c r="A280" s="233" t="s">
        <v>418</v>
      </c>
      <c r="B280" s="217">
        <v>14.9</v>
      </c>
      <c r="C280" s="217">
        <f t="shared" si="9"/>
        <v>0.14899999999999999</v>
      </c>
      <c r="D280" s="217">
        <v>19.100000000000001</v>
      </c>
      <c r="E280" s="217">
        <v>437</v>
      </c>
      <c r="F280" s="217">
        <v>437</v>
      </c>
      <c r="G280" s="217">
        <v>62.6</v>
      </c>
      <c r="H280" s="217">
        <v>62.6</v>
      </c>
      <c r="I280" s="217">
        <v>4.78</v>
      </c>
      <c r="J280" s="234">
        <v>4.78</v>
      </c>
    </row>
    <row r="281" spans="1:10" x14ac:dyDescent="0.2">
      <c r="A281" s="236" t="s">
        <v>419</v>
      </c>
      <c r="B281" s="222">
        <v>13.1</v>
      </c>
      <c r="C281" s="217">
        <f t="shared" si="9"/>
        <v>0.13100000000000001</v>
      </c>
      <c r="D281" s="222">
        <v>16.600000000000001</v>
      </c>
      <c r="E281" s="222">
        <v>566</v>
      </c>
      <c r="F281" s="222">
        <v>566</v>
      </c>
      <c r="G281" s="222">
        <v>67.2</v>
      </c>
      <c r="H281" s="222">
        <v>67.2</v>
      </c>
      <c r="I281" s="222">
        <v>5.84</v>
      </c>
      <c r="J281" s="237">
        <v>5.84</v>
      </c>
    </row>
    <row r="282" spans="1:10" x14ac:dyDescent="0.2">
      <c r="A282" s="236" t="s">
        <v>420</v>
      </c>
      <c r="B282" s="222">
        <v>16.3</v>
      </c>
      <c r="C282" s="217">
        <f t="shared" si="9"/>
        <v>0.16300000000000001</v>
      </c>
      <c r="D282" s="222">
        <v>20.6</v>
      </c>
      <c r="E282" s="222">
        <v>697</v>
      </c>
      <c r="F282" s="222">
        <v>697</v>
      </c>
      <c r="G282" s="222">
        <v>82.8</v>
      </c>
      <c r="H282" s="222">
        <v>82.8</v>
      </c>
      <c r="I282" s="222">
        <v>5.81</v>
      </c>
      <c r="J282" s="237">
        <v>5.81</v>
      </c>
    </row>
    <row r="283" spans="1:10" x14ac:dyDescent="0.2">
      <c r="A283" s="236" t="s">
        <v>421</v>
      </c>
      <c r="B283" s="222">
        <v>18.100000000000001</v>
      </c>
      <c r="C283" s="217">
        <f t="shared" si="9"/>
        <v>0.18100000000000002</v>
      </c>
      <c r="D283" s="222">
        <v>23.2</v>
      </c>
      <c r="E283" s="222">
        <v>777</v>
      </c>
      <c r="F283" s="222">
        <v>777</v>
      </c>
      <c r="G283" s="222">
        <v>92.4</v>
      </c>
      <c r="H283" s="222">
        <v>92.4</v>
      </c>
      <c r="I283" s="222">
        <v>5.79</v>
      </c>
      <c r="J283" s="237">
        <v>5.79</v>
      </c>
    </row>
    <row r="284" spans="1:10" x14ac:dyDescent="0.2">
      <c r="A284" s="236" t="s">
        <v>422</v>
      </c>
      <c r="B284" s="222">
        <v>20.100000000000001</v>
      </c>
      <c r="C284" s="217">
        <f t="shared" si="9"/>
        <v>0.20100000000000001</v>
      </c>
      <c r="D284" s="222">
        <v>25.7</v>
      </c>
      <c r="E284" s="222">
        <v>856</v>
      </c>
      <c r="F284" s="222">
        <v>856</v>
      </c>
      <c r="G284" s="222">
        <v>102</v>
      </c>
      <c r="H284" s="222">
        <v>102</v>
      </c>
      <c r="I284" s="222">
        <v>5.78</v>
      </c>
      <c r="J284" s="237">
        <v>5.78</v>
      </c>
    </row>
    <row r="285" spans="1:10" x14ac:dyDescent="0.2">
      <c r="A285" s="233" t="s">
        <v>423</v>
      </c>
      <c r="B285" s="217">
        <v>21.4</v>
      </c>
      <c r="C285" s="217">
        <f t="shared" si="9"/>
        <v>0.214</v>
      </c>
      <c r="D285" s="217">
        <v>27</v>
      </c>
      <c r="E285" s="218">
        <v>1564</v>
      </c>
      <c r="F285" s="218">
        <v>1564</v>
      </c>
      <c r="G285" s="217">
        <v>143</v>
      </c>
      <c r="H285" s="217">
        <v>143</v>
      </c>
      <c r="I285" s="217">
        <v>7.61</v>
      </c>
      <c r="J285" s="234">
        <v>7.61</v>
      </c>
    </row>
    <row r="286" spans="1:10" x14ac:dyDescent="0.2">
      <c r="A286" s="233" t="s">
        <v>424</v>
      </c>
      <c r="B286" s="217">
        <v>26.4</v>
      </c>
      <c r="C286" s="217">
        <f>B286/100</f>
        <v>0.26400000000000001</v>
      </c>
      <c r="D286" s="217">
        <v>33.6</v>
      </c>
      <c r="E286" s="218">
        <v>1928</v>
      </c>
      <c r="F286" s="218">
        <v>1928</v>
      </c>
      <c r="G286" s="217">
        <v>176</v>
      </c>
      <c r="H286" s="217">
        <v>176</v>
      </c>
      <c r="I286" s="217">
        <v>7.57</v>
      </c>
      <c r="J286" s="234">
        <v>7.57</v>
      </c>
    </row>
    <row r="287" spans="1:10" x14ac:dyDescent="0.2">
      <c r="A287" s="233" t="s">
        <v>425</v>
      </c>
      <c r="B287" s="217">
        <v>31</v>
      </c>
      <c r="C287" s="217">
        <f t="shared" si="9"/>
        <v>0.31</v>
      </c>
      <c r="D287" s="217">
        <v>39.5</v>
      </c>
      <c r="E287" s="218">
        <v>2247</v>
      </c>
      <c r="F287" s="218">
        <v>2247</v>
      </c>
      <c r="G287" s="217">
        <v>205</v>
      </c>
      <c r="H287" s="217">
        <v>205</v>
      </c>
      <c r="I287" s="217">
        <v>7.54</v>
      </c>
      <c r="J287" s="234">
        <v>7.54</v>
      </c>
    </row>
    <row r="288" spans="1:10" x14ac:dyDescent="0.2">
      <c r="A288" s="236" t="s">
        <v>426</v>
      </c>
      <c r="B288" s="222">
        <v>26.7</v>
      </c>
      <c r="C288" s="217">
        <f>B288/100</f>
        <v>0.26700000000000002</v>
      </c>
      <c r="D288" s="222">
        <v>33.799999999999997</v>
      </c>
      <c r="E288" s="223">
        <v>3058</v>
      </c>
      <c r="F288" s="223">
        <v>3058</v>
      </c>
      <c r="G288" s="222">
        <v>224</v>
      </c>
      <c r="H288" s="222">
        <v>224</v>
      </c>
      <c r="I288" s="222">
        <v>9.51</v>
      </c>
      <c r="J288" s="237">
        <v>9.51</v>
      </c>
    </row>
    <row r="289" spans="1:10" x14ac:dyDescent="0.2">
      <c r="A289" s="236" t="s">
        <v>427</v>
      </c>
      <c r="B289" s="222">
        <v>36.799999999999997</v>
      </c>
      <c r="C289" s="217">
        <f t="shared" ref="C289:C302" si="10">B289/100</f>
        <v>0.36799999999999999</v>
      </c>
      <c r="D289" s="222">
        <v>47</v>
      </c>
      <c r="E289" s="223">
        <v>4206</v>
      </c>
      <c r="F289" s="223">
        <v>4206</v>
      </c>
      <c r="G289" s="222">
        <v>308</v>
      </c>
      <c r="H289" s="222">
        <v>308</v>
      </c>
      <c r="I289" s="222">
        <v>9.4600000000000009</v>
      </c>
      <c r="J289" s="237">
        <v>9.4600000000000009</v>
      </c>
    </row>
    <row r="290" spans="1:10" x14ac:dyDescent="0.2">
      <c r="A290" s="236" t="s">
        <v>428</v>
      </c>
      <c r="B290" s="222">
        <v>41.6</v>
      </c>
      <c r="C290" s="217">
        <f t="shared" si="10"/>
        <v>0.41600000000000004</v>
      </c>
      <c r="D290" s="222">
        <v>52.8</v>
      </c>
      <c r="E290" s="223">
        <v>4696</v>
      </c>
      <c r="F290" s="223">
        <v>4696</v>
      </c>
      <c r="G290" s="222">
        <v>344</v>
      </c>
      <c r="H290" s="222">
        <v>344</v>
      </c>
      <c r="I290" s="222">
        <v>9.43</v>
      </c>
      <c r="J290" s="237">
        <v>9.43</v>
      </c>
    </row>
    <row r="291" spans="1:10" x14ac:dyDescent="0.2">
      <c r="A291" s="233" t="s">
        <v>429</v>
      </c>
      <c r="B291" s="217">
        <v>31.8</v>
      </c>
      <c r="C291" s="217">
        <f t="shared" si="10"/>
        <v>0.318</v>
      </c>
      <c r="D291" s="217">
        <v>40.200000000000003</v>
      </c>
      <c r="E291" s="218">
        <v>5144</v>
      </c>
      <c r="F291" s="218">
        <v>5144</v>
      </c>
      <c r="G291" s="217">
        <v>318</v>
      </c>
      <c r="H291" s="217">
        <v>318</v>
      </c>
      <c r="I291" s="217">
        <v>11.3</v>
      </c>
      <c r="J291" s="234">
        <v>11.3</v>
      </c>
    </row>
    <row r="292" spans="1:10" x14ac:dyDescent="0.2">
      <c r="A292" s="233" t="s">
        <v>430</v>
      </c>
      <c r="B292" s="217">
        <v>46.2</v>
      </c>
      <c r="C292" s="217">
        <f t="shared" si="10"/>
        <v>0.46200000000000002</v>
      </c>
      <c r="D292" s="217">
        <v>58.9</v>
      </c>
      <c r="E292" s="218">
        <v>7453</v>
      </c>
      <c r="F292" s="218">
        <v>7453</v>
      </c>
      <c r="G292" s="217">
        <v>460</v>
      </c>
      <c r="H292" s="217">
        <v>460</v>
      </c>
      <c r="I292" s="217">
        <v>11.2</v>
      </c>
      <c r="J292" s="234">
        <v>11.2</v>
      </c>
    </row>
    <row r="293" spans="1:10" x14ac:dyDescent="0.2">
      <c r="A293" s="233" t="s">
        <v>431</v>
      </c>
      <c r="B293" s="217">
        <v>55.6</v>
      </c>
      <c r="C293" s="217">
        <f t="shared" si="10"/>
        <v>0.55600000000000005</v>
      </c>
      <c r="D293" s="217">
        <v>70.7</v>
      </c>
      <c r="E293" s="218">
        <v>8869</v>
      </c>
      <c r="F293" s="218">
        <v>8869</v>
      </c>
      <c r="G293" s="217">
        <v>548</v>
      </c>
      <c r="H293" s="217">
        <v>548</v>
      </c>
      <c r="I293" s="217">
        <v>11.2</v>
      </c>
      <c r="J293" s="234">
        <v>11.2</v>
      </c>
    </row>
    <row r="294" spans="1:10" x14ac:dyDescent="0.2">
      <c r="A294" s="236" t="s">
        <v>432</v>
      </c>
      <c r="B294" s="222">
        <v>43.2</v>
      </c>
      <c r="C294" s="217">
        <f t="shared" si="10"/>
        <v>0.43200000000000005</v>
      </c>
      <c r="D294" s="222">
        <v>55.1</v>
      </c>
      <c r="E294" s="223">
        <v>8464</v>
      </c>
      <c r="F294" s="223">
        <v>8464</v>
      </c>
      <c r="G294" s="222">
        <v>476</v>
      </c>
      <c r="H294" s="222">
        <v>476</v>
      </c>
      <c r="I294" s="222">
        <v>12.4</v>
      </c>
      <c r="J294" s="237">
        <v>12.4</v>
      </c>
    </row>
    <row r="295" spans="1:10" x14ac:dyDescent="0.2">
      <c r="A295" s="236" t="s">
        <v>433</v>
      </c>
      <c r="B295" s="222">
        <v>54.5</v>
      </c>
      <c r="C295" s="217">
        <f t="shared" si="10"/>
        <v>0.54500000000000004</v>
      </c>
      <c r="D295" s="222">
        <v>69.099999999999994</v>
      </c>
      <c r="E295" s="223">
        <v>10547</v>
      </c>
      <c r="F295" s="223">
        <v>10547</v>
      </c>
      <c r="G295" s="222">
        <v>593</v>
      </c>
      <c r="H295" s="222">
        <v>593</v>
      </c>
      <c r="I295" s="222">
        <v>12.4</v>
      </c>
      <c r="J295" s="237">
        <v>12.4</v>
      </c>
    </row>
    <row r="296" spans="1:10" x14ac:dyDescent="0.2">
      <c r="A296" s="236" t="s">
        <v>434</v>
      </c>
      <c r="B296" s="222">
        <v>68.3</v>
      </c>
      <c r="C296" s="217">
        <f t="shared" si="10"/>
        <v>0.68299999999999994</v>
      </c>
      <c r="D296" s="222">
        <v>87.4</v>
      </c>
      <c r="E296" s="223">
        <v>13201</v>
      </c>
      <c r="F296" s="223">
        <v>13201</v>
      </c>
      <c r="G296" s="222">
        <v>742</v>
      </c>
      <c r="H296" s="222">
        <v>742</v>
      </c>
      <c r="I296" s="222">
        <v>12.3</v>
      </c>
      <c r="J296" s="237">
        <v>12.3</v>
      </c>
    </row>
    <row r="297" spans="1:10" x14ac:dyDescent="0.2">
      <c r="A297" s="233" t="s">
        <v>435</v>
      </c>
      <c r="B297" s="217">
        <v>49.5</v>
      </c>
      <c r="C297" s="217">
        <f t="shared" si="10"/>
        <v>0.495</v>
      </c>
      <c r="D297" s="217">
        <v>63.1</v>
      </c>
      <c r="E297" s="218">
        <v>12704</v>
      </c>
      <c r="F297" s="218">
        <v>12704</v>
      </c>
      <c r="G297" s="217">
        <v>625</v>
      </c>
      <c r="H297" s="217">
        <v>625</v>
      </c>
      <c r="I297" s="217">
        <v>14.2</v>
      </c>
      <c r="J297" s="234">
        <v>14.2</v>
      </c>
    </row>
    <row r="298" spans="1:10" x14ac:dyDescent="0.2">
      <c r="A298" s="233" t="s">
        <v>436</v>
      </c>
      <c r="B298" s="217">
        <v>62.4</v>
      </c>
      <c r="C298" s="217">
        <f t="shared" si="10"/>
        <v>0.624</v>
      </c>
      <c r="D298" s="217">
        <v>79.2</v>
      </c>
      <c r="E298" s="218">
        <v>15849</v>
      </c>
      <c r="F298" s="218">
        <v>15849</v>
      </c>
      <c r="G298" s="217">
        <v>780</v>
      </c>
      <c r="H298" s="217">
        <v>780</v>
      </c>
      <c r="I298" s="217">
        <v>14.1</v>
      </c>
      <c r="J298" s="234">
        <v>14.1</v>
      </c>
    </row>
    <row r="299" spans="1:10" x14ac:dyDescent="0.2">
      <c r="A299" s="233" t="s">
        <v>437</v>
      </c>
      <c r="B299" s="217">
        <v>70.099999999999994</v>
      </c>
      <c r="C299" s="217">
        <f t="shared" si="10"/>
        <v>0.70099999999999996</v>
      </c>
      <c r="D299" s="217">
        <v>89.1</v>
      </c>
      <c r="E299" s="218">
        <v>17756</v>
      </c>
      <c r="F299" s="218">
        <v>17756</v>
      </c>
      <c r="G299" s="217">
        <v>874</v>
      </c>
      <c r="H299" s="217">
        <v>874</v>
      </c>
      <c r="I299" s="217">
        <v>14.1</v>
      </c>
      <c r="J299" s="234">
        <v>14.1</v>
      </c>
    </row>
    <row r="300" spans="1:10" x14ac:dyDescent="0.2">
      <c r="A300" s="236" t="s">
        <v>438</v>
      </c>
      <c r="B300" s="222">
        <v>62.1</v>
      </c>
      <c r="C300" s="217">
        <f t="shared" si="10"/>
        <v>0.621</v>
      </c>
      <c r="D300" s="222">
        <v>79.5</v>
      </c>
      <c r="E300" s="223">
        <v>20312</v>
      </c>
      <c r="F300" s="223">
        <v>20312</v>
      </c>
      <c r="G300" s="222">
        <v>889</v>
      </c>
      <c r="H300" s="222">
        <v>889</v>
      </c>
      <c r="I300" s="222">
        <v>16</v>
      </c>
      <c r="J300" s="237">
        <v>16</v>
      </c>
    </row>
    <row r="301" spans="1:10" x14ac:dyDescent="0.2">
      <c r="A301" s="236" t="s">
        <v>439</v>
      </c>
      <c r="B301" s="222">
        <v>70.3</v>
      </c>
      <c r="C301" s="217">
        <f t="shared" si="10"/>
        <v>0.70299999999999996</v>
      </c>
      <c r="D301" s="222">
        <v>89.2</v>
      </c>
      <c r="E301" s="223">
        <v>22684</v>
      </c>
      <c r="F301" s="223">
        <v>22684</v>
      </c>
      <c r="G301" s="222">
        <v>992</v>
      </c>
      <c r="H301" s="222">
        <v>992</v>
      </c>
      <c r="I301" s="222">
        <v>15.9</v>
      </c>
      <c r="J301" s="237">
        <v>15.9</v>
      </c>
    </row>
    <row r="302" spans="1:10" x14ac:dyDescent="0.2">
      <c r="A302" s="239" t="s">
        <v>440</v>
      </c>
      <c r="B302" s="247">
        <v>88.2</v>
      </c>
      <c r="C302" s="248">
        <f t="shared" si="10"/>
        <v>0.88200000000000001</v>
      </c>
      <c r="D302" s="247">
        <v>113</v>
      </c>
      <c r="E302" s="249">
        <v>28484</v>
      </c>
      <c r="F302" s="249">
        <v>28484</v>
      </c>
      <c r="G302" s="249">
        <v>1246</v>
      </c>
      <c r="H302" s="249">
        <v>1246</v>
      </c>
      <c r="I302" s="247">
        <v>15.9</v>
      </c>
      <c r="J302" s="250">
        <v>15.9</v>
      </c>
    </row>
    <row r="303" spans="1:10" x14ac:dyDescent="0.2">
      <c r="A303" s="323"/>
      <c r="B303" s="132"/>
      <c r="C303" s="132"/>
      <c r="D303" s="132"/>
      <c r="E303" s="132"/>
      <c r="F303" s="132"/>
      <c r="G303" s="132"/>
      <c r="H303" s="132"/>
      <c r="I303" s="132"/>
      <c r="J303" s="132"/>
    </row>
  </sheetData>
  <sheetProtection sheet="1" objects="1" scenarios="1" selectLockedCells="1"/>
  <mergeCells count="3">
    <mergeCell ref="E1:F1"/>
    <mergeCell ref="G1:H1"/>
    <mergeCell ref="I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ornaunodaacciaio">
                <anchor moveWithCells="1" sizeWithCells="1">
                  <from>
                    <xdr:col>10</xdr:col>
                    <xdr:colOff>76200</xdr:colOff>
                    <xdr:row>0</xdr:row>
                    <xdr:rowOff>19050</xdr:rowOff>
                  </from>
                  <to>
                    <xdr:col>11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ornaduedaacciaio">
                <anchor moveWithCells="1" sizeWithCells="1">
                  <from>
                    <xdr:col>11</xdr:col>
                    <xdr:colOff>552450</xdr:colOff>
                    <xdr:row>0</xdr:row>
                    <xdr:rowOff>19050</xdr:rowOff>
                  </from>
                  <to>
                    <xdr:col>13</xdr:col>
                    <xdr:colOff>390525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ornaatredaacciaio">
                <anchor moveWithCells="1" sizeWithCells="1">
                  <from>
                    <xdr:col>13</xdr:col>
                    <xdr:colOff>495300</xdr:colOff>
                    <xdr:row>0</xdr:row>
                    <xdr:rowOff>19050</xdr:rowOff>
                  </from>
                  <to>
                    <xdr:col>15</xdr:col>
                    <xdr:colOff>333375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Tornaaquattrodaacciaio">
                <anchor moveWithCells="1" sizeWithCells="1">
                  <from>
                    <xdr:col>15</xdr:col>
                    <xdr:colOff>447675</xdr:colOff>
                    <xdr:row>0</xdr:row>
                    <xdr:rowOff>19050</xdr:rowOff>
                  </from>
                  <to>
                    <xdr:col>17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32"/>
  <dimension ref="A1:W28"/>
  <sheetViews>
    <sheetView topLeftCell="D1" workbookViewId="0">
      <selection activeCell="Q21" sqref="Q21"/>
    </sheetView>
  </sheetViews>
  <sheetFormatPr defaultRowHeight="15" x14ac:dyDescent="0.25"/>
  <sheetData>
    <row r="1" spans="1:23" x14ac:dyDescent="0.25">
      <c r="A1" s="290" t="s">
        <v>469</v>
      </c>
      <c r="B1" s="36"/>
      <c r="C1" s="36"/>
      <c r="D1" s="36"/>
      <c r="E1" s="291"/>
      <c r="G1" s="290" t="s">
        <v>470</v>
      </c>
      <c r="H1" s="36"/>
      <c r="I1" s="36"/>
      <c r="J1" s="36"/>
      <c r="K1" s="291"/>
      <c r="M1" s="290" t="s">
        <v>471</v>
      </c>
      <c r="N1" s="36"/>
      <c r="O1" s="36"/>
      <c r="P1" s="36"/>
      <c r="Q1" s="291"/>
      <c r="S1" s="290" t="s">
        <v>472</v>
      </c>
      <c r="T1" s="36"/>
      <c r="U1" s="36"/>
      <c r="V1" s="36"/>
      <c r="W1" s="291"/>
    </row>
    <row r="2" spans="1:23" x14ac:dyDescent="0.25">
      <c r="A2" s="290"/>
      <c r="B2" s="36"/>
      <c r="C2" s="36"/>
      <c r="D2" s="36"/>
      <c r="E2" s="291"/>
      <c r="G2" s="290"/>
      <c r="H2" s="36"/>
      <c r="I2" s="36"/>
      <c r="J2" s="36"/>
      <c r="K2" s="291"/>
      <c r="M2" s="290"/>
      <c r="N2" s="36"/>
      <c r="O2" s="36"/>
      <c r="P2" s="36"/>
      <c r="Q2" s="291"/>
      <c r="S2" s="290"/>
      <c r="T2" s="36"/>
      <c r="U2" s="36"/>
      <c r="V2" s="36"/>
      <c r="W2" s="291"/>
    </row>
    <row r="3" spans="1:23" x14ac:dyDescent="0.25">
      <c r="A3" s="293" t="s">
        <v>2</v>
      </c>
      <c r="B3" s="30" t="s">
        <v>5</v>
      </c>
      <c r="C3" s="36"/>
      <c r="D3" s="36"/>
      <c r="E3" s="291"/>
      <c r="G3" s="292" t="s">
        <v>2</v>
      </c>
      <c r="H3" s="33" t="s">
        <v>5</v>
      </c>
      <c r="I3" s="36"/>
      <c r="J3" s="36"/>
      <c r="K3" s="291"/>
      <c r="M3" s="292" t="s">
        <v>2</v>
      </c>
      <c r="N3" s="33" t="s">
        <v>5</v>
      </c>
      <c r="O3" s="36"/>
      <c r="P3" s="36"/>
      <c r="Q3" s="291"/>
      <c r="S3" s="292" t="s">
        <v>2</v>
      </c>
      <c r="T3" s="33" t="s">
        <v>5</v>
      </c>
      <c r="U3" s="36"/>
      <c r="V3" s="36"/>
      <c r="W3" s="291"/>
    </row>
    <row r="4" spans="1:23" x14ac:dyDescent="0.25">
      <c r="A4" s="293">
        <v>0</v>
      </c>
      <c r="B4" s="30">
        <v>0</v>
      </c>
      <c r="C4" s="36"/>
      <c r="D4" s="36"/>
      <c r="E4" s="291"/>
      <c r="G4" s="293">
        <v>0</v>
      </c>
      <c r="H4" s="30">
        <v>0</v>
      </c>
      <c r="I4" s="36"/>
      <c r="J4" s="36"/>
      <c r="K4" s="291"/>
      <c r="M4" s="293">
        <v>0</v>
      </c>
      <c r="N4" s="30">
        <v>0</v>
      </c>
      <c r="O4" s="36"/>
      <c r="P4" s="36"/>
      <c r="Q4" s="291"/>
      <c r="S4" s="293">
        <v>0</v>
      </c>
      <c r="T4" s="30">
        <v>0</v>
      </c>
      <c r="U4" s="36"/>
      <c r="V4" s="36"/>
      <c r="W4" s="291"/>
    </row>
    <row r="5" spans="1:23" x14ac:dyDescent="0.25">
      <c r="A5" s="293">
        <v>1</v>
      </c>
      <c r="B5" s="30">
        <v>0</v>
      </c>
      <c r="C5" s="36"/>
      <c r="D5" s="36"/>
      <c r="E5" s="291"/>
      <c r="G5" s="293">
        <v>1</v>
      </c>
      <c r="H5" s="30">
        <v>0</v>
      </c>
      <c r="I5" s="36"/>
      <c r="J5" s="36"/>
      <c r="K5" s="291"/>
      <c r="M5" s="293">
        <v>1</v>
      </c>
      <c r="N5" s="30">
        <v>0</v>
      </c>
      <c r="O5" s="36"/>
      <c r="P5" s="36"/>
      <c r="Q5" s="291"/>
      <c r="S5" s="293">
        <v>1</v>
      </c>
      <c r="T5" s="30">
        <v>0</v>
      </c>
      <c r="U5" s="36"/>
      <c r="V5" s="36"/>
      <c r="W5" s="291"/>
    </row>
    <row r="6" spans="1:23" x14ac:dyDescent="0.25">
      <c r="A6" s="293">
        <v>6</v>
      </c>
      <c r="B6" s="30">
        <v>0</v>
      </c>
      <c r="C6" s="36"/>
      <c r="D6" s="36"/>
      <c r="E6" s="291"/>
      <c r="G6" s="293">
        <v>6</v>
      </c>
      <c r="H6" s="30">
        <v>0</v>
      </c>
      <c r="I6" s="36"/>
      <c r="J6" s="36"/>
      <c r="K6" s="291"/>
      <c r="M6" s="293">
        <v>6</v>
      </c>
      <c r="N6" s="30">
        <v>0</v>
      </c>
      <c r="O6" s="36"/>
      <c r="P6" s="36"/>
      <c r="Q6" s="291"/>
      <c r="S6" s="293">
        <v>6</v>
      </c>
      <c r="T6" s="30">
        <v>0</v>
      </c>
      <c r="U6" s="36"/>
      <c r="V6" s="36"/>
      <c r="W6" s="291"/>
    </row>
    <row r="7" spans="1:23" x14ac:dyDescent="0.25">
      <c r="A7" s="293">
        <v>7</v>
      </c>
      <c r="B7" s="30">
        <v>0</v>
      </c>
      <c r="C7" s="36"/>
      <c r="D7" s="36"/>
      <c r="E7" s="291"/>
      <c r="G7" s="294">
        <v>11</v>
      </c>
      <c r="H7" s="289">
        <v>0</v>
      </c>
      <c r="I7" s="36"/>
      <c r="J7" s="36"/>
      <c r="K7" s="291"/>
      <c r="M7" s="294">
        <v>11</v>
      </c>
      <c r="N7" s="289">
        <v>0</v>
      </c>
      <c r="O7" s="36"/>
      <c r="P7" s="36"/>
      <c r="Q7" s="291"/>
      <c r="S7" s="294">
        <v>11</v>
      </c>
      <c r="T7" s="289">
        <v>0</v>
      </c>
      <c r="U7" s="36"/>
      <c r="V7" s="36"/>
      <c r="W7" s="291"/>
    </row>
    <row r="8" spans="1:23" x14ac:dyDescent="0.25">
      <c r="A8" s="290"/>
      <c r="B8" s="36"/>
      <c r="C8" s="36"/>
      <c r="D8" s="36"/>
      <c r="E8" s="291"/>
      <c r="G8" s="293">
        <v>12</v>
      </c>
      <c r="H8" s="30">
        <v>0</v>
      </c>
      <c r="I8" s="36"/>
      <c r="J8" s="36"/>
      <c r="K8" s="291"/>
      <c r="M8" s="293">
        <v>16</v>
      </c>
      <c r="N8" s="30">
        <v>0</v>
      </c>
      <c r="O8" s="36"/>
      <c r="P8" s="36"/>
      <c r="Q8" s="291"/>
      <c r="S8" s="293">
        <v>16</v>
      </c>
      <c r="T8" s="30">
        <v>0</v>
      </c>
      <c r="U8" s="36"/>
      <c r="V8" s="36"/>
      <c r="W8" s="291"/>
    </row>
    <row r="9" spans="1:23" x14ac:dyDescent="0.25">
      <c r="A9" s="290"/>
      <c r="B9" s="36"/>
      <c r="C9" s="36"/>
      <c r="D9" s="36"/>
      <c r="E9" s="291"/>
      <c r="G9" s="290"/>
      <c r="H9" s="36"/>
      <c r="I9" s="36"/>
      <c r="J9" s="36"/>
      <c r="K9" s="291"/>
      <c r="M9" s="293">
        <v>17</v>
      </c>
      <c r="N9" s="30">
        <v>0</v>
      </c>
      <c r="O9" s="36"/>
      <c r="P9" s="36"/>
      <c r="Q9" s="291"/>
      <c r="S9" s="293">
        <v>21</v>
      </c>
      <c r="T9" s="30">
        <v>0</v>
      </c>
      <c r="U9" s="36"/>
      <c r="V9" s="36"/>
      <c r="W9" s="291"/>
    </row>
    <row r="10" spans="1:23" x14ac:dyDescent="0.25">
      <c r="A10" s="290" t="s">
        <v>47</v>
      </c>
      <c r="B10" s="287">
        <v>0.25</v>
      </c>
      <c r="C10" s="36"/>
      <c r="D10" s="36" t="s">
        <v>48</v>
      </c>
      <c r="E10" s="291">
        <f>B10</f>
        <v>0.25</v>
      </c>
      <c r="G10" s="290"/>
      <c r="H10" s="36"/>
      <c r="I10" s="36"/>
      <c r="J10" s="36"/>
      <c r="K10" s="291"/>
      <c r="M10" s="290"/>
      <c r="N10" s="36"/>
      <c r="O10" s="36"/>
      <c r="P10" s="36"/>
      <c r="Q10" s="291"/>
      <c r="S10" s="293">
        <v>22</v>
      </c>
      <c r="T10" s="30">
        <v>0</v>
      </c>
      <c r="U10" s="36"/>
      <c r="V10" s="36"/>
      <c r="W10" s="291"/>
    </row>
    <row r="11" spans="1:23" x14ac:dyDescent="0.25">
      <c r="A11" s="293">
        <f>A5</f>
        <v>1</v>
      </c>
      <c r="B11" s="30">
        <v>0</v>
      </c>
      <c r="C11" s="36"/>
      <c r="D11" s="30">
        <f>A6</f>
        <v>6</v>
      </c>
      <c r="E11" s="295">
        <v>0</v>
      </c>
      <c r="G11" s="290" t="s">
        <v>47</v>
      </c>
      <c r="H11" s="287">
        <v>0.25</v>
      </c>
      <c r="I11" s="36"/>
      <c r="J11" s="36" t="s">
        <v>48</v>
      </c>
      <c r="K11" s="291">
        <f>H11</f>
        <v>0.25</v>
      </c>
      <c r="M11" s="290" t="s">
        <v>47</v>
      </c>
      <c r="N11" s="287">
        <v>0.25</v>
      </c>
      <c r="O11" s="36"/>
      <c r="P11" s="36" t="s">
        <v>48</v>
      </c>
      <c r="Q11" s="291">
        <f>N11</f>
        <v>0.25</v>
      </c>
      <c r="S11" s="290"/>
      <c r="T11" s="36"/>
      <c r="U11" s="36"/>
      <c r="V11" s="36"/>
      <c r="W11" s="291"/>
    </row>
    <row r="12" spans="1:23" x14ac:dyDescent="0.25">
      <c r="A12" s="293">
        <f>A11-B10</f>
        <v>0.75</v>
      </c>
      <c r="B12" s="30">
        <f>-B10</f>
        <v>-0.25</v>
      </c>
      <c r="C12" s="36"/>
      <c r="D12" s="30">
        <f>D11-E10</f>
        <v>5.75</v>
      </c>
      <c r="E12" s="295">
        <f>-E10</f>
        <v>-0.25</v>
      </c>
      <c r="G12" s="293">
        <f>G5</f>
        <v>1</v>
      </c>
      <c r="H12" s="30">
        <v>0</v>
      </c>
      <c r="I12" s="36"/>
      <c r="J12" s="30">
        <f>G6</f>
        <v>6</v>
      </c>
      <c r="K12" s="295">
        <v>0</v>
      </c>
      <c r="M12" s="293">
        <f>M5</f>
        <v>1</v>
      </c>
      <c r="N12" s="30">
        <v>0</v>
      </c>
      <c r="O12" s="36"/>
      <c r="P12" s="30">
        <f>M6</f>
        <v>6</v>
      </c>
      <c r="Q12" s="295">
        <v>0</v>
      </c>
      <c r="S12" s="290" t="s">
        <v>47</v>
      </c>
      <c r="T12" s="287">
        <v>0.25</v>
      </c>
      <c r="U12" s="36"/>
      <c r="V12" s="36" t="s">
        <v>48</v>
      </c>
      <c r="W12" s="291">
        <f>T12</f>
        <v>0.25</v>
      </c>
    </row>
    <row r="13" spans="1:23" x14ac:dyDescent="0.25">
      <c r="A13" s="293">
        <f>A5+B10</f>
        <v>1.25</v>
      </c>
      <c r="B13" s="30">
        <f>-B10</f>
        <v>-0.25</v>
      </c>
      <c r="C13" s="36"/>
      <c r="D13" s="30">
        <f>D11+E10</f>
        <v>6.25</v>
      </c>
      <c r="E13" s="295">
        <f>-E10</f>
        <v>-0.25</v>
      </c>
      <c r="G13" s="293">
        <f>G12-H11</f>
        <v>0.75</v>
      </c>
      <c r="H13" s="30">
        <f>-H11</f>
        <v>-0.25</v>
      </c>
      <c r="I13" s="36"/>
      <c r="J13" s="30">
        <f>J12-K11</f>
        <v>5.75</v>
      </c>
      <c r="K13" s="295">
        <f>-K11</f>
        <v>-0.25</v>
      </c>
      <c r="M13" s="293">
        <f>M12-N11</f>
        <v>0.75</v>
      </c>
      <c r="N13" s="30">
        <f>-N11</f>
        <v>-0.25</v>
      </c>
      <c r="O13" s="36"/>
      <c r="P13" s="30">
        <f>P12-Q11</f>
        <v>5.75</v>
      </c>
      <c r="Q13" s="295">
        <f>-Q11</f>
        <v>-0.25</v>
      </c>
      <c r="S13" s="293">
        <f>S5</f>
        <v>1</v>
      </c>
      <c r="T13" s="30">
        <v>0</v>
      </c>
      <c r="U13" s="36"/>
      <c r="V13" s="30">
        <f>S6</f>
        <v>6</v>
      </c>
      <c r="W13" s="295">
        <v>0</v>
      </c>
    </row>
    <row r="14" spans="1:23" x14ac:dyDescent="0.25">
      <c r="A14" s="293">
        <f>1</f>
        <v>1</v>
      </c>
      <c r="B14" s="30">
        <v>0</v>
      </c>
      <c r="C14" s="36"/>
      <c r="D14" s="30">
        <f>D11</f>
        <v>6</v>
      </c>
      <c r="E14" s="295">
        <v>0</v>
      </c>
      <c r="G14" s="293">
        <f>G5+H11</f>
        <v>1.25</v>
      </c>
      <c r="H14" s="30">
        <f>-H11</f>
        <v>-0.25</v>
      </c>
      <c r="I14" s="36"/>
      <c r="J14" s="30">
        <f>J12+K11</f>
        <v>6.25</v>
      </c>
      <c r="K14" s="295">
        <f>-K11</f>
        <v>-0.25</v>
      </c>
      <c r="M14" s="293">
        <f>M5+N11</f>
        <v>1.25</v>
      </c>
      <c r="N14" s="30">
        <f>-N11</f>
        <v>-0.25</v>
      </c>
      <c r="O14" s="36"/>
      <c r="P14" s="30">
        <f>P12+Q11</f>
        <v>6.25</v>
      </c>
      <c r="Q14" s="295">
        <f>-Q11</f>
        <v>-0.25</v>
      </c>
      <c r="S14" s="293">
        <f>S13-T12</f>
        <v>0.75</v>
      </c>
      <c r="T14" s="30">
        <f>-T12</f>
        <v>-0.25</v>
      </c>
      <c r="U14" s="36"/>
      <c r="V14" s="30">
        <f>V13-W12</f>
        <v>5.75</v>
      </c>
      <c r="W14" s="295">
        <f>-W12</f>
        <v>-0.25</v>
      </c>
    </row>
    <row r="15" spans="1:23" x14ac:dyDescent="0.25">
      <c r="A15" s="36"/>
      <c r="B15" s="36"/>
      <c r="C15" s="36"/>
      <c r="D15" s="36"/>
      <c r="E15" s="36"/>
      <c r="G15" s="293">
        <f>1</f>
        <v>1</v>
      </c>
      <c r="H15" s="30">
        <v>0</v>
      </c>
      <c r="I15" s="36"/>
      <c r="J15" s="30">
        <f>J12</f>
        <v>6</v>
      </c>
      <c r="K15" s="295">
        <v>0</v>
      </c>
      <c r="M15" s="293">
        <f>1</f>
        <v>1</v>
      </c>
      <c r="N15" s="30">
        <v>0</v>
      </c>
      <c r="O15" s="36"/>
      <c r="P15" s="30">
        <f>P12</f>
        <v>6</v>
      </c>
      <c r="Q15" s="295">
        <v>0</v>
      </c>
      <c r="S15" s="293">
        <f>S5+T12</f>
        <v>1.25</v>
      </c>
      <c r="T15" s="30">
        <f>-T12</f>
        <v>-0.25</v>
      </c>
      <c r="U15" s="36"/>
      <c r="V15" s="30">
        <f>V13+W12</f>
        <v>6.25</v>
      </c>
      <c r="W15" s="295">
        <f>-W12</f>
        <v>-0.25</v>
      </c>
    </row>
    <row r="16" spans="1:23" x14ac:dyDescent="0.25">
      <c r="A16" s="36"/>
      <c r="B16" s="36"/>
      <c r="C16" s="36"/>
      <c r="D16" s="36"/>
      <c r="E16" s="36"/>
      <c r="G16" s="290"/>
      <c r="H16" s="36"/>
      <c r="I16" s="36"/>
      <c r="J16" s="36"/>
      <c r="K16" s="291"/>
      <c r="M16" s="290"/>
      <c r="N16" s="36"/>
      <c r="O16" s="36"/>
      <c r="P16" s="36"/>
      <c r="Q16" s="291"/>
      <c r="S16" s="293">
        <f>1</f>
        <v>1</v>
      </c>
      <c r="T16" s="30">
        <v>0</v>
      </c>
      <c r="U16" s="36"/>
      <c r="V16" s="30">
        <f>V13</f>
        <v>6</v>
      </c>
      <c r="W16" s="295">
        <v>0</v>
      </c>
    </row>
    <row r="17" spans="1:23" x14ac:dyDescent="0.25">
      <c r="A17" s="36"/>
      <c r="B17" s="36"/>
      <c r="C17" s="36"/>
      <c r="D17" s="36"/>
      <c r="E17" s="36"/>
      <c r="G17" s="290" t="s">
        <v>85</v>
      </c>
      <c r="H17" s="36">
        <f>H11</f>
        <v>0.25</v>
      </c>
      <c r="I17" s="36"/>
      <c r="J17" s="36"/>
      <c r="K17" s="291"/>
      <c r="M17" s="290" t="s">
        <v>85</v>
      </c>
      <c r="N17" s="36">
        <f>N11</f>
        <v>0.25</v>
      </c>
      <c r="O17" s="36"/>
      <c r="P17" s="288" t="s">
        <v>105</v>
      </c>
      <c r="Q17" s="291">
        <f>N11</f>
        <v>0.25</v>
      </c>
      <c r="S17" s="290"/>
      <c r="T17" s="36"/>
      <c r="U17" s="36"/>
      <c r="V17" s="36"/>
      <c r="W17" s="291"/>
    </row>
    <row r="18" spans="1:23" x14ac:dyDescent="0.25">
      <c r="G18" s="293">
        <f>G7</f>
        <v>11</v>
      </c>
      <c r="H18" s="30">
        <v>0</v>
      </c>
      <c r="I18" s="36"/>
      <c r="J18" s="36"/>
      <c r="K18" s="291"/>
      <c r="M18" s="293">
        <f>M7</f>
        <v>11</v>
      </c>
      <c r="N18" s="30">
        <v>0</v>
      </c>
      <c r="O18" s="36"/>
      <c r="P18" s="30">
        <f>M8</f>
        <v>16</v>
      </c>
      <c r="Q18" s="295">
        <v>0</v>
      </c>
      <c r="S18" s="290" t="s">
        <v>85</v>
      </c>
      <c r="T18" s="36">
        <f>T12</f>
        <v>0.25</v>
      </c>
      <c r="U18" s="36"/>
      <c r="V18" s="288" t="s">
        <v>105</v>
      </c>
      <c r="W18" s="291">
        <f>T12</f>
        <v>0.25</v>
      </c>
    </row>
    <row r="19" spans="1:23" x14ac:dyDescent="0.25">
      <c r="G19" s="293">
        <f>G18-H17</f>
        <v>10.75</v>
      </c>
      <c r="H19" s="30">
        <f>-H17</f>
        <v>-0.25</v>
      </c>
      <c r="I19" s="36"/>
      <c r="J19" s="36"/>
      <c r="K19" s="291"/>
      <c r="M19" s="293">
        <f>M18-N17</f>
        <v>10.75</v>
      </c>
      <c r="N19" s="30">
        <f>-N17</f>
        <v>-0.25</v>
      </c>
      <c r="O19" s="36"/>
      <c r="P19" s="30">
        <f>P18-Q17</f>
        <v>15.75</v>
      </c>
      <c r="Q19" s="295">
        <f>-Q17</f>
        <v>-0.25</v>
      </c>
      <c r="S19" s="293">
        <f>S7</f>
        <v>11</v>
      </c>
      <c r="T19" s="30">
        <v>0</v>
      </c>
      <c r="U19" s="36"/>
      <c r="V19" s="30">
        <f>S8</f>
        <v>16</v>
      </c>
      <c r="W19" s="295">
        <v>0</v>
      </c>
    </row>
    <row r="20" spans="1:23" x14ac:dyDescent="0.25">
      <c r="G20" s="293">
        <f>G18+H17</f>
        <v>11.25</v>
      </c>
      <c r="H20" s="30">
        <f>-H17</f>
        <v>-0.25</v>
      </c>
      <c r="I20" s="36"/>
      <c r="J20" s="36"/>
      <c r="K20" s="291"/>
      <c r="M20" s="293">
        <f>M18+N17</f>
        <v>11.25</v>
      </c>
      <c r="N20" s="30">
        <f>-N17</f>
        <v>-0.25</v>
      </c>
      <c r="O20" s="36"/>
      <c r="P20" s="30">
        <f>P18+Q17</f>
        <v>16.25</v>
      </c>
      <c r="Q20" s="295">
        <f>-Q17</f>
        <v>-0.25</v>
      </c>
      <c r="S20" s="293">
        <f>S19-T18</f>
        <v>10.75</v>
      </c>
      <c r="T20" s="30">
        <f>-T18</f>
        <v>-0.25</v>
      </c>
      <c r="U20" s="36"/>
      <c r="V20" s="30">
        <f>V19-W18</f>
        <v>15.75</v>
      </c>
      <c r="W20" s="295">
        <f>-W18</f>
        <v>-0.25</v>
      </c>
    </row>
    <row r="21" spans="1:23" x14ac:dyDescent="0.25">
      <c r="G21" s="293">
        <f>G18</f>
        <v>11</v>
      </c>
      <c r="H21" s="30">
        <v>0</v>
      </c>
      <c r="I21" s="36"/>
      <c r="J21" s="36"/>
      <c r="K21" s="291"/>
      <c r="M21" s="293">
        <f>M18</f>
        <v>11</v>
      </c>
      <c r="N21" s="30">
        <v>0</v>
      </c>
      <c r="O21" s="36"/>
      <c r="P21" s="30">
        <f>P18</f>
        <v>16</v>
      </c>
      <c r="Q21" s="295">
        <v>0</v>
      </c>
      <c r="S21" s="293">
        <f>S19+T18</f>
        <v>11.25</v>
      </c>
      <c r="T21" s="30">
        <f>-T18</f>
        <v>-0.25</v>
      </c>
      <c r="U21" s="36"/>
      <c r="V21" s="30">
        <f>V19+W18</f>
        <v>16.25</v>
      </c>
      <c r="W21" s="295">
        <f>-W18</f>
        <v>-0.25</v>
      </c>
    </row>
    <row r="22" spans="1:23" x14ac:dyDescent="0.25">
      <c r="S22" s="293">
        <f>S19</f>
        <v>11</v>
      </c>
      <c r="T22" s="30">
        <v>0</v>
      </c>
      <c r="U22" s="36"/>
      <c r="V22" s="30">
        <f>V19</f>
        <v>16</v>
      </c>
      <c r="W22" s="295">
        <v>0</v>
      </c>
    </row>
    <row r="23" spans="1:23" x14ac:dyDescent="0.25">
      <c r="S23" s="290"/>
      <c r="T23" s="36"/>
      <c r="U23" s="36"/>
      <c r="V23" s="36"/>
      <c r="W23" s="291"/>
    </row>
    <row r="24" spans="1:23" x14ac:dyDescent="0.25">
      <c r="S24" s="290" t="s">
        <v>122</v>
      </c>
      <c r="T24" s="36">
        <f>T12</f>
        <v>0.25</v>
      </c>
      <c r="U24" s="36"/>
      <c r="V24" s="36"/>
      <c r="W24" s="291"/>
    </row>
    <row r="25" spans="1:23" x14ac:dyDescent="0.25">
      <c r="S25" s="293">
        <f>S9</f>
        <v>21</v>
      </c>
      <c r="T25" s="30">
        <v>0</v>
      </c>
      <c r="U25" s="36"/>
      <c r="V25" s="36"/>
      <c r="W25" s="291"/>
    </row>
    <row r="26" spans="1:23" x14ac:dyDescent="0.25">
      <c r="S26" s="293">
        <f>S25-T24</f>
        <v>20.75</v>
      </c>
      <c r="T26" s="30">
        <f>-T24</f>
        <v>-0.25</v>
      </c>
      <c r="U26" s="36"/>
      <c r="V26" s="36"/>
      <c r="W26" s="291"/>
    </row>
    <row r="27" spans="1:23" x14ac:dyDescent="0.25">
      <c r="S27" s="293">
        <f>S25+T24</f>
        <v>21.25</v>
      </c>
      <c r="T27" s="30">
        <f>-T24</f>
        <v>-0.25</v>
      </c>
      <c r="U27" s="36"/>
      <c r="V27" s="36"/>
      <c r="W27" s="291"/>
    </row>
    <row r="28" spans="1:23" x14ac:dyDescent="0.25">
      <c r="S28" s="293">
        <f>S25</f>
        <v>21</v>
      </c>
      <c r="T28" s="30">
        <v>0</v>
      </c>
      <c r="U28" s="36"/>
      <c r="V28" s="36"/>
      <c r="W28" s="29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33</vt:i4>
      </vt:variant>
      <vt:variant>
        <vt:lpstr>Intervalli denominati</vt:lpstr>
      </vt:variant>
      <vt:variant>
        <vt:i4>50</vt:i4>
      </vt:variant>
    </vt:vector>
  </HeadingPairs>
  <TitlesOfParts>
    <vt:vector size="83" baseType="lpstr">
      <vt:lpstr>Menu</vt:lpstr>
      <vt:lpstr>C-Trave</vt:lpstr>
      <vt:lpstr>C-car.1</vt:lpstr>
      <vt:lpstr>C-car.2</vt:lpstr>
      <vt:lpstr>C-car.3</vt:lpstr>
      <vt:lpstr>C-car.4</vt:lpstr>
      <vt:lpstr>C-car.5</vt:lpstr>
      <vt:lpstr>C-Vincoli trave</vt:lpstr>
      <vt:lpstr>CC-Trave</vt:lpstr>
      <vt:lpstr>CCC-Trave</vt:lpstr>
      <vt:lpstr>CCCC-Trave</vt:lpstr>
      <vt:lpstr>Foglio1</vt:lpstr>
      <vt:lpstr>CCCC-car.1</vt:lpstr>
      <vt:lpstr>CCCC-car.2</vt:lpstr>
      <vt:lpstr>CCCC-car.3</vt:lpstr>
      <vt:lpstr>CCCC-car.4</vt:lpstr>
      <vt:lpstr>CCCC-car.5</vt:lpstr>
      <vt:lpstr>CCCC-Vincoli trave</vt:lpstr>
      <vt:lpstr>CCC-car.1</vt:lpstr>
      <vt:lpstr>CCC-car.2</vt:lpstr>
      <vt:lpstr>CCC-car.3</vt:lpstr>
      <vt:lpstr>CCC-car.4</vt:lpstr>
      <vt:lpstr>CCC-car.5</vt:lpstr>
      <vt:lpstr>CCC-Vincoli trave</vt:lpstr>
      <vt:lpstr>CC-car.1</vt:lpstr>
      <vt:lpstr>CC-car.2</vt:lpstr>
      <vt:lpstr>CC-car.3</vt:lpstr>
      <vt:lpstr>CC-car.4</vt:lpstr>
      <vt:lpstr>CC-car.5</vt:lpstr>
      <vt:lpstr>CC-Vincoli trave</vt:lpstr>
      <vt:lpstr>Sezioni ca</vt:lpstr>
      <vt:lpstr>Sezioni acciaio</vt:lpstr>
      <vt:lpstr>Coordinate travi Menu</vt:lpstr>
      <vt:lpstr>acciaio</vt:lpstr>
      <vt:lpstr>'CCC-Trave'!assente</vt:lpstr>
      <vt:lpstr>'CC-Trave'!assente</vt:lpstr>
      <vt:lpstr>'C-Trave'!assente</vt:lpstr>
      <vt:lpstr>assente</vt:lpstr>
      <vt:lpstr>ca</vt:lpstr>
      <vt:lpstr>matacciaio</vt:lpstr>
      <vt:lpstr>'CCCC-car.1'!matC</vt:lpstr>
      <vt:lpstr>'CCCC-car.2'!matC</vt:lpstr>
      <vt:lpstr>'CCCC-car.3'!matC</vt:lpstr>
      <vt:lpstr>'CCCC-car.4'!matC</vt:lpstr>
      <vt:lpstr>'CCCC-car.5'!matC</vt:lpstr>
      <vt:lpstr>matC</vt:lpstr>
      <vt:lpstr>matca</vt:lpstr>
      <vt:lpstr>matca1</vt:lpstr>
      <vt:lpstr>matCiinv</vt:lpstr>
      <vt:lpstr>'CCC-car.2'!matCinv</vt:lpstr>
      <vt:lpstr>'CCC-car.3'!matCinv</vt:lpstr>
      <vt:lpstr>'CCC-car.4'!matCinv</vt:lpstr>
      <vt:lpstr>'CCC-car.5'!matCinv</vt:lpstr>
      <vt:lpstr>'CCCC-car.1'!matCinv</vt:lpstr>
      <vt:lpstr>'CCCC-car.2'!matCinv</vt:lpstr>
      <vt:lpstr>'CCCC-car.3'!matCinv</vt:lpstr>
      <vt:lpstr>'CCCC-car.4'!matCinv</vt:lpstr>
      <vt:lpstr>'CCCC-car.5'!matCinv</vt:lpstr>
      <vt:lpstr>matCinv</vt:lpstr>
      <vt:lpstr>'CCCC-car.1'!matM</vt:lpstr>
      <vt:lpstr>'CCCC-car.2'!matM</vt:lpstr>
      <vt:lpstr>'CCCC-car.3'!matM</vt:lpstr>
      <vt:lpstr>'CCCC-car.4'!matM</vt:lpstr>
      <vt:lpstr>'CCCC-car.5'!matM</vt:lpstr>
      <vt:lpstr>matM</vt:lpstr>
      <vt:lpstr>'CCC-car.2'!matN</vt:lpstr>
      <vt:lpstr>'CCC-car.3'!matN</vt:lpstr>
      <vt:lpstr>'CCC-car.4'!matN</vt:lpstr>
      <vt:lpstr>'CCC-car.5'!matN</vt:lpstr>
      <vt:lpstr>'CCCC-car.1'!matN</vt:lpstr>
      <vt:lpstr>'CCCC-car.2'!matN</vt:lpstr>
      <vt:lpstr>'CCCC-car.3'!matN</vt:lpstr>
      <vt:lpstr>'CCCC-car.4'!matN</vt:lpstr>
      <vt:lpstr>'CCCC-car.5'!matN</vt:lpstr>
      <vt:lpstr>matN</vt:lpstr>
      <vt:lpstr>'CCC-Trave'!No</vt:lpstr>
      <vt:lpstr>'CC-Trave'!No</vt:lpstr>
      <vt:lpstr>'C-Trave'!No</vt:lpstr>
      <vt:lpstr>NO</vt:lpstr>
      <vt:lpstr>'CCC-Trave'!presente</vt:lpstr>
      <vt:lpstr>'CC-Trave'!presente</vt:lpstr>
      <vt:lpstr>'C-Trave'!presente</vt:lpstr>
      <vt:lpstr>presente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</dc:creator>
  <cp:lastModifiedBy>domenico gaudioso</cp:lastModifiedBy>
  <cp:lastPrinted>2019-11-01T15:39:04Z</cp:lastPrinted>
  <dcterms:created xsi:type="dcterms:W3CDTF">2013-07-19T13:40:26Z</dcterms:created>
  <dcterms:modified xsi:type="dcterms:W3CDTF">2019-11-01T16:03:39Z</dcterms:modified>
</cp:coreProperties>
</file>