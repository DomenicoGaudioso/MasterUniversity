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ISMICA\"/>
    </mc:Choice>
  </mc:AlternateContent>
  <xr:revisionPtr revIDLastSave="0" documentId="13_ncr:1_{2174E03F-13B6-453D-9A0E-445AD7882A2A}" xr6:coauthVersionLast="44" xr6:coauthVersionMax="44" xr10:uidLastSave="{00000000-0000-0000-0000-000000000000}"/>
  <bookViews>
    <workbookView xWindow="-120" yWindow="-120" windowWidth="20730" windowHeight="11160" xr2:uid="{A04D6045-8CAB-4DC8-A965-01AA54124B8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1" l="1"/>
  <c r="D13" i="1"/>
  <c r="D14" i="1"/>
  <c r="D12" i="1"/>
  <c r="D6" i="1"/>
  <c r="D7" i="1"/>
  <c r="D5" i="1"/>
  <c r="G7" i="1"/>
  <c r="D4" i="1"/>
  <c r="C4" i="1"/>
  <c r="G12" i="1"/>
  <c r="G13" i="1"/>
  <c r="G14" i="1"/>
  <c r="F5" i="1"/>
  <c r="F6" i="1"/>
  <c r="F7" i="1"/>
  <c r="F12" i="1"/>
  <c r="F13" i="1"/>
  <c r="F14" i="1"/>
  <c r="D11" i="1"/>
  <c r="G6" i="1"/>
  <c r="C6" i="1"/>
  <c r="F11" i="1"/>
  <c r="G5" i="1" l="1"/>
  <c r="G11" i="1"/>
  <c r="G4" i="1"/>
</calcChain>
</file>

<file path=xl/sharedStrings.xml><?xml version="1.0" encoding="utf-8"?>
<sst xmlns="http://schemas.openxmlformats.org/spreadsheetml/2006/main" count="34" uniqueCount="11">
  <si>
    <t>q</t>
  </si>
  <si>
    <t>da</t>
  </si>
  <si>
    <t>≤</t>
  </si>
  <si>
    <t>0.005h</t>
  </si>
  <si>
    <t xml:space="preserve">dr </t>
  </si>
  <si>
    <t>-</t>
  </si>
  <si>
    <t>mm</t>
  </si>
  <si>
    <t>VERIFICA</t>
  </si>
  <si>
    <t>N.P.</t>
  </si>
  <si>
    <t>DIREZIONE X</t>
  </si>
  <si>
    <t>DIREZIONE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</si>
</sst>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</cellXfs>
  <cellStyles count="1">
    <cellStyle name="Normale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971A4-6CBC-4994-BA83-9E651B607095}">
  <dimension ref="A1:H14"/>
  <sheetViews>
    <sheetView tabSelected="1" workbookViewId="0">
      <selection activeCell="J9" sqref="J9"/>
    </sheetView>
  </sheetViews>
  <sheetFormatPr defaultRowHeight="15" x14ac:dyDescent="0.25"/>
  <cols>
    <col min="1" max="3" width="9.140625" style="1"/>
    <col min="4" max="4" width="11.140625" style="1" customWidth="1"/>
    <col min="5" max="5" width="3.7109375" style="1" customWidth="1"/>
    <col min="6" max="8" width="9.140625" style="1"/>
  </cols>
  <sheetData>
    <row r="1" spans="1:7" ht="18.75" x14ac:dyDescent="0.3">
      <c r="A1" s="3" t="s">
        <v>9</v>
      </c>
      <c r="B1" s="3"/>
      <c r="C1" s="3"/>
      <c r="D1" s="3"/>
      <c r="E1" s="3"/>
      <c r="F1" s="3"/>
      <c r="G1" s="3"/>
    </row>
    <row r="2" spans="1:7" x14ac:dyDescent="0.25">
      <c r="A2" s="7" t="s">
        <v>8</v>
      </c>
      <c r="B2" s="7" t="s">
        <v>0</v>
      </c>
      <c r="C2" s="7" t="s">
        <v>1</v>
      </c>
      <c r="D2" s="7" t="s">
        <v>4</v>
      </c>
      <c r="E2" s="4"/>
      <c r="F2" s="7" t="s">
        <v>3</v>
      </c>
      <c r="G2" s="7" t="s">
        <v>7</v>
      </c>
    </row>
    <row r="3" spans="1:7" x14ac:dyDescent="0.25">
      <c r="A3" s="2" t="s">
        <v>5</v>
      </c>
      <c r="B3" s="2" t="s">
        <v>5</v>
      </c>
      <c r="C3" s="2" t="s">
        <v>6</v>
      </c>
      <c r="D3" s="2" t="s">
        <v>6</v>
      </c>
      <c r="E3" s="5"/>
      <c r="F3" s="2" t="s">
        <v>6</v>
      </c>
      <c r="G3" s="2" t="s">
        <v>5</v>
      </c>
    </row>
    <row r="4" spans="1:7" x14ac:dyDescent="0.25">
      <c r="A4" s="2">
        <v>1</v>
      </c>
      <c r="B4" s="2">
        <v>1.5</v>
      </c>
      <c r="C4" s="9">
        <f>2.445</f>
        <v>2.4449999999999998</v>
      </c>
      <c r="D4" s="9">
        <f>C4*B4</f>
        <v>3.6674999999999995</v>
      </c>
      <c r="E4" s="6" t="s">
        <v>2</v>
      </c>
      <c r="F4" s="2">
        <f>0.005*3000</f>
        <v>15</v>
      </c>
      <c r="G4" s="2" t="str">
        <f>IF(F4&gt;D4,"SI","NO")</f>
        <v>SI</v>
      </c>
    </row>
    <row r="5" spans="1:7" x14ac:dyDescent="0.25">
      <c r="A5" s="2">
        <v>2</v>
      </c>
      <c r="B5" s="2">
        <v>1.5</v>
      </c>
      <c r="C5" s="9">
        <v>6.2651000000000003</v>
      </c>
      <c r="D5" s="9">
        <f>(C5-C4)*B5</f>
        <v>5.730150000000001</v>
      </c>
      <c r="E5" s="6" t="s">
        <v>2</v>
      </c>
      <c r="F5" s="2">
        <f t="shared" ref="F5:F7" si="0">0.005*3000</f>
        <v>15</v>
      </c>
      <c r="G5" s="2" t="str">
        <f t="shared" ref="G5:G7" si="1">IF(F5&gt;D5,"SI","NO")</f>
        <v>SI</v>
      </c>
    </row>
    <row r="6" spans="1:7" x14ac:dyDescent="0.25">
      <c r="A6" s="2">
        <v>3</v>
      </c>
      <c r="B6" s="2">
        <v>1.5</v>
      </c>
      <c r="C6" s="9">
        <f>9.62</f>
        <v>9.6199999999999992</v>
      </c>
      <c r="D6" s="9">
        <f t="shared" ref="D6:D7" si="2">(C6-C5)*B6</f>
        <v>5.0323499999999983</v>
      </c>
      <c r="E6" s="6" t="s">
        <v>2</v>
      </c>
      <c r="F6" s="2">
        <f t="shared" si="0"/>
        <v>15</v>
      </c>
      <c r="G6" s="2" t="str">
        <f t="shared" si="1"/>
        <v>SI</v>
      </c>
    </row>
    <row r="7" spans="1:7" x14ac:dyDescent="0.25">
      <c r="A7" s="8">
        <v>4</v>
      </c>
      <c r="B7" s="2">
        <v>1.5</v>
      </c>
      <c r="C7" s="10">
        <v>11.663500000000001</v>
      </c>
      <c r="D7" s="9">
        <f t="shared" si="2"/>
        <v>3.0652500000000025</v>
      </c>
      <c r="E7" s="6" t="s">
        <v>2</v>
      </c>
      <c r="F7" s="2">
        <f t="shared" si="0"/>
        <v>15</v>
      </c>
      <c r="G7" s="2" t="str">
        <f t="shared" si="1"/>
        <v>SI</v>
      </c>
    </row>
    <row r="8" spans="1:7" ht="18.75" x14ac:dyDescent="0.3">
      <c r="A8" s="3" t="s">
        <v>10</v>
      </c>
      <c r="B8" s="3"/>
      <c r="C8" s="3"/>
      <c r="D8" s="3"/>
      <c r="E8" s="3"/>
      <c r="F8" s="3"/>
      <c r="G8" s="3"/>
    </row>
    <row r="9" spans="1:7" x14ac:dyDescent="0.25">
      <c r="A9" s="7" t="s">
        <v>8</v>
      </c>
      <c r="B9" s="7" t="s">
        <v>0</v>
      </c>
      <c r="C9" s="7" t="s">
        <v>1</v>
      </c>
      <c r="D9" s="7" t="s">
        <v>4</v>
      </c>
      <c r="E9" s="4"/>
      <c r="F9" s="7" t="s">
        <v>3</v>
      </c>
      <c r="G9" s="7" t="s">
        <v>7</v>
      </c>
    </row>
    <row r="10" spans="1:7" x14ac:dyDescent="0.25">
      <c r="A10" s="2" t="s">
        <v>5</v>
      </c>
      <c r="B10" s="2" t="s">
        <v>5</v>
      </c>
      <c r="C10" s="2" t="s">
        <v>6</v>
      </c>
      <c r="D10" s="2" t="s">
        <v>6</v>
      </c>
      <c r="E10" s="5"/>
      <c r="F10" s="2" t="s">
        <v>6</v>
      </c>
      <c r="G10" s="2" t="s">
        <v>5</v>
      </c>
    </row>
    <row r="11" spans="1:7" x14ac:dyDescent="0.25">
      <c r="A11" s="2">
        <v>1</v>
      </c>
      <c r="B11" s="2">
        <v>1.5</v>
      </c>
      <c r="C11" s="9">
        <v>2.2847499999999998</v>
      </c>
      <c r="D11" s="9">
        <f>C11</f>
        <v>2.2847499999999998</v>
      </c>
      <c r="E11" s="6" t="s">
        <v>2</v>
      </c>
      <c r="F11" s="2">
        <f>0.005*3000</f>
        <v>15</v>
      </c>
      <c r="G11" s="2" t="str">
        <f>IF(F11&gt;D11,"SI","NO")</f>
        <v>SI</v>
      </c>
    </row>
    <row r="12" spans="1:7" x14ac:dyDescent="0.25">
      <c r="A12" s="2">
        <v>2</v>
      </c>
      <c r="B12" s="2">
        <v>1.5</v>
      </c>
      <c r="C12" s="9">
        <v>5.5580999999999996</v>
      </c>
      <c r="D12" s="9">
        <f>(C12-C11)*B12</f>
        <v>4.9100249999999992</v>
      </c>
      <c r="E12" s="6" t="s">
        <v>2</v>
      </c>
      <c r="F12" s="2">
        <f t="shared" ref="F12:F14" si="3">0.005*3000</f>
        <v>15</v>
      </c>
      <c r="G12" s="2" t="str">
        <f t="shared" ref="G12:G14" si="4">IF(F12&gt;D12,"SI","NO")</f>
        <v>SI</v>
      </c>
    </row>
    <row r="13" spans="1:7" x14ac:dyDescent="0.25">
      <c r="A13" s="2">
        <v>3</v>
      </c>
      <c r="B13" s="2">
        <v>1.5</v>
      </c>
      <c r="C13" s="9">
        <v>8.3483000000000001</v>
      </c>
      <c r="D13" s="9">
        <f t="shared" ref="D13:D14" si="5">(C13-C12)*B13</f>
        <v>4.1853000000000007</v>
      </c>
      <c r="E13" s="6" t="s">
        <v>2</v>
      </c>
      <c r="F13" s="2">
        <f t="shared" si="3"/>
        <v>15</v>
      </c>
      <c r="G13" s="2" t="str">
        <f t="shared" si="4"/>
        <v>SI</v>
      </c>
    </row>
    <row r="14" spans="1:7" x14ac:dyDescent="0.25">
      <c r="A14" s="2">
        <v>4</v>
      </c>
      <c r="B14" s="2">
        <v>1.5</v>
      </c>
      <c r="C14" s="9">
        <v>9.9766999999999992</v>
      </c>
      <c r="D14" s="9">
        <f t="shared" si="5"/>
        <v>2.4425999999999988</v>
      </c>
      <c r="E14" s="6" t="s">
        <v>2</v>
      </c>
      <c r="F14" s="2">
        <f t="shared" si="3"/>
        <v>15</v>
      </c>
      <c r="G14" s="2" t="str">
        <f t="shared" si="4"/>
        <v>SI</v>
      </c>
    </row>
  </sheetData>
  <mergeCells count="2">
    <mergeCell ref="A1:G1"/>
    <mergeCell ref="A8:G8"/>
  </mergeCells>
  <conditionalFormatting sqref="G4:G7">
    <cfRule type="containsText" dxfId="4" priority="3" operator="containsText" text="SI">
      <formula>NOT(ISERROR(SEARCH("SI",G4)))</formula>
    </cfRule>
  </conditionalFormatting>
  <conditionalFormatting sqref="A2:G14">
    <cfRule type="containsText" dxfId="0" priority="2" operator="containsText" text="SI">
      <formula>NOT(ISERROR(SEARCH("SI",A2)))</formula>
    </cfRule>
    <cfRule type="containsText" dxfId="1" priority="1" operator="containsText" text="NO">
      <formula>NOT(ISERROR(SEARCH("NO",A2)))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dcterms:created xsi:type="dcterms:W3CDTF">2019-11-10T14:02:03Z</dcterms:created>
  <dcterms:modified xsi:type="dcterms:W3CDTF">2019-11-10T14:15:49Z</dcterms:modified>
</cp:coreProperties>
</file>