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8A834827-D23D-41C2-B0FC-DDCA382AFA54}" xr6:coauthVersionLast="44" xr6:coauthVersionMax="44" xr10:uidLastSave="{00000000-0000-0000-0000-000000000000}"/>
  <bookViews>
    <workbookView xWindow="-120" yWindow="-120" windowWidth="20730" windowHeight="11160" xr2:uid="{FD8D467E-5DCE-4560-B44E-5B03ABD213C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" i="1" l="1"/>
  <c r="I19" i="1"/>
  <c r="J19" i="1" s="1"/>
  <c r="I18" i="1"/>
  <c r="J18" i="1" s="1"/>
  <c r="I15" i="1"/>
  <c r="J15" i="1" s="1"/>
  <c r="I13" i="1"/>
  <c r="J13" i="1" s="1"/>
  <c r="I12" i="1"/>
  <c r="J12" i="1" s="1"/>
  <c r="F14" i="1"/>
  <c r="F15" i="1"/>
  <c r="F16" i="1"/>
  <c r="F17" i="1"/>
  <c r="F18" i="1"/>
  <c r="F19" i="1"/>
  <c r="F20" i="1"/>
  <c r="F13" i="1"/>
  <c r="F12" i="1"/>
  <c r="F11" i="1"/>
  <c r="H16" i="1"/>
  <c r="H17" i="1"/>
  <c r="H18" i="1"/>
  <c r="H19" i="1"/>
  <c r="H20" i="1"/>
  <c r="H14" i="1"/>
  <c r="H15" i="1"/>
  <c r="H13" i="1"/>
  <c r="H12" i="1"/>
  <c r="H11" i="1"/>
  <c r="B2" i="1"/>
  <c r="B3" i="1"/>
  <c r="B6" i="1"/>
  <c r="B5" i="1"/>
  <c r="C20" i="1"/>
  <c r="C19" i="1"/>
  <c r="C18" i="1"/>
  <c r="C17" i="1"/>
  <c r="C16" i="1"/>
  <c r="C15" i="1"/>
  <c r="C14" i="1"/>
  <c r="C13" i="1"/>
  <c r="C12" i="1"/>
  <c r="C11" i="1"/>
  <c r="E12" i="1"/>
  <c r="E13" i="1"/>
  <c r="E15" i="1"/>
  <c r="E18" i="1"/>
  <c r="E19" i="1"/>
</calcChain>
</file>

<file path=xl/sharedStrings.xml><?xml version="1.0" encoding="utf-8"?>
<sst xmlns="http://schemas.openxmlformats.org/spreadsheetml/2006/main" count="28" uniqueCount="18">
  <si>
    <t>l/h</t>
  </si>
  <si>
    <t>As,sup</t>
  </si>
  <si>
    <t>As,inf</t>
  </si>
  <si>
    <t>SEZIONE A-A</t>
  </si>
  <si>
    <t>SEZIONE B-B'</t>
  </si>
  <si>
    <t>SEZ 1</t>
  </si>
  <si>
    <t>SEZ 2</t>
  </si>
  <si>
    <t>SEZ 3</t>
  </si>
  <si>
    <t>SEZ 4</t>
  </si>
  <si>
    <t>SEZ 5</t>
  </si>
  <si>
    <t>As,eff [mm2]</t>
  </si>
  <si>
    <t>Med [KNm]</t>
  </si>
  <si>
    <t>As,calc [mm2]</t>
  </si>
  <si>
    <t>ρ [-]</t>
  </si>
  <si>
    <t>sup</t>
  </si>
  <si>
    <t>inf</t>
  </si>
  <si>
    <r>
      <t>(l/h)</t>
    </r>
    <r>
      <rPr>
        <vertAlign val="subscript"/>
        <sz val="11"/>
        <color theme="1"/>
        <rFont val="Calibri"/>
        <family val="2"/>
        <scheme val="minor"/>
      </rPr>
      <t>MAX</t>
    </r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</si>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</sst>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</cellXfs>
  <cellStyles count="1">
    <cellStyle name="Normale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44C2-F11C-4892-8089-9A8BFE3DF617}">
  <dimension ref="A1:M141"/>
  <sheetViews>
    <sheetView tabSelected="1" workbookViewId="0">
      <selection activeCell="M10" sqref="M10"/>
    </sheetView>
  </sheetViews>
  <sheetFormatPr defaultRowHeight="15" x14ac:dyDescent="0.25"/>
  <cols>
    <col min="2" max="2" width="10.140625" customWidth="1"/>
    <col min="3" max="3" width="13.85546875" customWidth="1"/>
    <col min="4" max="4" width="12.28515625" customWidth="1"/>
    <col min="5" max="5" width="16.7109375" customWidth="1"/>
    <col min="6" max="6" width="10" customWidth="1"/>
    <col min="7" max="7" width="10.28515625" customWidth="1"/>
    <col min="8" max="8" width="9.85546875" customWidth="1"/>
    <col min="9" max="9" width="10" customWidth="1"/>
    <col min="10" max="10" width="9.7109375" customWidth="1"/>
  </cols>
  <sheetData>
    <row r="1" spans="1:13" x14ac:dyDescent="0.25">
      <c r="A1" s="4" t="s">
        <v>3</v>
      </c>
      <c r="B1" s="4"/>
    </row>
    <row r="2" spans="1:13" x14ac:dyDescent="0.25">
      <c r="A2" t="s">
        <v>1</v>
      </c>
      <c r="B2" s="2">
        <f>2*PI()*12^2/4</f>
        <v>226.1946710584651</v>
      </c>
    </row>
    <row r="3" spans="1:13" x14ac:dyDescent="0.25">
      <c r="A3" t="s">
        <v>2</v>
      </c>
      <c r="B3" s="2">
        <f>2*PI()*6^2/4+PI()*12^2/4</f>
        <v>169.64600329384882</v>
      </c>
    </row>
    <row r="4" spans="1:13" x14ac:dyDescent="0.25">
      <c r="A4" s="4" t="s">
        <v>4</v>
      </c>
      <c r="B4" s="4"/>
    </row>
    <row r="5" spans="1:13" x14ac:dyDescent="0.25">
      <c r="A5" t="s">
        <v>1</v>
      </c>
      <c r="B5" s="2">
        <f>3*PI()*12^2/4</f>
        <v>339.29200658769764</v>
      </c>
    </row>
    <row r="6" spans="1:13" x14ac:dyDescent="0.25">
      <c r="A6" t="s">
        <v>2</v>
      </c>
      <c r="B6" s="2">
        <f>2*PI()*6^2/4+2*PI()*12^2/4</f>
        <v>282.74333882308139</v>
      </c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</row>
    <row r="10" spans="1:13" ht="18" x14ac:dyDescent="0.35">
      <c r="A10" s="3"/>
      <c r="B10" s="3"/>
      <c r="C10" s="7" t="s">
        <v>10</v>
      </c>
      <c r="D10" s="7" t="s">
        <v>11</v>
      </c>
      <c r="E10" s="7" t="s">
        <v>12</v>
      </c>
      <c r="F10" s="8" t="s">
        <v>13</v>
      </c>
      <c r="G10" s="8" t="s">
        <v>17</v>
      </c>
      <c r="H10" s="7" t="s">
        <v>0</v>
      </c>
      <c r="I10" s="7" t="s">
        <v>16</v>
      </c>
      <c r="M10">
        <f>0.3*0.6^3/12</f>
        <v>5.3999999999999994E-3</v>
      </c>
    </row>
    <row r="11" spans="1:13" x14ac:dyDescent="0.25">
      <c r="A11" s="9" t="s">
        <v>5</v>
      </c>
      <c r="B11" s="7" t="s">
        <v>14</v>
      </c>
      <c r="C11" s="6">
        <f>2*PI()*12^2/4</f>
        <v>226.1946710584651</v>
      </c>
      <c r="D11" s="5"/>
      <c r="E11" s="5"/>
      <c r="F11" s="10">
        <f>C11/(120*180+40*180)</f>
        <v>7.8539816339744835E-3</v>
      </c>
      <c r="G11" s="5">
        <v>1.3</v>
      </c>
      <c r="H11" s="1">
        <f>4000/200</f>
        <v>20</v>
      </c>
      <c r="I11" s="5"/>
    </row>
    <row r="12" spans="1:13" x14ac:dyDescent="0.25">
      <c r="A12" s="9"/>
      <c r="B12" s="7" t="s">
        <v>15</v>
      </c>
      <c r="C12" s="6">
        <f>2*PI()*6^2/4+PI()*12^2/4</f>
        <v>169.64600329384882</v>
      </c>
      <c r="D12" s="5">
        <v>6.48</v>
      </c>
      <c r="E12" s="6">
        <f t="shared" ref="E12:E20" si="0">D12*1000^2/(0.9*391*180)</f>
        <v>102.30179028132991</v>
      </c>
      <c r="F12" s="10">
        <f>C12/(120*180+40*180)</f>
        <v>5.8904862254808617E-3</v>
      </c>
      <c r="G12" s="5">
        <v>1.3</v>
      </c>
      <c r="H12" s="1">
        <f>4000/200</f>
        <v>20</v>
      </c>
      <c r="I12" s="6">
        <f>G12*(11+(0.015*30.71/(F11+F12))*(500*C12/(391*E12)))*0.8</f>
        <v>85.354582857142873</v>
      </c>
      <c r="J12" s="5" t="str">
        <f>IF(H12&lt;I12,"OK","NO")</f>
        <v>OK</v>
      </c>
    </row>
    <row r="13" spans="1:13" x14ac:dyDescent="0.25">
      <c r="A13" s="9" t="s">
        <v>6</v>
      </c>
      <c r="B13" s="7" t="s">
        <v>14</v>
      </c>
      <c r="C13" s="6">
        <f>2*PI()*12^2/4</f>
        <v>226.1946710584651</v>
      </c>
      <c r="D13" s="5">
        <v>7.35</v>
      </c>
      <c r="E13" s="6">
        <f t="shared" si="0"/>
        <v>116.03675286539735</v>
      </c>
      <c r="F13" s="10">
        <f>C13/(120*180+40*180)</f>
        <v>7.8539816339744835E-3</v>
      </c>
      <c r="G13" s="5">
        <v>1.5</v>
      </c>
      <c r="H13" s="1">
        <f>4000/200</f>
        <v>20</v>
      </c>
      <c r="I13" s="6">
        <f>G13*(11+(0.015*30.71/(F13+F14))*(500*C13/(391*E13)))*0.8</f>
        <v>113.45463043731782</v>
      </c>
      <c r="J13" s="5" t="str">
        <f t="shared" ref="J13:J20" si="1">IF(H13&lt;I13,"OK","NO")</f>
        <v>OK</v>
      </c>
    </row>
    <row r="14" spans="1:13" x14ac:dyDescent="0.25">
      <c r="A14" s="9"/>
      <c r="B14" s="7" t="s">
        <v>15</v>
      </c>
      <c r="C14" s="6">
        <f>2*PI()*6^2/4+PI()*12^2/4</f>
        <v>169.64600329384882</v>
      </c>
      <c r="D14" s="5"/>
      <c r="E14" s="6"/>
      <c r="F14" s="10">
        <f t="shared" ref="F14:F20" si="2">C14/(120*180+40*180)</f>
        <v>5.8904862254808617E-3</v>
      </c>
      <c r="G14" s="5">
        <v>1.5</v>
      </c>
      <c r="H14" s="1">
        <f>4000/200</f>
        <v>20</v>
      </c>
      <c r="I14" s="6"/>
      <c r="J14" s="3"/>
    </row>
    <row r="15" spans="1:13" x14ac:dyDescent="0.25">
      <c r="A15" s="9" t="s">
        <v>7</v>
      </c>
      <c r="B15" s="7" t="s">
        <v>14</v>
      </c>
      <c r="C15" s="6">
        <f>3*PI()*12^2/4</f>
        <v>339.29200658769764</v>
      </c>
      <c r="D15" s="5">
        <v>9.85</v>
      </c>
      <c r="E15" s="6">
        <f t="shared" si="0"/>
        <v>155.50503615294747</v>
      </c>
      <c r="F15" s="10">
        <f t="shared" si="2"/>
        <v>1.1780972450961723E-2</v>
      </c>
      <c r="G15" s="5">
        <v>1.5</v>
      </c>
      <c r="H15" s="1">
        <f>5000/200</f>
        <v>25</v>
      </c>
      <c r="I15" s="6">
        <f>G15*(11+(0.015*30.71/(F16+F15))*(500*C15/(391*E15)))*0.8</f>
        <v>84.608870364559323</v>
      </c>
      <c r="J15" s="5" t="str">
        <f t="shared" si="1"/>
        <v>OK</v>
      </c>
    </row>
    <row r="16" spans="1:13" x14ac:dyDescent="0.25">
      <c r="A16" s="9"/>
      <c r="B16" s="7" t="s">
        <v>15</v>
      </c>
      <c r="C16" s="6">
        <f>2*PI()*6^2/4+2*PI()*12^2/4</f>
        <v>282.74333882308139</v>
      </c>
      <c r="D16" s="5"/>
      <c r="E16" s="6"/>
      <c r="F16" s="10">
        <f t="shared" si="2"/>
        <v>9.8174770424681035E-3</v>
      </c>
      <c r="G16" s="5">
        <v>1.5</v>
      </c>
      <c r="H16" s="1">
        <f t="shared" ref="H16:H20" si="3">5000/200</f>
        <v>25</v>
      </c>
      <c r="I16" s="6"/>
      <c r="J16" s="3"/>
    </row>
    <row r="17" spans="1:10" x14ac:dyDescent="0.25">
      <c r="A17" s="9" t="s">
        <v>8</v>
      </c>
      <c r="B17" s="7" t="s">
        <v>14</v>
      </c>
      <c r="C17" s="6">
        <f>3*PI()*12^2/4</f>
        <v>339.29200658769764</v>
      </c>
      <c r="D17" s="5"/>
      <c r="E17" s="6"/>
      <c r="F17" s="10">
        <f t="shared" si="2"/>
        <v>1.1780972450961723E-2</v>
      </c>
      <c r="G17" s="5">
        <v>1.5</v>
      </c>
      <c r="H17" s="1">
        <f t="shared" si="3"/>
        <v>25</v>
      </c>
      <c r="I17" s="6"/>
      <c r="J17" s="3"/>
    </row>
    <row r="18" spans="1:10" x14ac:dyDescent="0.25">
      <c r="A18" s="9"/>
      <c r="B18" s="7" t="s">
        <v>15</v>
      </c>
      <c r="C18" s="6">
        <f>2*PI()*6^2/4+2*PI()*12^2/4</f>
        <v>282.74333882308139</v>
      </c>
      <c r="D18" s="5">
        <v>7.64</v>
      </c>
      <c r="E18" s="6">
        <f t="shared" si="0"/>
        <v>120.61507372675317</v>
      </c>
      <c r="F18" s="10">
        <f t="shared" si="2"/>
        <v>9.8174770424681035E-3</v>
      </c>
      <c r="G18" s="5">
        <v>1.5</v>
      </c>
      <c r="H18" s="1">
        <f t="shared" si="3"/>
        <v>25</v>
      </c>
      <c r="I18" s="6">
        <f>G18*(11+(0.015*30.71/(F18+F17))*(500*C18/(391*E18)))*0.8</f>
        <v>89.920917658257991</v>
      </c>
      <c r="J18" s="5" t="str">
        <f t="shared" si="1"/>
        <v>OK</v>
      </c>
    </row>
    <row r="19" spans="1:10" x14ac:dyDescent="0.25">
      <c r="A19" s="9" t="s">
        <v>9</v>
      </c>
      <c r="B19" s="7" t="s">
        <v>14</v>
      </c>
      <c r="C19" s="6">
        <f>3*PI()*12^2/4</f>
        <v>339.29200658769764</v>
      </c>
      <c r="D19" s="5">
        <v>12.03</v>
      </c>
      <c r="E19" s="6">
        <f t="shared" si="0"/>
        <v>189.92137917969117</v>
      </c>
      <c r="F19" s="10">
        <f t="shared" si="2"/>
        <v>1.1780972450961723E-2</v>
      </c>
      <c r="G19" s="5">
        <v>1.3</v>
      </c>
      <c r="H19" s="1">
        <f t="shared" si="3"/>
        <v>25</v>
      </c>
      <c r="I19" s="6">
        <f>G19*(11+(0.015*30.71/(F19+F20))*(500*C19/(391*E19)))*0.8</f>
        <v>62.112794958059411</v>
      </c>
      <c r="J19" s="5" t="str">
        <f t="shared" si="1"/>
        <v>OK</v>
      </c>
    </row>
    <row r="20" spans="1:10" x14ac:dyDescent="0.25">
      <c r="A20" s="9"/>
      <c r="B20" s="7" t="s">
        <v>15</v>
      </c>
      <c r="C20" s="6">
        <f>2*PI()*6^2/4+2*PI()*12^2/4</f>
        <v>282.74333882308139</v>
      </c>
      <c r="D20" s="5"/>
      <c r="E20" s="6"/>
      <c r="F20" s="10">
        <f t="shared" si="2"/>
        <v>9.8174770424681035E-3</v>
      </c>
      <c r="G20" s="5">
        <v>1.3</v>
      </c>
      <c r="H20" s="1">
        <f t="shared" si="3"/>
        <v>25</v>
      </c>
      <c r="I20" s="5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</sheetData>
  <mergeCells count="7">
    <mergeCell ref="A15:A16"/>
    <mergeCell ref="A17:A18"/>
    <mergeCell ref="A19:A20"/>
    <mergeCell ref="A1:B1"/>
    <mergeCell ref="A4:B4"/>
    <mergeCell ref="A11:A12"/>
    <mergeCell ref="A13:A14"/>
  </mergeCells>
  <conditionalFormatting sqref="J12:J20">
    <cfRule type="cellIs" dxfId="0" priority="1" operator="equal">
      <formula>"OK"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2020-01-09T18:38:50Z</cp:lastPrinted>
  <dcterms:created xsi:type="dcterms:W3CDTF">2020-01-09T17:39:27Z</dcterms:created>
  <dcterms:modified xsi:type="dcterms:W3CDTF">2020-01-09T22:48:37Z</dcterms:modified>
</cp:coreProperties>
</file>