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79BD2DEA-C978-4482-BD41-9C79B21591C1}" xr6:coauthVersionLast="44" xr6:coauthVersionMax="44" xr10:uidLastSave="{00000000-0000-0000-0000-000000000000}"/>
  <bookViews>
    <workbookView xWindow="-120" yWindow="-120" windowWidth="20730" windowHeight="11160" activeTab="1" xr2:uid="{107E9A3A-46E0-41E7-9C56-E5E3C931ADCA}"/>
  </bookViews>
  <sheets>
    <sheet name="VERIFICHE GENERALI (SAP)" sheetId="6" r:id="rId1"/>
    <sheet name="VERIFICHE GENERALI" sheetId="1" r:id="rId2"/>
    <sheet name="PIANO 1" sheetId="2" r:id="rId3"/>
    <sheet name="PIANO 2" sheetId="3" r:id="rId4"/>
    <sheet name="PIANO 3" sheetId="4" r:id="rId5"/>
    <sheet name="PIANO 4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2" i="2" l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D63" i="6" l="1"/>
  <c r="D64" i="6" s="1"/>
  <c r="D65" i="6" s="1"/>
  <c r="H65" i="6"/>
  <c r="H64" i="6"/>
  <c r="H63" i="6"/>
  <c r="H62" i="6"/>
  <c r="G65" i="6" l="1"/>
  <c r="C63" i="6"/>
  <c r="C64" i="6"/>
  <c r="C65" i="6"/>
  <c r="E63" i="6"/>
  <c r="G64" i="6" l="1"/>
  <c r="G63" i="6"/>
  <c r="F64" i="6"/>
  <c r="F65" i="6"/>
  <c r="I65" i="6" s="1"/>
  <c r="F63" i="6"/>
  <c r="E64" i="6"/>
  <c r="E65" i="6" s="1"/>
  <c r="D54" i="6"/>
  <c r="D53" i="6" s="1"/>
  <c r="D55" i="6"/>
  <c r="B8" i="6"/>
  <c r="I64" i="6" l="1"/>
  <c r="I63" i="6"/>
  <c r="G62" i="6"/>
  <c r="F62" i="6"/>
  <c r="C55" i="6"/>
  <c r="C54" i="6" s="1"/>
  <c r="C53" i="6" s="1"/>
  <c r="D56" i="6"/>
  <c r="C56" i="6"/>
  <c r="I62" i="6" l="1"/>
  <c r="I89" i="6"/>
  <c r="E89" i="6"/>
  <c r="G78" i="6"/>
  <c r="F79" i="6"/>
  <c r="I90" i="6" s="1"/>
  <c r="E79" i="6"/>
  <c r="E90" i="6" s="1"/>
  <c r="K89" i="6"/>
  <c r="G89" i="6"/>
  <c r="G77" i="6"/>
  <c r="G79" i="6" s="1"/>
  <c r="E28" i="6"/>
  <c r="E21" i="6"/>
  <c r="D21" i="6"/>
  <c r="B21" i="6"/>
  <c r="E20" i="6"/>
  <c r="D20" i="6"/>
  <c r="C20" i="6"/>
  <c r="C21" i="6" s="1"/>
  <c r="B20" i="6"/>
  <c r="E19" i="6"/>
  <c r="D19" i="6"/>
  <c r="C19" i="6"/>
  <c r="B19" i="6"/>
  <c r="E18" i="6"/>
  <c r="D18" i="6"/>
  <c r="C18" i="6"/>
  <c r="B18" i="6"/>
  <c r="B11" i="6"/>
  <c r="B7" i="6"/>
  <c r="B2" i="6"/>
  <c r="F80" i="6" l="1"/>
  <c r="I91" i="6" s="1"/>
  <c r="F18" i="6"/>
  <c r="C42" i="6" s="1"/>
  <c r="F19" i="6"/>
  <c r="B29" i="6" s="1"/>
  <c r="C29" i="6" s="1"/>
  <c r="E80" i="6"/>
  <c r="G80" i="6" s="1"/>
  <c r="F81" i="6"/>
  <c r="I92" i="6" s="1"/>
  <c r="F20" i="6"/>
  <c r="C44" i="6" s="1"/>
  <c r="D44" i="6" s="1"/>
  <c r="F21" i="6"/>
  <c r="L52" i="2"/>
  <c r="L48" i="3"/>
  <c r="L50" i="4"/>
  <c r="C43" i="6" l="1"/>
  <c r="D43" i="6" s="1"/>
  <c r="F22" i="6"/>
  <c r="E40" i="6" s="1"/>
  <c r="B28" i="6"/>
  <c r="C28" i="6" s="1"/>
  <c r="D29" i="6" s="1"/>
  <c r="E29" i="6" s="1"/>
  <c r="E91" i="6"/>
  <c r="E81" i="6"/>
  <c r="B30" i="6"/>
  <c r="C30" i="6" s="1"/>
  <c r="F40" i="6"/>
  <c r="B31" i="6"/>
  <c r="C31" i="6" s="1"/>
  <c r="C45" i="6"/>
  <c r="D45" i="6" s="1"/>
  <c r="D30" i="6"/>
  <c r="E30" i="6" s="1"/>
  <c r="C110" i="6"/>
  <c r="C103" i="6"/>
  <c r="C109" i="6"/>
  <c r="C102" i="6"/>
  <c r="D42" i="6"/>
  <c r="C108" i="6"/>
  <c r="C101" i="6"/>
  <c r="E28" i="1"/>
  <c r="K58" i="1"/>
  <c r="G58" i="1"/>
  <c r="D46" i="6" l="1"/>
  <c r="F42" i="6" s="1"/>
  <c r="B91" i="6"/>
  <c r="D31" i="6"/>
  <c r="E31" i="6" s="1"/>
  <c r="E92" i="6"/>
  <c r="G81" i="6"/>
  <c r="C100" i="6"/>
  <c r="B89" i="6"/>
  <c r="B92" i="6"/>
  <c r="C107" i="6"/>
  <c r="B90" i="6"/>
  <c r="E53" i="2"/>
  <c r="E54" i="2"/>
  <c r="E55" i="2"/>
  <c r="E56" i="2"/>
  <c r="E44" i="6" l="1"/>
  <c r="E42" i="6"/>
  <c r="E45" i="6"/>
  <c r="F45" i="6"/>
  <c r="E43" i="6"/>
  <c r="F43" i="6"/>
  <c r="F44" i="6"/>
  <c r="D80" i="6"/>
  <c r="D78" i="6"/>
  <c r="D79" i="6"/>
  <c r="D81" i="6"/>
  <c r="G46" i="1"/>
  <c r="C78" i="6" l="1"/>
  <c r="C89" i="6"/>
  <c r="D89" i="6" s="1"/>
  <c r="K100" i="6" s="1"/>
  <c r="B78" i="6"/>
  <c r="C92" i="6"/>
  <c r="B81" i="6"/>
  <c r="C81" i="6"/>
  <c r="B79" i="6"/>
  <c r="C90" i="6"/>
  <c r="D90" i="6" s="1"/>
  <c r="K101" i="6" s="1"/>
  <c r="C79" i="6"/>
  <c r="C80" i="6"/>
  <c r="C91" i="6"/>
  <c r="D91" i="6" s="1"/>
  <c r="K102" i="6" s="1"/>
  <c r="B80" i="6"/>
  <c r="D108" i="6"/>
  <c r="D101" i="6"/>
  <c r="E101" i="6"/>
  <c r="F101" i="6" s="1"/>
  <c r="G101" i="6" s="1"/>
  <c r="D107" i="6"/>
  <c r="D100" i="6"/>
  <c r="E103" i="6"/>
  <c r="D110" i="6"/>
  <c r="D103" i="6"/>
  <c r="D109" i="6"/>
  <c r="D102" i="6"/>
  <c r="E102" i="6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2" i="2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L52" i="3" s="1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B11" i="1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M8" i="2"/>
  <c r="L8" i="2"/>
  <c r="M8" i="3"/>
  <c r="L8" i="3"/>
  <c r="M8" i="4"/>
  <c r="L8" i="4"/>
  <c r="M8" i="5"/>
  <c r="L8" i="5"/>
  <c r="B2" i="1"/>
  <c r="B4" i="1"/>
  <c r="B8" i="1" s="1"/>
  <c r="B3" i="1"/>
  <c r="B7" i="1" s="1"/>
  <c r="E21" i="1"/>
  <c r="D21" i="1"/>
  <c r="B21" i="1"/>
  <c r="E20" i="1"/>
  <c r="D20" i="1"/>
  <c r="B20" i="1"/>
  <c r="E19" i="1"/>
  <c r="D19" i="1"/>
  <c r="B19" i="1"/>
  <c r="E18" i="1"/>
  <c r="D18" i="1"/>
  <c r="B18" i="1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24" i="3"/>
  <c r="F24" i="3"/>
  <c r="G23" i="3"/>
  <c r="F23" i="3"/>
  <c r="I23" i="3" s="1"/>
  <c r="K23" i="3" s="1"/>
  <c r="G22" i="3"/>
  <c r="F22" i="3"/>
  <c r="G21" i="3"/>
  <c r="F21" i="3"/>
  <c r="G20" i="3"/>
  <c r="F20" i="3"/>
  <c r="G19" i="3"/>
  <c r="F19" i="3"/>
  <c r="G18" i="3"/>
  <c r="F18" i="3"/>
  <c r="G17" i="3"/>
  <c r="F17" i="3"/>
  <c r="I17" i="3" s="1"/>
  <c r="K17" i="3" s="1"/>
  <c r="G16" i="3"/>
  <c r="F16" i="3"/>
  <c r="G15" i="3"/>
  <c r="F15" i="3"/>
  <c r="I15" i="3" s="1"/>
  <c r="K15" i="3" s="1"/>
  <c r="G14" i="3"/>
  <c r="F14" i="3"/>
  <c r="G13" i="3"/>
  <c r="F13" i="3"/>
  <c r="I13" i="3" s="1"/>
  <c r="K13" i="3" s="1"/>
  <c r="G12" i="3"/>
  <c r="F12" i="3"/>
  <c r="G11" i="3"/>
  <c r="F11" i="3"/>
  <c r="I11" i="3" s="1"/>
  <c r="K11" i="3" s="1"/>
  <c r="G10" i="3"/>
  <c r="F10" i="3"/>
  <c r="G9" i="3"/>
  <c r="F9" i="3"/>
  <c r="G8" i="3"/>
  <c r="F8" i="3"/>
  <c r="G7" i="3"/>
  <c r="F7" i="3"/>
  <c r="G6" i="3"/>
  <c r="F6" i="3"/>
  <c r="G5" i="3"/>
  <c r="F5" i="3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I17" i="2" s="1"/>
  <c r="K17" i="2" s="1"/>
  <c r="G17" i="2"/>
  <c r="F18" i="2"/>
  <c r="G18" i="2"/>
  <c r="F19" i="2"/>
  <c r="G19" i="2"/>
  <c r="F20" i="2"/>
  <c r="G20" i="2"/>
  <c r="F21" i="2"/>
  <c r="I21" i="2" s="1"/>
  <c r="K21" i="2" s="1"/>
  <c r="G21" i="2"/>
  <c r="F22" i="2"/>
  <c r="G22" i="2"/>
  <c r="F23" i="2"/>
  <c r="G23" i="2"/>
  <c r="F24" i="2"/>
  <c r="G24" i="2"/>
  <c r="G5" i="2"/>
  <c r="H5" i="2" s="1"/>
  <c r="F5" i="2"/>
  <c r="H89" i="6" l="1"/>
  <c r="H91" i="6"/>
  <c r="F102" i="6"/>
  <c r="G102" i="6" s="1"/>
  <c r="H90" i="6"/>
  <c r="J90" i="6" s="1"/>
  <c r="K90" i="6" s="1"/>
  <c r="D92" i="6"/>
  <c r="H92" i="6"/>
  <c r="J92" i="6" s="1"/>
  <c r="K92" i="6" s="1"/>
  <c r="F91" i="6"/>
  <c r="G91" i="6" s="1"/>
  <c r="F90" i="6"/>
  <c r="G90" i="6" s="1"/>
  <c r="F103" i="6"/>
  <c r="G103" i="6" s="1"/>
  <c r="E108" i="6"/>
  <c r="F108" i="6" s="1"/>
  <c r="G108" i="6" s="1"/>
  <c r="E110" i="6"/>
  <c r="F110" i="6" s="1"/>
  <c r="G110" i="6" s="1"/>
  <c r="E107" i="6"/>
  <c r="F107" i="6" s="1"/>
  <c r="G107" i="6" s="1"/>
  <c r="I81" i="6"/>
  <c r="I80" i="6"/>
  <c r="I79" i="6"/>
  <c r="I78" i="6"/>
  <c r="E109" i="6"/>
  <c r="F109" i="6" s="1"/>
  <c r="G109" i="6" s="1"/>
  <c r="E100" i="6"/>
  <c r="F100" i="6" s="1"/>
  <c r="G100" i="6" s="1"/>
  <c r="H81" i="6"/>
  <c r="H80" i="6"/>
  <c r="H79" i="6"/>
  <c r="H78" i="6"/>
  <c r="J5" i="2"/>
  <c r="H6" i="2"/>
  <c r="J6" i="2" s="1"/>
  <c r="I6" i="3"/>
  <c r="K6" i="3" s="1"/>
  <c r="I8" i="3"/>
  <c r="K8" i="3" s="1"/>
  <c r="I12" i="3"/>
  <c r="K12" i="3" s="1"/>
  <c r="I14" i="3"/>
  <c r="K14" i="3" s="1"/>
  <c r="I16" i="3"/>
  <c r="K16" i="3" s="1"/>
  <c r="I18" i="3"/>
  <c r="K18" i="3" s="1"/>
  <c r="I20" i="3"/>
  <c r="K20" i="3" s="1"/>
  <c r="I22" i="3"/>
  <c r="K22" i="3" s="1"/>
  <c r="I24" i="3"/>
  <c r="K24" i="3" s="1"/>
  <c r="L51" i="4"/>
  <c r="F49" i="5"/>
  <c r="F53" i="5"/>
  <c r="F57" i="5"/>
  <c r="F61" i="5"/>
  <c r="F65" i="5"/>
  <c r="F50" i="4"/>
  <c r="F54" i="4"/>
  <c r="F58" i="4"/>
  <c r="F62" i="4"/>
  <c r="F66" i="4"/>
  <c r="F49" i="3"/>
  <c r="F53" i="3"/>
  <c r="F57" i="3"/>
  <c r="F61" i="3"/>
  <c r="F65" i="3"/>
  <c r="F50" i="5"/>
  <c r="F54" i="5"/>
  <c r="F58" i="5"/>
  <c r="F62" i="5"/>
  <c r="F66" i="5"/>
  <c r="F51" i="4"/>
  <c r="F55" i="4"/>
  <c r="F59" i="4"/>
  <c r="F63" i="4"/>
  <c r="F67" i="4"/>
  <c r="F50" i="3"/>
  <c r="F54" i="3"/>
  <c r="F58" i="3"/>
  <c r="F62" i="3"/>
  <c r="F66" i="3"/>
  <c r="F51" i="5"/>
  <c r="F55" i="5"/>
  <c r="F59" i="5"/>
  <c r="F63" i="5"/>
  <c r="F67" i="5"/>
  <c r="F52" i="4"/>
  <c r="F56" i="4"/>
  <c r="F60" i="4"/>
  <c r="F64" i="4"/>
  <c r="F68" i="4"/>
  <c r="F51" i="3"/>
  <c r="F55" i="3"/>
  <c r="F59" i="3"/>
  <c r="F63" i="3"/>
  <c r="F67" i="3"/>
  <c r="F52" i="5"/>
  <c r="F56" i="5"/>
  <c r="F60" i="5"/>
  <c r="F64" i="5"/>
  <c r="F48" i="5"/>
  <c r="F53" i="4"/>
  <c r="F57" i="4"/>
  <c r="F61" i="4"/>
  <c r="F65" i="4"/>
  <c r="F49" i="4"/>
  <c r="F52" i="3"/>
  <c r="F56" i="3"/>
  <c r="F60" i="3"/>
  <c r="F64" i="3"/>
  <c r="F48" i="3"/>
  <c r="K49" i="5"/>
  <c r="L49" i="3"/>
  <c r="L53" i="2"/>
  <c r="L56" i="2"/>
  <c r="L54" i="4"/>
  <c r="I13" i="2"/>
  <c r="K13" i="2" s="1"/>
  <c r="I9" i="2"/>
  <c r="K9" i="2" s="1"/>
  <c r="H5" i="3"/>
  <c r="H7" i="3"/>
  <c r="J7" i="3" s="1"/>
  <c r="H9" i="3"/>
  <c r="J9" i="3" s="1"/>
  <c r="H11" i="3"/>
  <c r="J11" i="3" s="1"/>
  <c r="H13" i="3"/>
  <c r="J13" i="3" s="1"/>
  <c r="H15" i="3"/>
  <c r="J15" i="3" s="1"/>
  <c r="I7" i="4"/>
  <c r="K7" i="4" s="1"/>
  <c r="I9" i="4"/>
  <c r="K9" i="4" s="1"/>
  <c r="I11" i="4"/>
  <c r="K11" i="4" s="1"/>
  <c r="I13" i="4"/>
  <c r="K13" i="4" s="1"/>
  <c r="H17" i="3"/>
  <c r="J17" i="3" s="1"/>
  <c r="H19" i="3"/>
  <c r="J19" i="3" s="1"/>
  <c r="H21" i="3"/>
  <c r="J21" i="3" s="1"/>
  <c r="H23" i="3"/>
  <c r="J23" i="3" s="1"/>
  <c r="K48" i="5"/>
  <c r="I7" i="3"/>
  <c r="K7" i="3" s="1"/>
  <c r="I15" i="4"/>
  <c r="K15" i="4" s="1"/>
  <c r="I17" i="4"/>
  <c r="K17" i="4" s="1"/>
  <c r="I19" i="4"/>
  <c r="K19" i="4" s="1"/>
  <c r="I19" i="3"/>
  <c r="K19" i="3" s="1"/>
  <c r="H5" i="4"/>
  <c r="H5" i="5"/>
  <c r="H12" i="3"/>
  <c r="J12" i="3" s="1"/>
  <c r="H18" i="3"/>
  <c r="J18" i="3" s="1"/>
  <c r="I10" i="3"/>
  <c r="K10" i="3" s="1"/>
  <c r="H6" i="3"/>
  <c r="J6" i="3" s="1"/>
  <c r="H8" i="3"/>
  <c r="J8" i="3" s="1"/>
  <c r="H10" i="3"/>
  <c r="J10" i="3" s="1"/>
  <c r="H20" i="3"/>
  <c r="J20" i="3" s="1"/>
  <c r="H22" i="3"/>
  <c r="J22" i="3" s="1"/>
  <c r="H24" i="3"/>
  <c r="J24" i="3" s="1"/>
  <c r="H16" i="3"/>
  <c r="J16" i="3" s="1"/>
  <c r="I9" i="3"/>
  <c r="K9" i="3" s="1"/>
  <c r="I21" i="4"/>
  <c r="K21" i="4" s="1"/>
  <c r="I23" i="4"/>
  <c r="K23" i="4" s="1"/>
  <c r="I7" i="5"/>
  <c r="K7" i="5" s="1"/>
  <c r="I9" i="5"/>
  <c r="K9" i="5" s="1"/>
  <c r="I11" i="5"/>
  <c r="K11" i="5" s="1"/>
  <c r="I13" i="5"/>
  <c r="K13" i="5" s="1"/>
  <c r="I15" i="5"/>
  <c r="K15" i="5" s="1"/>
  <c r="I17" i="5"/>
  <c r="K17" i="5" s="1"/>
  <c r="I19" i="5"/>
  <c r="K19" i="5" s="1"/>
  <c r="I21" i="5"/>
  <c r="K21" i="5" s="1"/>
  <c r="I23" i="5"/>
  <c r="K23" i="5" s="1"/>
  <c r="I21" i="3"/>
  <c r="K21" i="3" s="1"/>
  <c r="H14" i="3"/>
  <c r="J14" i="3" s="1"/>
  <c r="I7" i="2"/>
  <c r="K7" i="2" s="1"/>
  <c r="I19" i="2"/>
  <c r="K19" i="2" s="1"/>
  <c r="I11" i="2"/>
  <c r="K11" i="2" s="1"/>
  <c r="I23" i="2"/>
  <c r="K23" i="2" s="1"/>
  <c r="I15" i="2"/>
  <c r="K15" i="2" s="1"/>
  <c r="I5" i="5"/>
  <c r="K5" i="5" s="1"/>
  <c r="H21" i="5"/>
  <c r="J21" i="5" s="1"/>
  <c r="H19" i="5"/>
  <c r="J19" i="5" s="1"/>
  <c r="H15" i="5"/>
  <c r="J15" i="5" s="1"/>
  <c r="H13" i="5"/>
  <c r="J13" i="5" s="1"/>
  <c r="H11" i="5"/>
  <c r="J11" i="5" s="1"/>
  <c r="H7" i="5"/>
  <c r="J7" i="5" s="1"/>
  <c r="I5" i="4"/>
  <c r="K5" i="4" s="1"/>
  <c r="H21" i="4"/>
  <c r="J21" i="4" s="1"/>
  <c r="H19" i="4"/>
  <c r="J19" i="4" s="1"/>
  <c r="H17" i="4"/>
  <c r="J17" i="4" s="1"/>
  <c r="H13" i="4"/>
  <c r="J13" i="4" s="1"/>
  <c r="H11" i="4"/>
  <c r="J11" i="4" s="1"/>
  <c r="H7" i="4"/>
  <c r="J7" i="4" s="1"/>
  <c r="I5" i="3"/>
  <c r="K5" i="3" s="1"/>
  <c r="I5" i="2"/>
  <c r="K5" i="2" s="1"/>
  <c r="H23" i="2"/>
  <c r="J23" i="2" s="1"/>
  <c r="H21" i="2"/>
  <c r="J21" i="2" s="1"/>
  <c r="H19" i="2"/>
  <c r="J19" i="2" s="1"/>
  <c r="H15" i="2"/>
  <c r="J15" i="2" s="1"/>
  <c r="H13" i="2"/>
  <c r="J13" i="2" s="1"/>
  <c r="H11" i="2"/>
  <c r="J11" i="2" s="1"/>
  <c r="H9" i="2"/>
  <c r="J9" i="2" s="1"/>
  <c r="H7" i="2"/>
  <c r="I24" i="5"/>
  <c r="K24" i="5" s="1"/>
  <c r="I22" i="5"/>
  <c r="K22" i="5" s="1"/>
  <c r="I20" i="5"/>
  <c r="K20" i="5" s="1"/>
  <c r="I18" i="5"/>
  <c r="K18" i="5" s="1"/>
  <c r="I16" i="5"/>
  <c r="K16" i="5" s="1"/>
  <c r="I14" i="5"/>
  <c r="K14" i="5" s="1"/>
  <c r="I12" i="5"/>
  <c r="K12" i="5" s="1"/>
  <c r="I10" i="5"/>
  <c r="K10" i="5" s="1"/>
  <c r="I8" i="5"/>
  <c r="K8" i="5" s="1"/>
  <c r="I6" i="5"/>
  <c r="K6" i="5" s="1"/>
  <c r="I24" i="4"/>
  <c r="K24" i="4" s="1"/>
  <c r="I22" i="4"/>
  <c r="K22" i="4" s="1"/>
  <c r="I20" i="4"/>
  <c r="K20" i="4" s="1"/>
  <c r="I18" i="4"/>
  <c r="K18" i="4" s="1"/>
  <c r="I16" i="4"/>
  <c r="K16" i="4" s="1"/>
  <c r="I14" i="4"/>
  <c r="K14" i="4" s="1"/>
  <c r="I12" i="4"/>
  <c r="K12" i="4" s="1"/>
  <c r="I10" i="4"/>
  <c r="K10" i="4" s="1"/>
  <c r="I8" i="4"/>
  <c r="K8" i="4" s="1"/>
  <c r="I6" i="4"/>
  <c r="K6" i="4" s="1"/>
  <c r="I24" i="2"/>
  <c r="K24" i="2" s="1"/>
  <c r="I22" i="2"/>
  <c r="K22" i="2" s="1"/>
  <c r="I20" i="2"/>
  <c r="K20" i="2" s="1"/>
  <c r="I18" i="2"/>
  <c r="K18" i="2" s="1"/>
  <c r="I16" i="2"/>
  <c r="K16" i="2" s="1"/>
  <c r="I14" i="2"/>
  <c r="K14" i="2" s="1"/>
  <c r="I12" i="2"/>
  <c r="K12" i="2" s="1"/>
  <c r="I10" i="2"/>
  <c r="K10" i="2" s="1"/>
  <c r="I8" i="2"/>
  <c r="K8" i="2" s="1"/>
  <c r="I6" i="2"/>
  <c r="K6" i="2" s="1"/>
  <c r="H23" i="5"/>
  <c r="J23" i="5" s="1"/>
  <c r="H17" i="5"/>
  <c r="J17" i="5" s="1"/>
  <c r="H9" i="5"/>
  <c r="J9" i="5" s="1"/>
  <c r="H23" i="4"/>
  <c r="J23" i="4" s="1"/>
  <c r="H15" i="4"/>
  <c r="J15" i="4" s="1"/>
  <c r="H9" i="4"/>
  <c r="J9" i="4" s="1"/>
  <c r="H17" i="2"/>
  <c r="J17" i="2" s="1"/>
  <c r="H24" i="5"/>
  <c r="J24" i="5" s="1"/>
  <c r="H22" i="5"/>
  <c r="J22" i="5" s="1"/>
  <c r="H20" i="5"/>
  <c r="J20" i="5" s="1"/>
  <c r="H18" i="5"/>
  <c r="J18" i="5" s="1"/>
  <c r="H16" i="5"/>
  <c r="J16" i="5" s="1"/>
  <c r="H14" i="5"/>
  <c r="J14" i="5" s="1"/>
  <c r="H12" i="5"/>
  <c r="J12" i="5" s="1"/>
  <c r="H10" i="5"/>
  <c r="J10" i="5" s="1"/>
  <c r="H8" i="5"/>
  <c r="J8" i="5" s="1"/>
  <c r="H6" i="5"/>
  <c r="J6" i="5" s="1"/>
  <c r="H24" i="4"/>
  <c r="J24" i="4" s="1"/>
  <c r="H22" i="4"/>
  <c r="J22" i="4" s="1"/>
  <c r="H20" i="4"/>
  <c r="J20" i="4" s="1"/>
  <c r="H18" i="4"/>
  <c r="J18" i="4" s="1"/>
  <c r="H16" i="4"/>
  <c r="J16" i="4" s="1"/>
  <c r="H14" i="4"/>
  <c r="J14" i="4" s="1"/>
  <c r="H12" i="4"/>
  <c r="J12" i="4" s="1"/>
  <c r="H10" i="4"/>
  <c r="J10" i="4" s="1"/>
  <c r="H8" i="4"/>
  <c r="J8" i="4" s="1"/>
  <c r="H6" i="4"/>
  <c r="J6" i="4" s="1"/>
  <c r="H24" i="2"/>
  <c r="J24" i="2" s="1"/>
  <c r="H22" i="2"/>
  <c r="J22" i="2" s="1"/>
  <c r="H20" i="2"/>
  <c r="J20" i="2" s="1"/>
  <c r="H18" i="2"/>
  <c r="J18" i="2" s="1"/>
  <c r="H16" i="2"/>
  <c r="J16" i="2" s="1"/>
  <c r="H14" i="2"/>
  <c r="J14" i="2" s="1"/>
  <c r="H12" i="2"/>
  <c r="J12" i="2" s="1"/>
  <c r="H10" i="2"/>
  <c r="J10" i="2" s="1"/>
  <c r="H8" i="2"/>
  <c r="J8" i="2" s="1"/>
  <c r="J91" i="6" l="1"/>
  <c r="K91" i="6" s="1"/>
  <c r="K103" i="6"/>
  <c r="F92" i="6"/>
  <c r="G92" i="6" s="1"/>
  <c r="J5" i="5"/>
  <c r="L5" i="5" s="1"/>
  <c r="J5" i="4"/>
  <c r="J5" i="3"/>
  <c r="L5" i="3" s="1"/>
  <c r="L50" i="3"/>
  <c r="L52" i="4"/>
  <c r="K50" i="5"/>
  <c r="L54" i="2"/>
  <c r="M5" i="5"/>
  <c r="B49" i="1"/>
  <c r="L5" i="4"/>
  <c r="M5" i="4"/>
  <c r="M5" i="3"/>
  <c r="M5" i="2"/>
  <c r="C47" i="1"/>
  <c r="B47" i="1"/>
  <c r="J7" i="2"/>
  <c r="L5" i="2" s="1"/>
  <c r="C48" i="1"/>
  <c r="C50" i="1"/>
  <c r="B48" i="1"/>
  <c r="B50" i="1"/>
  <c r="C49" i="1"/>
  <c r="E49" i="5" l="1"/>
  <c r="E58" i="5"/>
  <c r="E53" i="5"/>
  <c r="G53" i="5" s="1"/>
  <c r="H53" i="5" s="1"/>
  <c r="E55" i="5"/>
  <c r="E56" i="4" s="1"/>
  <c r="E55" i="3" s="1"/>
  <c r="F59" i="2" s="1"/>
  <c r="E52" i="5"/>
  <c r="E48" i="5"/>
  <c r="E57" i="5"/>
  <c r="E62" i="5"/>
  <c r="E61" i="5"/>
  <c r="E62" i="4" s="1"/>
  <c r="E61" i="3" s="1"/>
  <c r="F65" i="2" s="1"/>
  <c r="E59" i="5"/>
  <c r="E60" i="4" s="1"/>
  <c r="E59" i="3" s="1"/>
  <c r="F63" i="2" s="1"/>
  <c r="E56" i="5"/>
  <c r="E57" i="4" s="1"/>
  <c r="E56" i="3" s="1"/>
  <c r="F60" i="2" s="1"/>
  <c r="E51" i="5"/>
  <c r="E65" i="5"/>
  <c r="G65" i="5" s="1"/>
  <c r="H65" i="5" s="1"/>
  <c r="E50" i="5"/>
  <c r="E66" i="5"/>
  <c r="E63" i="5"/>
  <c r="E60" i="5"/>
  <c r="E61" i="4" s="1"/>
  <c r="E60" i="3" s="1"/>
  <c r="F64" i="2" s="1"/>
  <c r="E54" i="5"/>
  <c r="E55" i="4" s="1"/>
  <c r="E54" i="3" s="1"/>
  <c r="F58" i="2" s="1"/>
  <c r="E67" i="5"/>
  <c r="E64" i="5"/>
  <c r="G49" i="5" l="1"/>
  <c r="H49" i="5" s="1"/>
  <c r="G51" i="5"/>
  <c r="H51" i="5" s="1"/>
  <c r="G57" i="5"/>
  <c r="H57" i="5" s="1"/>
  <c r="G66" i="5"/>
  <c r="H66" i="5" s="1"/>
  <c r="G48" i="5"/>
  <c r="H48" i="5" s="1"/>
  <c r="G54" i="5"/>
  <c r="H54" i="5" s="1"/>
  <c r="G50" i="5"/>
  <c r="H50" i="5" s="1"/>
  <c r="G63" i="5"/>
  <c r="H63" i="5" s="1"/>
  <c r="G61" i="4"/>
  <c r="H61" i="4" s="1"/>
  <c r="G60" i="4"/>
  <c r="H60" i="4" s="1"/>
  <c r="G60" i="5"/>
  <c r="H60" i="5" s="1"/>
  <c r="G58" i="5"/>
  <c r="H58" i="5" s="1"/>
  <c r="G64" i="5"/>
  <c r="H64" i="5" s="1"/>
  <c r="G57" i="4"/>
  <c r="H57" i="4" s="1"/>
  <c r="G56" i="5"/>
  <c r="H56" i="5" s="1"/>
  <c r="G55" i="4"/>
  <c r="H55" i="4" s="1"/>
  <c r="G56" i="4"/>
  <c r="H56" i="4" s="1"/>
  <c r="G67" i="5"/>
  <c r="H67" i="5" s="1"/>
  <c r="G62" i="4"/>
  <c r="H62" i="4" s="1"/>
  <c r="G52" i="5"/>
  <c r="H52" i="5" s="1"/>
  <c r="G61" i="5"/>
  <c r="H61" i="5" s="1"/>
  <c r="G55" i="5"/>
  <c r="H55" i="5" s="1"/>
  <c r="G62" i="5"/>
  <c r="H62" i="5" s="1"/>
  <c r="G59" i="5"/>
  <c r="H59" i="5" s="1"/>
  <c r="G55" i="3" l="1"/>
  <c r="H55" i="3" s="1"/>
  <c r="G61" i="3"/>
  <c r="H61" i="3" s="1"/>
  <c r="G56" i="3"/>
  <c r="H56" i="3" s="1"/>
  <c r="H63" i="2" l="1"/>
  <c r="I63" i="2" s="1"/>
  <c r="G59" i="3"/>
  <c r="H59" i="3" s="1"/>
  <c r="H64" i="2"/>
  <c r="I64" i="2" s="1"/>
  <c r="G60" i="3"/>
  <c r="H60" i="3" s="1"/>
  <c r="H58" i="2"/>
  <c r="I58" i="2" s="1"/>
  <c r="G54" i="3"/>
  <c r="H54" i="3" s="1"/>
  <c r="H65" i="2"/>
  <c r="I65" i="2" s="1"/>
  <c r="H59" i="2"/>
  <c r="I59" i="2" s="1"/>
  <c r="H60" i="2"/>
  <c r="I60" i="2" s="1"/>
  <c r="L55" i="2" l="1"/>
  <c r="C20" i="1" l="1"/>
  <c r="C19" i="1"/>
  <c r="F19" i="1" s="1"/>
  <c r="C18" i="1"/>
  <c r="F18" i="1" s="1"/>
  <c r="L51" i="3"/>
  <c r="L53" i="4"/>
  <c r="C39" i="1" l="1"/>
  <c r="D39" i="1" s="1"/>
  <c r="B29" i="1"/>
  <c r="C29" i="1" s="1"/>
  <c r="E66" i="4"/>
  <c r="E59" i="4"/>
  <c r="E65" i="4"/>
  <c r="E68" i="4"/>
  <c r="E49" i="4"/>
  <c r="E53" i="4"/>
  <c r="E54" i="4"/>
  <c r="E64" i="4"/>
  <c r="E67" i="4"/>
  <c r="E52" i="4"/>
  <c r="E58" i="4"/>
  <c r="E50" i="4"/>
  <c r="E63" i="4"/>
  <c r="E51" i="4"/>
  <c r="C21" i="1"/>
  <c r="F21" i="1" s="1"/>
  <c r="F20" i="1"/>
  <c r="C38" i="1"/>
  <c r="B28" i="1"/>
  <c r="C28" i="1" s="1"/>
  <c r="E51" i="3" l="1"/>
  <c r="G52" i="4"/>
  <c r="H52" i="4" s="1"/>
  <c r="E52" i="3"/>
  <c r="G53" i="4"/>
  <c r="H53" i="4" s="1"/>
  <c r="E58" i="3"/>
  <c r="G59" i="4"/>
  <c r="H59" i="4" s="1"/>
  <c r="D38" i="1"/>
  <c r="C71" i="1"/>
  <c r="C79" i="1"/>
  <c r="C72" i="1"/>
  <c r="C78" i="1"/>
  <c r="E62" i="3"/>
  <c r="G63" i="4"/>
  <c r="H63" i="4" s="1"/>
  <c r="E66" i="3"/>
  <c r="G67" i="4"/>
  <c r="H67" i="4" s="1"/>
  <c r="E48" i="3"/>
  <c r="G49" i="4"/>
  <c r="H49" i="4" s="1"/>
  <c r="E65" i="3"/>
  <c r="G66" i="4"/>
  <c r="H66" i="4" s="1"/>
  <c r="E63" i="3"/>
  <c r="G64" i="4"/>
  <c r="H64" i="4" s="1"/>
  <c r="E67" i="3"/>
  <c r="G68" i="4"/>
  <c r="H68" i="4" s="1"/>
  <c r="D29" i="1"/>
  <c r="E29" i="1" s="1"/>
  <c r="E50" i="3"/>
  <c r="G51" i="4"/>
  <c r="H51" i="4" s="1"/>
  <c r="C40" i="1"/>
  <c r="D40" i="1" s="1"/>
  <c r="B30" i="1"/>
  <c r="C30" i="1" s="1"/>
  <c r="D30" i="1" s="1"/>
  <c r="E30" i="1" s="1"/>
  <c r="E49" i="3"/>
  <c r="G50" i="4"/>
  <c r="H50" i="4" s="1"/>
  <c r="F22" i="1"/>
  <c r="B31" i="1"/>
  <c r="C31" i="1" s="1"/>
  <c r="D31" i="1" s="1"/>
  <c r="E31" i="1" s="1"/>
  <c r="C41" i="1"/>
  <c r="D41" i="1" s="1"/>
  <c r="E57" i="3"/>
  <c r="G58" i="4"/>
  <c r="H58" i="4" s="1"/>
  <c r="G54" i="4"/>
  <c r="H54" i="4" s="1"/>
  <c r="E53" i="3"/>
  <c r="E64" i="3"/>
  <c r="G65" i="4"/>
  <c r="H65" i="4" s="1"/>
  <c r="B61" i="1" l="1"/>
  <c r="C61" i="1" s="1"/>
  <c r="C69" i="1"/>
  <c r="C70" i="1"/>
  <c r="B59" i="1"/>
  <c r="C76" i="1"/>
  <c r="C77" i="1"/>
  <c r="B60" i="1"/>
  <c r="F61" i="2"/>
  <c r="H61" i="2" s="1"/>
  <c r="I61" i="2" s="1"/>
  <c r="G57" i="3"/>
  <c r="H57" i="3" s="1"/>
  <c r="F67" i="2"/>
  <c r="H67" i="2" s="1"/>
  <c r="I67" i="2" s="1"/>
  <c r="G63" i="3"/>
  <c r="H63" i="3" s="1"/>
  <c r="F52" i="2"/>
  <c r="H52" i="2" s="1"/>
  <c r="I52" i="2" s="1"/>
  <c r="G48" i="3"/>
  <c r="H48" i="3" s="1"/>
  <c r="F66" i="2"/>
  <c r="H66" i="2" s="1"/>
  <c r="I66" i="2" s="1"/>
  <c r="G62" i="3"/>
  <c r="H62" i="3" s="1"/>
  <c r="F57" i="2"/>
  <c r="H57" i="2" s="1"/>
  <c r="I57" i="2" s="1"/>
  <c r="G53" i="3"/>
  <c r="H53" i="3" s="1"/>
  <c r="D61" i="1"/>
  <c r="H61" i="1"/>
  <c r="F53" i="2"/>
  <c r="H53" i="2" s="1"/>
  <c r="I53" i="2" s="1"/>
  <c r="G49" i="3"/>
  <c r="H49" i="3" s="1"/>
  <c r="B58" i="1"/>
  <c r="F56" i="2"/>
  <c r="H56" i="2" s="1"/>
  <c r="I56" i="2" s="1"/>
  <c r="G52" i="3"/>
  <c r="H52" i="3" s="1"/>
  <c r="F71" i="2"/>
  <c r="H71" i="2" s="1"/>
  <c r="I71" i="2" s="1"/>
  <c r="G67" i="3"/>
  <c r="H67" i="3" s="1"/>
  <c r="F70" i="2"/>
  <c r="H70" i="2" s="1"/>
  <c r="I70" i="2" s="1"/>
  <c r="G66" i="3"/>
  <c r="H66" i="3" s="1"/>
  <c r="F68" i="2"/>
  <c r="H68" i="2" s="1"/>
  <c r="I68" i="2" s="1"/>
  <c r="G64" i="3"/>
  <c r="H64" i="3" s="1"/>
  <c r="F69" i="2"/>
  <c r="H69" i="2" s="1"/>
  <c r="I69" i="2" s="1"/>
  <c r="G65" i="3"/>
  <c r="H65" i="3" s="1"/>
  <c r="E36" i="1"/>
  <c r="F36" i="1"/>
  <c r="F54" i="2"/>
  <c r="H54" i="2" s="1"/>
  <c r="I54" i="2" s="1"/>
  <c r="G50" i="3"/>
  <c r="H50" i="3" s="1"/>
  <c r="F62" i="2"/>
  <c r="H62" i="2" s="1"/>
  <c r="I62" i="2" s="1"/>
  <c r="G58" i="3"/>
  <c r="H58" i="3" s="1"/>
  <c r="F55" i="2"/>
  <c r="H55" i="2" s="1"/>
  <c r="I55" i="2" s="1"/>
  <c r="G51" i="3"/>
  <c r="H51" i="3" s="1"/>
  <c r="C59" i="1" l="1"/>
  <c r="D59" i="1" s="1"/>
  <c r="C58" i="1"/>
  <c r="D58" i="1" s="1"/>
  <c r="C60" i="1"/>
  <c r="D60" i="1" s="1"/>
  <c r="F40" i="1"/>
  <c r="F41" i="1"/>
  <c r="F39" i="1"/>
  <c r="F38" i="1"/>
  <c r="E38" i="1"/>
  <c r="E41" i="1"/>
  <c r="E40" i="1"/>
  <c r="E39" i="1"/>
  <c r="H38" i="1" l="1"/>
  <c r="H39" i="1"/>
  <c r="H40" i="1"/>
  <c r="H41" i="1"/>
  <c r="H59" i="1"/>
  <c r="F59" i="1"/>
  <c r="G59" i="1" s="1"/>
  <c r="H58" i="1"/>
  <c r="F60" i="1"/>
  <c r="G60" i="1" s="1"/>
  <c r="F61" i="1"/>
  <c r="G61" i="1" s="1"/>
  <c r="H60" i="1"/>
  <c r="J61" i="1" s="1"/>
  <c r="K61" i="1" s="1"/>
  <c r="D47" i="1"/>
  <c r="D49" i="1"/>
  <c r="D48" i="1"/>
  <c r="D50" i="1"/>
  <c r="J59" i="1" l="1"/>
  <c r="K59" i="1" s="1"/>
  <c r="J60" i="1"/>
  <c r="K60" i="1" s="1"/>
  <c r="D79" i="1"/>
  <c r="F50" i="1"/>
  <c r="D72" i="1"/>
  <c r="E50" i="1"/>
  <c r="E72" i="1" s="1"/>
  <c r="F48" i="1"/>
  <c r="E48" i="1"/>
  <c r="E70" i="1" s="1"/>
  <c r="D70" i="1"/>
  <c r="D77" i="1"/>
  <c r="D71" i="1"/>
  <c r="E49" i="1"/>
  <c r="E71" i="1" s="1"/>
  <c r="F71" i="1" s="1"/>
  <c r="G71" i="1" s="1"/>
  <c r="F49" i="1"/>
  <c r="D78" i="1"/>
  <c r="D76" i="1"/>
  <c r="F47" i="1"/>
  <c r="D69" i="1"/>
  <c r="E47" i="1"/>
  <c r="F70" i="1" l="1"/>
  <c r="G70" i="1" s="1"/>
  <c r="F72" i="1"/>
  <c r="G72" i="1" s="1"/>
  <c r="E69" i="1"/>
  <c r="F69" i="1" s="1"/>
  <c r="G69" i="1" s="1"/>
  <c r="H50" i="1"/>
  <c r="H49" i="1"/>
  <c r="H47" i="1"/>
  <c r="H48" i="1"/>
  <c r="G49" i="1"/>
  <c r="E78" i="1"/>
  <c r="F78" i="1" s="1"/>
  <c r="G78" i="1" s="1"/>
  <c r="I47" i="1"/>
  <c r="I49" i="1"/>
  <c r="G47" i="1"/>
  <c r="I50" i="1"/>
  <c r="E76" i="1"/>
  <c r="F76" i="1" s="1"/>
  <c r="G76" i="1" s="1"/>
  <c r="I48" i="1"/>
  <c r="G50" i="1"/>
  <c r="E79" i="1"/>
  <c r="F79" i="1" s="1"/>
  <c r="G79" i="1" s="1"/>
  <c r="G48" i="1"/>
  <c r="E77" i="1"/>
  <c r="F77" i="1" s="1"/>
  <c r="G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tc={04813A54-469C-44E7-8503-233537D0799A}</author>
  </authors>
  <commentList>
    <comment ref="E50" authorId="0" shapeId="0" xr:uid="{04813A54-469C-44E7-8503-233537D0799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Area di influenza del pilastro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tc={51EFA6F9-310D-4FA9-9D4B-E8BBC7101069}</author>
  </authors>
  <commentList>
    <comment ref="D46" authorId="0" shapeId="0" xr:uid="{51EFA6F9-310D-4FA9-9D4B-E8BBC710106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Area di influenza del pilastro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tc={7167B10D-D28C-4561-B13C-B40C6A160899}</author>
  </authors>
  <commentList>
    <comment ref="D47" authorId="0" shapeId="0" xr:uid="{7167B10D-D28C-4561-B13C-B40C6A16089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Area di influenza del pilastro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tc={7FD2F746-39E5-4354-8346-47174F623804}</author>
  </authors>
  <commentList>
    <comment ref="D46" authorId="0" shapeId="0" xr:uid="{7FD2F746-39E5-4354-8346-47174F62380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Area di influenza del pilastro</t>
      </text>
    </comment>
  </commentList>
</comments>
</file>

<file path=xl/sharedStrings.xml><?xml version="1.0" encoding="utf-8"?>
<sst xmlns="http://schemas.openxmlformats.org/spreadsheetml/2006/main" count="485" uniqueCount="128">
  <si>
    <t>PIANO</t>
  </si>
  <si>
    <t>n.P</t>
  </si>
  <si>
    <t>mm^4</t>
  </si>
  <si>
    <t>PIANO 1</t>
  </si>
  <si>
    <t>$b_x$</t>
  </si>
  <si>
    <t>$b_y$</t>
  </si>
  <si>
    <t>$x_i$</t>
  </si>
  <si>
    <t>$y_i$</t>
  </si>
  <si>
    <t>mm</t>
  </si>
  <si>
    <t>m</t>
  </si>
  <si>
    <t>$J_x$</t>
  </si>
  <si>
    <t>$J_y$</t>
  </si>
  <si>
    <t>N/mm^2</t>
  </si>
  <si>
    <t>PIANI</t>
  </si>
  <si>
    <t>W.solaio</t>
  </si>
  <si>
    <t>W.tramezzi esterni</t>
  </si>
  <si>
    <t>W.travi</t>
  </si>
  <si>
    <t>W.pilastri</t>
  </si>
  <si>
    <t>$W_{i}$</t>
  </si>
  <si>
    <t>N.p</t>
  </si>
  <si>
    <t>[KN]</t>
  </si>
  <si>
    <t>$\sum{W_{tot}}$</t>
  </si>
  <si>
    <t>KN</t>
  </si>
  <si>
    <t>Livello</t>
  </si>
  <si>
    <t>zi [m]</t>
  </si>
  <si>
    <t>Wi [KN]</t>
  </si>
  <si>
    <t>$Wi\cdot zi$ [KNm]</t>
  </si>
  <si>
    <t>P1</t>
  </si>
  <si>
    <t>P2</t>
  </si>
  <si>
    <t>P3</t>
  </si>
  <si>
    <t>P4</t>
  </si>
  <si>
    <t>Se(SLV)</t>
  </si>
  <si>
    <t>$E_{cm}$</t>
  </si>
  <si>
    <t>DATI</t>
  </si>
  <si>
    <t>$k_x$</t>
  </si>
  <si>
    <t>$k_y$</t>
  </si>
  <si>
    <t xml:space="preserve">h </t>
  </si>
  <si>
    <t>mm/N</t>
  </si>
  <si>
    <t>$\sum{k_x}$</t>
  </si>
  <si>
    <t>$\sum{k_y}$</t>
  </si>
  <si>
    <t>$\sum{F_i}$</t>
  </si>
  <si>
    <t>$\delta_x$</t>
  </si>
  <si>
    <t>$\delta_y$</t>
  </si>
  <si>
    <t>$w_y$</t>
  </si>
  <si>
    <t>$w_x$</t>
  </si>
  <si>
    <t>$\k_x_i\cdot x_i$</t>
  </si>
  <si>
    <t>$\k_y_i\cdot y_i$</t>
  </si>
  <si>
    <t>mm^2/N</t>
  </si>
  <si>
    <t>N</t>
  </si>
  <si>
    <t>$X_G$</t>
  </si>
  <si>
    <t>$Y_G$</t>
  </si>
  <si>
    <t>mm*m/N</t>
  </si>
  <si>
    <t>$Yk$</t>
  </si>
  <si>
    <t>$Xk$</t>
  </si>
  <si>
    <t>KN/mm^2</t>
  </si>
  <si>
    <t>$A_i$</t>
  </si>
  <si>
    <t>m^2</t>
  </si>
  <si>
    <t>$N_{ED}$</t>
  </si>
  <si>
    <t>PESO TOT. TRAVI</t>
  </si>
  <si>
    <t>AREA FABBR.</t>
  </si>
  <si>
    <t>peso travi al m^2</t>
  </si>
  <si>
    <t>$N_{RD}$</t>
  </si>
  <si>
    <t>fcd</t>
  </si>
  <si>
    <t>fyd</t>
  </si>
  <si>
    <t>N/mm^3</t>
  </si>
  <si>
    <t>PIANO 2</t>
  </si>
  <si>
    <t>PIANO 3</t>
  </si>
  <si>
    <t>PIANO 4</t>
  </si>
  <si>
    <t>N.P</t>
  </si>
  <si>
    <t>dr [mm]</t>
  </si>
  <si>
    <t>$N_{ED}/N_{RD}$</t>
  </si>
  <si>
    <t>-</t>
  </si>
  <si>
    <t>PESO  TRAMEZZI esterni</t>
  </si>
  <si>
    <t>Are comp. Tramezzi esterni</t>
  </si>
  <si>
    <t>CD"B"</t>
  </si>
  <si>
    <t>q(SLV)</t>
  </si>
  <si>
    <t>q(SLD)</t>
  </si>
  <si>
    <t>g</t>
  </si>
  <si>
    <t>q_{FOND.}</t>
  </si>
  <si>
    <t>CENTRO DI RIGIDEZZA</t>
  </si>
  <si>
    <t>VERIFICA A SFORZO NORMALE [7.4.4.2.2.1]</t>
  </si>
  <si>
    <t>VERIFICA SPOSTAMENTI LATERALI [7.3.7.2]</t>
  </si>
  <si>
    <t>C30/37</t>
  </si>
  <si>
    <t>ANALISI STATICA LINEARE [7.3.3.2]</t>
  </si>
  <si>
    <t>PESI SISMICI</t>
  </si>
  <si>
    <t>$M=W/g$</t>
  </si>
  <si>
    <t>[t]</t>
  </si>
  <si>
    <t>Riduzione</t>
  </si>
  <si>
    <t>[\%]</t>
  </si>
  <si>
    <t>VARIAZIONE DELLA DISTRIBUZIONE IN ELEVAZIONE DELLE MASSE [7.2.2]</t>
  </si>
  <si>
    <t>VERIFICA VARIAZIONE DELLA DISTRIBUZIONE IN ELEVAZIONE DELLE RIGIDEZZE IN DIREZIONE X E Y [7.2.2]</t>
  </si>
  <si>
    <t>Fh [KN]</t>
  </si>
  <si>
    <t>${F_i}$</t>
  </si>
  <si>
    <t>DIR. X</t>
  </si>
  <si>
    <t>Rid.</t>
  </si>
  <si>
    <t>DIR. Y</t>
  </si>
  <si>
    <t>VERIFICA DEL $\theta$ [7.3.1]</t>
  </si>
  <si>
    <t>h</t>
  </si>
  <si>
    <t>[m]</t>
  </si>
  <si>
    <t>P</t>
  </si>
  <si>
    <t>Fh (SLV)/q=3,12 [KN]</t>
  </si>
  <si>
    <t>Fh (SLD)/q=1,5 [KN]</t>
  </si>
  <si>
    <t>$F_i \;(SLV)$</t>
  </si>
  <si>
    <t>$F_i \; (SLD)$</t>
  </si>
  <si>
    <t>Vx</t>
  </si>
  <si>
    <t>dr</t>
  </si>
  <si>
    <t>[mm]</t>
  </si>
  <si>
    <t>$\theta$</t>
  </si>
  <si>
    <t>VERIFICA IN DIREZIONE X</t>
  </si>
  <si>
    <t>VERIFICA IN DIREZIONE Y</t>
  </si>
  <si>
    <t>[%]</t>
  </si>
  <si>
    <t>\$alpha$</t>
  </si>
  <si>
    <t xml:space="preserve">ANALISI DINAMICA LINEARE </t>
  </si>
  <si>
    <t>Fi [KN]</t>
  </si>
  <si>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>Fi [KN]</t>
    </r>
  </si>
  <si>
    <t>direzione Y (T = 0.61)</t>
  </si>
  <si>
    <t>direzione X (T = 0.72)</t>
  </si>
  <si>
    <t>Fh (SLV)/3,12 [KN]</t>
  </si>
  <si>
    <t>Wi* zi [KNm]</t>
  </si>
  <si>
    <t>F_i  [KN]</t>
  </si>
  <si>
    <t>Telaio Principale</t>
  </si>
  <si>
    <t>Telaio Secondario</t>
  </si>
  <si>
    <r>
      <t>δ</t>
    </r>
    <r>
      <rPr>
        <sz val="9.35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[mm]</t>
    </r>
  </si>
  <si>
    <t>Ki [N/mm]</t>
  </si>
  <si>
    <t>spost. int.</t>
  </si>
  <si>
    <r>
      <t>0,15*K</t>
    </r>
    <r>
      <rPr>
        <vertAlign val="subscript"/>
        <sz val="11"/>
        <color theme="1"/>
        <rFont val="Calibri"/>
        <family val="2"/>
        <scheme val="minor"/>
      </rPr>
      <t>i,principale</t>
    </r>
  </si>
  <si>
    <r>
      <rPr>
        <sz val="11"/>
        <color theme="1"/>
        <rFont val="Calibri"/>
        <family val="2"/>
      </rPr>
      <t>Taglio di piano</t>
    </r>
    <r>
      <rPr>
        <sz val="11"/>
        <color theme="1"/>
        <rFont val="Calibri"/>
        <family val="2"/>
        <scheme val="minor"/>
      </rPr>
      <t xml:space="preserve"> [KN]</t>
    </r>
  </si>
  <si>
    <t>&lt; 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</si>
</sst>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applyAlignment="1"/>
    <xf numFmtId="0" fontId="0" fillId="4" borderId="1" xfId="0" applyFill="1" applyBorder="1" applyAlignment="1">
      <alignment horizontal="center"/>
    </xf>
    <xf numFmtId="0" fontId="0" fillId="0" borderId="0" xfId="0" applyFill="1" applyBorder="1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e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ANALISI STATICA LINEARE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DIREZIONE X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(SAP)'!$B$42:$B$45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(SAP)'!$E$42:$E$45</c:f>
              <c:numCache>
                <c:formatCode>0</c:formatCode>
                <c:ptCount val="4"/>
                <c:pt idx="0">
                  <c:v>104.00131266563517</c:v>
                </c:pt>
                <c:pt idx="1">
                  <c:v>208.00262533127034</c:v>
                </c:pt>
                <c:pt idx="2">
                  <c:v>312.00393799690551</c:v>
                </c:pt>
                <c:pt idx="3">
                  <c:v>317.83454750618876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4-4B93-BA9C-908BF6C2D904}"/>
            </c:ext>
          </c:extLst>
        </c:ser>
        <c:ser>
          <c:idx val="1"/>
          <c:order val="1"/>
          <c:tx>
            <c:v>DIREZIONE Y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'VERIFICHE GENERALI (SAP)'!$F$42:$F$45</c:f>
              <c:numCache>
                <c:formatCode>0</c:formatCode>
                <c:ptCount val="4"/>
                <c:pt idx="0">
                  <c:v>123.76156207210587</c:v>
                </c:pt>
                <c:pt idx="1">
                  <c:v>247.52312414421175</c:v>
                </c:pt>
                <c:pt idx="2">
                  <c:v>371.28468621631765</c:v>
                </c:pt>
                <c:pt idx="3">
                  <c:v>378.22311153236473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4-4B93-BA9C-908BF6C2D9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2487376"/>
        <c:axId val="1085492624"/>
      </c:barChart>
      <c:catAx>
        <c:axId val="132248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5492624"/>
        <c:crosses val="autoZero"/>
        <c:auto val="1"/>
        <c:lblAlgn val="ctr"/>
        <c:lblOffset val="100"/>
        <c:noMultiLvlLbl val="0"/>
      </c:catAx>
      <c:valAx>
        <c:axId val="10854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248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ANALISI DINAMICA LINEARE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DIREZIONE X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(SAP)'!$B$42:$B$45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(SAP)'!$C$53:$C$56</c:f>
              <c:numCache>
                <c:formatCode>0</c:formatCode>
                <c:ptCount val="4"/>
                <c:pt idx="0">
                  <c:v>107.67060000000015</c:v>
                </c:pt>
                <c:pt idx="1">
                  <c:v>192.94339999999988</c:v>
                </c:pt>
                <c:pt idx="2">
                  <c:v>276.39660000000003</c:v>
                </c:pt>
                <c:pt idx="3">
                  <c:v>332.91399999999999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D-4599-AED5-2959D31D4325}"/>
            </c:ext>
          </c:extLst>
        </c:ser>
        <c:ser>
          <c:idx val="1"/>
          <c:order val="1"/>
          <c:tx>
            <c:v>DIREZIONE Y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'VERIFICHE GENERALI (SAP)'!$D$53:$D$56</c:f>
              <c:numCache>
                <c:formatCode>0</c:formatCode>
                <c:ptCount val="4"/>
                <c:pt idx="0">
                  <c:v>117.29999999999995</c:v>
                </c:pt>
                <c:pt idx="1">
                  <c:v>222.80000000000007</c:v>
                </c:pt>
                <c:pt idx="2">
                  <c:v>324.24999999999989</c:v>
                </c:pt>
                <c:pt idx="3">
                  <c:v>350.20000000000005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D-4599-AED5-2959D31D43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2487376"/>
        <c:axId val="1085492624"/>
      </c:barChart>
      <c:catAx>
        <c:axId val="132248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z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5492624"/>
        <c:crosses val="autoZero"/>
        <c:auto val="1"/>
        <c:lblAlgn val="ctr"/>
        <c:lblOffset val="100"/>
        <c:noMultiLvlLbl val="0"/>
      </c:catAx>
      <c:valAx>
        <c:axId val="10854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248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ANALISI STATICA LINEARE VS ANALISI DINAMICA LINEARE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STATICA X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(SAP)'!$B$53:$B$56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(SAP)'!$E$42:$E$45</c:f>
              <c:numCache>
                <c:formatCode>0</c:formatCode>
                <c:ptCount val="4"/>
                <c:pt idx="0">
                  <c:v>104.00131266563517</c:v>
                </c:pt>
                <c:pt idx="1">
                  <c:v>208.00262533127034</c:v>
                </c:pt>
                <c:pt idx="2">
                  <c:v>312.00393799690551</c:v>
                </c:pt>
                <c:pt idx="3">
                  <c:v>317.83454750618876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E-466E-B24C-7A32EF296A20}"/>
            </c:ext>
          </c:extLst>
        </c:ser>
        <c:ser>
          <c:idx val="2"/>
          <c:order val="1"/>
          <c:tx>
            <c:v>DINAMICA X</c:v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(SAP)'!$B$53:$B$56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(SAP)'!$C$53:$C$56</c:f>
              <c:numCache>
                <c:formatCode>0</c:formatCode>
                <c:ptCount val="4"/>
                <c:pt idx="0">
                  <c:v>107.67060000000015</c:v>
                </c:pt>
                <c:pt idx="1">
                  <c:v>192.94339999999988</c:v>
                </c:pt>
                <c:pt idx="2">
                  <c:v>276.39660000000003</c:v>
                </c:pt>
                <c:pt idx="3">
                  <c:v>332.91399999999999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5E-466E-B24C-7A32EF296A20}"/>
            </c:ext>
          </c:extLst>
        </c:ser>
        <c:ser>
          <c:idx val="1"/>
          <c:order val="2"/>
          <c:tx>
            <c:v>STATICA Y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(SAP)'!$B$53:$B$56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(SAP)'!$F$42:$F$45</c:f>
              <c:numCache>
                <c:formatCode>0</c:formatCode>
                <c:ptCount val="4"/>
                <c:pt idx="0">
                  <c:v>123.76156207210587</c:v>
                </c:pt>
                <c:pt idx="1">
                  <c:v>247.52312414421175</c:v>
                </c:pt>
                <c:pt idx="2">
                  <c:v>371.28468621631765</c:v>
                </c:pt>
                <c:pt idx="3">
                  <c:v>378.22311153236473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E-466E-B24C-7A32EF296A20}"/>
            </c:ext>
          </c:extLst>
        </c:ser>
        <c:ser>
          <c:idx val="3"/>
          <c:order val="3"/>
          <c:tx>
            <c:v>DINAMICA Y</c:v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'VERIFICHE GENERALI (SAP)'!$B$53:$B$56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(SAP)'!$D$53:$D$56</c:f>
              <c:numCache>
                <c:formatCode>0</c:formatCode>
                <c:ptCount val="4"/>
                <c:pt idx="0">
                  <c:v>117.29999999999995</c:v>
                </c:pt>
                <c:pt idx="1">
                  <c:v>222.80000000000007</c:v>
                </c:pt>
                <c:pt idx="2">
                  <c:v>324.24999999999989</c:v>
                </c:pt>
                <c:pt idx="3">
                  <c:v>350.20000000000005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5E-466E-B24C-7A32EF296A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2355504"/>
        <c:axId val="562898496"/>
      </c:barChart>
      <c:catAx>
        <c:axId val="56235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Z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898496"/>
        <c:crosses val="autoZero"/>
        <c:auto val="1"/>
        <c:lblAlgn val="ctr"/>
        <c:lblOffset val="100"/>
        <c:noMultiLvlLbl val="0"/>
      </c:catAx>
      <c:valAx>
        <c:axId val="5628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35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rigidezze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Rigidezza telaio principale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'VERIFICHE GENERALI (SAP)'!$B$62:$B$65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(SAP)'!$F$62:$F$65</c:f>
              <c:numCache>
                <c:formatCode>0.0</c:formatCode>
                <c:ptCount val="4"/>
                <c:pt idx="0">
                  <c:v>148469.63562753034</c:v>
                </c:pt>
                <c:pt idx="1">
                  <c:v>86125.233450923435</c:v>
                </c:pt>
                <c:pt idx="2">
                  <c:v>73003.667337040097</c:v>
                </c:pt>
                <c:pt idx="3">
                  <c:v>65550.993865983401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5-48D3-A5DA-EC90B91856C4}"/>
            </c:ext>
          </c:extLst>
        </c:ser>
        <c:ser>
          <c:idx val="1"/>
          <c:order val="1"/>
          <c:tx>
            <c:v>Rigidezza telaio secondario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'VERIFICHE GENERALI (SAP)'!$B$62:$B$65</c:f>
              <c:numCache>
                <c:formatCode>0.00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'VERIFICHE GENERALI (SAP)'!$G$62:$G$65</c:f>
              <c:numCache>
                <c:formatCode>0.0</c:formatCode>
                <c:ptCount val="4"/>
                <c:pt idx="0">
                  <c:v>21457.489878542507</c:v>
                </c:pt>
                <c:pt idx="1">
                  <c:v>10824.933457295843</c:v>
                </c:pt>
                <c:pt idx="2">
                  <c:v>9718.4625932010622</c:v>
                </c:pt>
                <c:pt idx="3">
                  <c:v>9380.314088635927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5-48D3-A5DA-EC90B9185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705007"/>
        <c:axId val="1722672143"/>
      </c:barChart>
      <c:catAx>
        <c:axId val="16487050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2672143"/>
        <c:crosses val="autoZero"/>
        <c:auto val="1"/>
        <c:lblAlgn val="ctr"/>
        <c:lblOffset val="100"/>
        <c:noMultiLvlLbl val="0"/>
      </c:catAx>
      <c:valAx>
        <c:axId val="172267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870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993535811864"/>
          <c:y val="0.10619280756989012"/>
          <c:w val="0.843587327274259"/>
          <c:h val="0.69467855245001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473F1EB-A72D-4522-8F2C-27598F18EE6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D65-4CDB-B220-FED3A60A77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D69A92-EB43-4161-86F0-F72A76B004D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D65-4CDB-B220-FED3A60A77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37D9B55-05B1-4693-91F9-2877F4E7CB5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D65-4CDB-B220-FED3A60A77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425ECC8-45EC-4197-A613-66FC57F8D555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D65-4CDB-B220-FED3A60A77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300C99-1D57-4733-B44E-E566F4A98B4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D65-4CDB-B220-FED3A60A77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420DC7-8D79-426B-85FF-435F5BEA94D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D65-4CDB-B220-FED3A60A77D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90FBFB-08D4-4295-A145-3B69486C8D09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D65-4CDB-B220-FED3A60A77D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2157BB-D04C-4726-AF5F-D8212C30C6BD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D65-4CDB-B220-FED3A60A77D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743DF6-1581-4AD1-8066-BC4DEC608B5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D65-4CDB-B220-FED3A60A77D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14BCBE8-9A0B-4C3C-8F23-1374C4662AC3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D65-4CDB-B220-FED3A60A77D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74F750D-D24C-4C9B-BD46-E00333DBC85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D65-4CDB-B220-FED3A60A77D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24EFB9-4DF9-4F4F-A5D7-D1C40D62B31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D65-4CDB-B220-FED3A60A77D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699E430-4990-4780-B75B-5BB65B559B4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D65-4CDB-B220-FED3A60A77D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CD5A967-FEBD-4DCB-B249-FFBEC2DCDCBC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D65-4CDB-B220-FED3A60A77D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4A7E8A8-9092-484A-A550-A3A8BF1156B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D65-4CDB-B220-FED3A60A77D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830857B-9B21-4638-885E-A139025F0A9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D65-4CDB-B220-FED3A60A77D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668436B-E69C-4FD9-B522-FC50AE313F0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D65-4CDB-B220-FED3A60A77D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25806DD-344F-4FF5-89D8-DF3221D25AB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D65-4CDB-B220-FED3A60A77D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90675D-B620-4086-84C5-C6B97657D256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D65-4CDB-B220-FED3A60A77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7E2E34A-B453-4E96-827E-DAB4468EBB91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D65-4CDB-B220-FED3A60A77D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'PIANO 1'!$D$5:$D$24</c:f>
              <c:numCache>
                <c:formatCode>0.00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13.5</c:v>
                </c:pt>
                <c:pt idx="4">
                  <c:v>17.5</c:v>
                </c:pt>
                <c:pt idx="5">
                  <c:v>0</c:v>
                </c:pt>
                <c:pt idx="6">
                  <c:v>4</c:v>
                </c:pt>
                <c:pt idx="7">
                  <c:v>8</c:v>
                </c:pt>
                <c:pt idx="8">
                  <c:v>13.5</c:v>
                </c:pt>
                <c:pt idx="9">
                  <c:v>17.5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13.5</c:v>
                </c:pt>
                <c:pt idx="14">
                  <c:v>17.5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13.5</c:v>
                </c:pt>
                <c:pt idx="19">
                  <c:v>17.5</c:v>
                </c:pt>
              </c:numCache>
            </c:numRef>
          </c:xVal>
          <c:yVal>
            <c:numRef>
              <c:f>'PIANO 1'!$E$5:$E$24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'PIANO 1'!$A$5:$A$24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65-4CDB-B220-FED3A60A77D6}"/>
            </c:ext>
          </c:extLst>
        </c:ser>
        <c:ser>
          <c:idx val="1"/>
          <c:order val="1"/>
          <c:tx>
            <c:v>C.K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6454392611133145"/>
                  <c:y val="-4.0389456125760684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65-4CDB-B220-FED3A60A77D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1'!$L$5</c:f>
              <c:numCache>
                <c:formatCode>0.00</c:formatCode>
                <c:ptCount val="1"/>
                <c:pt idx="0">
                  <c:v>8.6</c:v>
                </c:pt>
              </c:numCache>
            </c:numRef>
          </c:xVal>
          <c:yVal>
            <c:numRef>
              <c:f>'PIANO 1'!$M$5</c:f>
              <c:numCache>
                <c:formatCode>0.00</c:formatCode>
                <c:ptCount val="1"/>
                <c:pt idx="0">
                  <c:v>6.7499999999999991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65-4CDB-B220-FED3A60A77D6}"/>
            </c:ext>
          </c:extLst>
        </c:ser>
        <c:ser>
          <c:idx val="2"/>
          <c:order val="2"/>
          <c:tx>
            <c:v>C.M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6627698983248956E-2"/>
                  <c:y val="-4.375524413624074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69-4C4E-AF09-527F205BA6E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1'!$L$8</c:f>
              <c:numCache>
                <c:formatCode>0.00</c:formatCode>
                <c:ptCount val="1"/>
                <c:pt idx="0">
                  <c:v>8.75</c:v>
                </c:pt>
              </c:numCache>
            </c:numRef>
          </c:xVal>
          <c:yVal>
            <c:numRef>
              <c:f>'PIANO 1'!$M$8</c:f>
              <c:numCache>
                <c:formatCode>0.00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9-4C4E-AF09-527F205B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99087"/>
        <c:axId val="1507448383"/>
      </c:scatterChart>
      <c:valAx>
        <c:axId val="999899087"/>
        <c:scaling>
          <c:orientation val="minMax"/>
          <c:max val="17.5"/>
          <c:min val="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448383"/>
        <c:crosses val="autoZero"/>
        <c:crossBetween val="midCat"/>
      </c:valAx>
      <c:valAx>
        <c:axId val="1507448383"/>
        <c:scaling>
          <c:orientation val="minMax"/>
          <c:max val="13.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89908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810997071698796E-2"/>
          <c:y val="9.0552538680416961E-2"/>
          <c:w val="0.8622263821555981"/>
          <c:h val="0.7728798968973770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E941490-BEF9-4950-AD5B-19725A1172D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7AF-4F28-ABA5-1CAA5B8A1D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1EBCF0-30E8-48D9-A272-D3A5082FA01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7AF-4F28-ABA5-1CAA5B8A1D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F02763-855C-4FEB-9208-593EE1906B5A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7AF-4F28-ABA5-1CAA5B8A1D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10425D-1F80-4CB6-9459-590DB98324C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7AF-4F28-ABA5-1CAA5B8A1D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AAA34C-349F-4461-BEFC-22AA2F450291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7AF-4F28-ABA5-1CAA5B8A1D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C61E3E-BCE7-4537-8D96-61E9E474F15C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7AF-4F28-ABA5-1CAA5B8A1DA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C4E1DC-FBC0-415C-9B1B-93EBC79868E4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7AF-4F28-ABA5-1CAA5B8A1DA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2C84972-EC4C-4EE5-A915-0F3FD4656B54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7AF-4F28-ABA5-1CAA5B8A1DA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1A5117C-FB08-4898-B212-C36E7ADB36EB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7AF-4F28-ABA5-1CAA5B8A1DA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BFE6EC-370B-4AE5-A40E-A86C6DFE2D06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7AF-4F28-ABA5-1CAA5B8A1DA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C7AB587-DA03-4596-874F-65ECD64A8AE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7AF-4F28-ABA5-1CAA5B8A1DA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912CDD-B6F5-457B-8A0B-6656751F6C2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7AF-4F28-ABA5-1CAA5B8A1DA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216370-1472-46F0-9C45-29E2D6AD5D82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7AF-4F28-ABA5-1CAA5B8A1DA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E17D18-BE59-4FF3-B55F-26D4D8FB2CB6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7AF-4F28-ABA5-1CAA5B8A1DA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E2E312-CFCC-40F8-9C73-A97D27742BC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7AF-4F28-ABA5-1CAA5B8A1DA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7F11656-CAE4-4EC3-BD56-96ECF4E025F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7AF-4F28-ABA5-1CAA5B8A1DA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84D595D-F7D8-452C-B87A-F7F003C65AA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7AF-4F28-ABA5-1CAA5B8A1DA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DC45F1A-6D7D-480E-8E8A-933CAA381EC3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7AF-4F28-ABA5-1CAA5B8A1DA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E228E7B-2387-4DF0-99BB-A6149401E3E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7AF-4F28-ABA5-1CAA5B8A1DA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D924EF1-A521-49E1-AE4F-BD3FDBCC4472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7AF-4F28-ABA5-1CAA5B8A1DA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'PIANO 2'!$D$5:$D$24</c:f>
              <c:numCache>
                <c:formatCode>0.00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13.5</c:v>
                </c:pt>
                <c:pt idx="4">
                  <c:v>17.5</c:v>
                </c:pt>
                <c:pt idx="5">
                  <c:v>0</c:v>
                </c:pt>
                <c:pt idx="6">
                  <c:v>4</c:v>
                </c:pt>
                <c:pt idx="7">
                  <c:v>8</c:v>
                </c:pt>
                <c:pt idx="8">
                  <c:v>13.5</c:v>
                </c:pt>
                <c:pt idx="9">
                  <c:v>17.5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13.5</c:v>
                </c:pt>
                <c:pt idx="14">
                  <c:v>17.5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13.5</c:v>
                </c:pt>
                <c:pt idx="19">
                  <c:v>17.5</c:v>
                </c:pt>
              </c:numCache>
            </c:numRef>
          </c:xVal>
          <c:yVal>
            <c:numRef>
              <c:f>'PIANO 2'!$E$5:$E$24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'PIANO 2'!$A$5:$A$24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7AF-4F28-ABA5-1CAA5B8A1DA5}"/>
            </c:ext>
          </c:extLst>
        </c:ser>
        <c:ser>
          <c:idx val="1"/>
          <c:order val="1"/>
          <c:tx>
            <c:v>C.K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20036903713156368"/>
                  <c:y val="-2.3460403334209835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7AF-4F28-ABA5-1CAA5B8A1DA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2'!$L$5</c:f>
              <c:numCache>
                <c:formatCode>0.00</c:formatCode>
                <c:ptCount val="1"/>
                <c:pt idx="0">
                  <c:v>8.6000000000000014</c:v>
                </c:pt>
              </c:numCache>
            </c:numRef>
          </c:xVal>
          <c:yVal>
            <c:numRef>
              <c:f>'PIANO 2'!$M$5</c:f>
              <c:numCache>
                <c:formatCode>0.00</c:formatCode>
                <c:ptCount val="1"/>
                <c:pt idx="0">
                  <c:v>6.7499999999999991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AF-4F28-ABA5-1CAA5B8A1DA5}"/>
            </c:ext>
          </c:extLst>
        </c:ser>
        <c:ser>
          <c:idx val="2"/>
          <c:order val="2"/>
          <c:tx>
            <c:v>C.M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3280169645650634E-2"/>
                  <c:y val="-3.9100672223683013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7AF-4F28-ABA5-1CAA5B8A1DA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2'!$L$8</c:f>
              <c:numCache>
                <c:formatCode>0.00</c:formatCode>
                <c:ptCount val="1"/>
                <c:pt idx="0">
                  <c:v>8.75</c:v>
                </c:pt>
              </c:numCache>
            </c:numRef>
          </c:xVal>
          <c:yVal>
            <c:numRef>
              <c:f>'PIANO 2'!$M$8</c:f>
              <c:numCache>
                <c:formatCode>0.00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7AF-4F28-ABA5-1CAA5B8A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99087"/>
        <c:axId val="1507448383"/>
      </c:scatterChart>
      <c:valAx>
        <c:axId val="999899087"/>
        <c:scaling>
          <c:orientation val="minMax"/>
          <c:max val="17.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448383"/>
        <c:crosses val="autoZero"/>
        <c:crossBetween val="midCat"/>
      </c:valAx>
      <c:valAx>
        <c:axId val="1507448383"/>
        <c:scaling>
          <c:orientation val="minMax"/>
          <c:max val="13.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89908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5722310356111"/>
          <c:y val="9.1078553061222672E-2"/>
          <c:w val="0.843587327274259"/>
          <c:h val="0.7494194935631672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F58FD26-17ED-4637-9A57-01DC24F9328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3DD-4D87-8660-21EEEAB33E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72E97B-35DB-479E-A743-934838B96613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3DD-4D87-8660-21EEEAB33E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450D1C-1395-4FBB-94B7-350BFFFDC32D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DD-4D87-8660-21EEEAB33E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12CF18-D829-4E85-BA20-1B88C8655E4A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3DD-4D87-8660-21EEEAB33E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A0E3B5-6E07-4D5A-AF4B-EF7F9E3B4D4D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DD-4D87-8660-21EEEAB33E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52C6549-785E-4026-A232-74DD9DE61041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3DD-4D87-8660-21EEEAB33E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2980C7-38A0-46FD-BC75-12000FC3BC4C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DD-4D87-8660-21EEEAB33E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5DAF73D-DB50-48F4-BF4D-CB5344E26A05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3DD-4D87-8660-21EEEAB33E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28E4BC1-B4E8-4B6E-8355-5697FBE72401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DD-4D87-8660-21EEEAB33E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76E07EA-E55C-465C-BB1C-09C523646E0D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3DD-4D87-8660-21EEEAB33E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DC313A-BEDF-41FC-8279-C1F6D72EDE6B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DD-4D87-8660-21EEEAB33E3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D3074E-11E0-4829-8818-EF4327AD8A5A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3DD-4D87-8660-21EEEAB33E3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17997ED-99F4-4CF3-B657-B9D10AED9B7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DD-4D87-8660-21EEEAB33E3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575DB2-7711-4EAC-BFDC-CA131FAB9A71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3DD-4D87-8660-21EEEAB33E3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49D2085-2768-4CD0-9C3D-0C1E18C85B7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DD-4D87-8660-21EEEAB33E3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FCA116D-AB6C-4608-BAAB-CF3EEB4D826B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3DD-4D87-8660-21EEEAB33E3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F50471F-EA3C-4F98-BDA4-2FFE0B6A21F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DD-4D87-8660-21EEEAB33E3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DAB711C-81CB-4DEF-BA1C-DBEE4243E67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3DD-4D87-8660-21EEEAB33E3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F70B61C-4E6A-4D20-A878-92F6942C73A5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DD-4D87-8660-21EEEAB33E3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FDE246-0A03-4FF9-ACC9-B64630016CB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3DD-4D87-8660-21EEEAB33E3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'PIANO 3'!$D$5:$D$24</c:f>
              <c:numCache>
                <c:formatCode>0.00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13.5</c:v>
                </c:pt>
                <c:pt idx="4">
                  <c:v>17.5</c:v>
                </c:pt>
                <c:pt idx="5">
                  <c:v>0</c:v>
                </c:pt>
                <c:pt idx="6">
                  <c:v>4</c:v>
                </c:pt>
                <c:pt idx="7">
                  <c:v>8</c:v>
                </c:pt>
                <c:pt idx="8">
                  <c:v>13.5</c:v>
                </c:pt>
                <c:pt idx="9">
                  <c:v>17.5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13.5</c:v>
                </c:pt>
                <c:pt idx="14">
                  <c:v>17.5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13.5</c:v>
                </c:pt>
                <c:pt idx="19">
                  <c:v>17.5</c:v>
                </c:pt>
              </c:numCache>
            </c:numRef>
          </c:xVal>
          <c:yVal>
            <c:numRef>
              <c:f>'PIANO 3'!$E$5:$E$24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'PIANO 3'!$A$5:$A$24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3DD-4D87-8660-21EEEAB33E3D}"/>
            </c:ext>
          </c:extLst>
        </c:ser>
        <c:ser>
          <c:idx val="1"/>
          <c:order val="1"/>
          <c:tx>
            <c:v>C.K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597268195435888"/>
                  <c:y val="7.6097276286740531E-3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3DD-4D87-8660-21EEEAB33E3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3'!$L$5</c:f>
              <c:numCache>
                <c:formatCode>0.00</c:formatCode>
                <c:ptCount val="1"/>
                <c:pt idx="0">
                  <c:v>8.6</c:v>
                </c:pt>
              </c:numCache>
            </c:numRef>
          </c:xVal>
          <c:yVal>
            <c:numRef>
              <c:f>'PIANO 3'!$M$5</c:f>
              <c:numCache>
                <c:formatCode>0.00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3DD-4D87-8660-21EEEAB33E3D}"/>
            </c:ext>
          </c:extLst>
        </c:ser>
        <c:ser>
          <c:idx val="2"/>
          <c:order val="2"/>
          <c:tx>
            <c:v>C.M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9766606378972969E-2"/>
                  <c:y val="-3.8048638143370263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3DD-4D87-8660-21EEEAB33E3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3'!$L$8</c:f>
              <c:numCache>
                <c:formatCode>0.00</c:formatCode>
                <c:ptCount val="1"/>
                <c:pt idx="0">
                  <c:v>8.75</c:v>
                </c:pt>
              </c:numCache>
            </c:numRef>
          </c:xVal>
          <c:yVal>
            <c:numRef>
              <c:f>'PIANO 3'!$M$8</c:f>
              <c:numCache>
                <c:formatCode>0.00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3DD-4D87-8660-21EEEAB3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99087"/>
        <c:axId val="1507448383"/>
      </c:scatterChart>
      <c:valAx>
        <c:axId val="999899087"/>
        <c:scaling>
          <c:orientation val="minMax"/>
          <c:max val="17.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448383"/>
        <c:crosses val="autoZero"/>
        <c:crossBetween val="midCat"/>
      </c:valAx>
      <c:valAx>
        <c:axId val="1507448383"/>
        <c:scaling>
          <c:orientation val="minMax"/>
          <c:max val="13.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89908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993535811864"/>
          <c:y val="0.11792300923699503"/>
          <c:w val="0.843587327274259"/>
          <c:h val="0.7494194935631672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68800F-BBA8-47A8-B56F-257F9056C8D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F02-4970-925B-F24334F15F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73CCAD-BF75-4822-8B3C-CB369AA888F6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F02-4970-925B-F24334F15F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558E9F-E0E6-45CC-8D06-F24D26BFE18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F02-4970-925B-F24334F15F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DC68AA-7743-4870-A704-0C3C4E2BA3B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F02-4970-925B-F24334F15F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5CB599-99BC-4CA2-BFA0-BED09F698156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F02-4970-925B-F24334F15F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E1E8A2-4C85-4B23-9DA0-DE535F868EB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F02-4970-925B-F24334F15F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EB2C425-7640-48DB-9450-6F9C65E7269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F02-4970-925B-F24334F15F5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8BC3462-4353-438C-A34B-76A3BBB71507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F02-4970-925B-F24334F15F5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E43414B-BBE9-498E-909E-8E77EB88AF1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02-4970-925B-F24334F15F5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1BD1A40-2142-4718-AAEB-D9EDC987A1D4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F02-4970-925B-F24334F15F5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13E8544-10EE-4BB3-94EE-48EACB5E7464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F02-4970-925B-F24334F15F5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CF6A82A-A1EE-4A33-BAE2-F11AA9234DD5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F02-4970-925B-F24334F15F5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3A30FF8-BD3B-46B3-9858-195BB76AF16C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F02-4970-925B-F24334F15F5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7567068-D8CE-4460-ABA7-6ED2AABCD310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F02-4970-925B-F24334F15F5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4CE1A83-6656-4E69-A24D-7671A393DF53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F02-4970-925B-F24334F15F5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E2DD9DB-B4F9-4C26-BBEF-99C2F45AA07D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F02-4970-925B-F24334F15F5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20FAED2-1C91-45DD-B40F-B6FC8AECE57F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F02-4970-925B-F24334F15F5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02D2D36-67EB-4C72-AB4E-6BAEA653783E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F02-4970-925B-F24334F15F5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D327AD9-C56D-47C6-A7C3-00FA6FDD7515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F02-4970-925B-F24334F15F5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2FC0132-B18E-49CF-8527-D768CE600D07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F02-4970-925B-F24334F15F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'PIANO 4'!$D$5:$D$24</c:f>
              <c:numCache>
                <c:formatCode>0.00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13.5</c:v>
                </c:pt>
                <c:pt idx="4">
                  <c:v>17.5</c:v>
                </c:pt>
                <c:pt idx="5">
                  <c:v>0</c:v>
                </c:pt>
                <c:pt idx="6">
                  <c:v>4</c:v>
                </c:pt>
                <c:pt idx="7">
                  <c:v>8</c:v>
                </c:pt>
                <c:pt idx="8">
                  <c:v>13.5</c:v>
                </c:pt>
                <c:pt idx="9">
                  <c:v>17.5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13.5</c:v>
                </c:pt>
                <c:pt idx="14">
                  <c:v>17.5</c:v>
                </c:pt>
                <c:pt idx="15">
                  <c:v>0</c:v>
                </c:pt>
                <c:pt idx="16">
                  <c:v>4</c:v>
                </c:pt>
                <c:pt idx="17">
                  <c:v>8</c:v>
                </c:pt>
                <c:pt idx="18">
                  <c:v>13.5</c:v>
                </c:pt>
                <c:pt idx="19">
                  <c:v>17.5</c:v>
                </c:pt>
              </c:numCache>
            </c:numRef>
          </c:xVal>
          <c:yVal>
            <c:numRef>
              <c:f>'PIANO 4'!$E$5:$E$24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'PIANO 4'!$A$5:$A$24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F02-4970-925B-F24334F15F52}"/>
            </c:ext>
          </c:extLst>
        </c:ser>
        <c:ser>
          <c:idx val="1"/>
          <c:order val="1"/>
          <c:tx>
            <c:v>C.K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178431332439317"/>
                  <c:y val="-1.8600574772406588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F02-4970-925B-F24334F15F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4'!$L$5</c:f>
              <c:numCache>
                <c:formatCode>0.00</c:formatCode>
                <c:ptCount val="1"/>
                <c:pt idx="0">
                  <c:v>8.6000000000000014</c:v>
                </c:pt>
              </c:numCache>
            </c:numRef>
          </c:xVal>
          <c:yVal>
            <c:numRef>
              <c:f>'PIANO 4'!$M$5</c:f>
              <c:numCache>
                <c:formatCode>0.00</c:formatCode>
                <c:ptCount val="1"/>
                <c:pt idx="0">
                  <c:v>6.7500000000000009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F02-4970-925B-F24334F15F52}"/>
            </c:ext>
          </c:extLst>
        </c:ser>
        <c:ser>
          <c:idx val="2"/>
          <c:order val="2"/>
          <c:tx>
            <c:v>C.M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2765150740304989E-2"/>
                  <c:y val="-1.1160344863443954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F02-4970-925B-F24334F15F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'PIANO 4'!$L$8</c:f>
              <c:numCache>
                <c:formatCode>0.00</c:formatCode>
                <c:ptCount val="1"/>
                <c:pt idx="0">
                  <c:v>8.75</c:v>
                </c:pt>
              </c:numCache>
            </c:numRef>
          </c:xVal>
          <c:yVal>
            <c:numRef>
              <c:f>'PIANO 4'!$M$8</c:f>
              <c:numCache>
                <c:formatCode>0.00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F02-4970-925B-F24334F1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99087"/>
        <c:axId val="1507448383"/>
      </c:scatterChart>
      <c:valAx>
        <c:axId val="999899087"/>
        <c:scaling>
          <c:orientation val="minMax"/>
          <c:max val="17.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7448383"/>
        <c:crosses val="autoZero"/>
        <c:crossBetween val="midCat"/>
      </c:valAx>
      <c:valAx>
        <c:axId val="1507448383"/>
        <c:scaling>
          <c:orientation val="minMax"/>
          <c:max val="13.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89908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160959</xdr:colOff>
      <xdr:row>34</xdr:row>
      <xdr:rowOff>168089</xdr:rowOff>
    </xdr:from>
    <xdr:to>
      <xdr:col>9</xdr:col>
      <xdr:colOff>654017</xdr:colOff>
      <xdr:row>45</xdr:row>
      <xdr:rowOff>60105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11F626C-5AF5-44B9-927F-749E99920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425823</xdr:colOff>
      <xdr:row>46</xdr:row>
      <xdr:rowOff>67236</xdr:rowOff>
    </xdr:from>
    <xdr:to>
      <xdr:col>7</xdr:col>
      <xdr:colOff>616323</xdr:colOff>
      <xdr:row>56</xdr:row>
      <xdr:rowOff>149752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81C6E08-DBE7-4D80-9AFF-19F18E394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722780</xdr:colOff>
      <xdr:row>42</xdr:row>
      <xdr:rowOff>135590</xdr:rowOff>
    </xdr:from>
    <xdr:to>
      <xdr:col>12</xdr:col>
      <xdr:colOff>252133</xdr:colOff>
      <xdr:row>57</xdr:row>
      <xdr:rowOff>21290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9156996-01B8-401E-B3B1-35CEB112B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296956</xdr:colOff>
      <xdr:row>55</xdr:row>
      <xdr:rowOff>1119</xdr:rowOff>
    </xdr:from>
    <xdr:to>
      <xdr:col>15</xdr:col>
      <xdr:colOff>442632</xdr:colOff>
      <xdr:row>69</xdr:row>
      <xdr:rowOff>43701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6C856BC-E080-47D2-A274-C29705978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477610</xdr:colOff>
      <xdr:row>24</xdr:row>
      <xdr:rowOff>159202</xdr:rowOff>
    </xdr:from>
    <xdr:to>
      <xdr:col>9</xdr:col>
      <xdr:colOff>530679</xdr:colOff>
      <xdr:row>44</xdr:row>
      <xdr:rowOff>122464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BE990D2-3A70-472F-A38C-5D2140A17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8564</xdr:colOff>
      <xdr:row>24</xdr:row>
      <xdr:rowOff>149597</xdr:rowOff>
    </xdr:from>
    <xdr:to>
      <xdr:col>9</xdr:col>
      <xdr:colOff>540124</xdr:colOff>
      <xdr:row>41</xdr:row>
      <xdr:rowOff>159123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99B7679-7D98-4F7D-94E6-6330DAB8C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151039</xdr:colOff>
      <xdr:row>25</xdr:row>
      <xdr:rowOff>36737</xdr:rowOff>
    </xdr:from>
    <xdr:to>
      <xdr:col>9</xdr:col>
      <xdr:colOff>394606</xdr:colOff>
      <xdr:row>42</xdr:row>
      <xdr:rowOff>136070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EBCDB94-207B-4DE5-BC79-4C2929387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210270</xdr:colOff>
      <xdr:row>24</xdr:row>
      <xdr:rowOff>148477</xdr:rowOff>
    </xdr:from>
    <xdr:to>
      <xdr:col>10</xdr:col>
      <xdr:colOff>806825</xdr:colOff>
      <xdr:row>42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CB1458-D88B-47BD-AB6E-0FC18689D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oliSISM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MEZZI"/>
      <sheetName val="SOLAIO"/>
      <sheetName val="PESO &amp; ANALISI STATICA"/>
      <sheetName val="VENTO"/>
      <sheetName val="ADRS"/>
      <sheetName val="SPETTRI"/>
      <sheetName val="COMBINAZIONI"/>
      <sheetName val="CDS solaio"/>
    </sheetNames>
    <sheetDataSet>
      <sheetData sheetId="0">
        <row r="17">
          <cell r="I17">
            <v>7.4879999999999995</v>
          </cell>
        </row>
      </sheetData>
      <sheetData sheetId="1"/>
      <sheetData sheetId="2">
        <row r="2">
          <cell r="I2">
            <v>236.25</v>
          </cell>
        </row>
      </sheetData>
      <sheetData sheetId="3"/>
      <sheetData sheetId="4"/>
      <sheetData sheetId="5"/>
      <sheetData sheetId="6">
        <row r="7">
          <cell r="B7">
            <v>7.2969999999999988</v>
          </cell>
          <cell r="C7">
            <v>6.0869999999999997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omenico gaudioso" id="{ED45594B-A1C7-468E-B2FE-8F8CE4046620}" userId="1db50d94fba964d7" providerId="Windows Liv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0" dT="2019-10-01T10:32:44.57" personId="{ED45594B-A1C7-468E-B2FE-8F8CE4046620}" id="{04813A54-469C-44E7-8503-233537D0799A}">
    <text>Area di influenza del pilastro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6" dT="2019-10-01T10:32:44.57" personId="{ED45594B-A1C7-468E-B2FE-8F8CE4046620}" id="{51EFA6F9-310D-4FA9-9D4B-E8BBC7101069}">
    <text>Area di influenza del pilastro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7" dT="2019-10-01T10:32:44.57" personId="{ED45594B-A1C7-468E-B2FE-8F8CE4046620}" id="{7167B10D-D28C-4561-B13C-B40C6A160899}">
    <text>Area di influenza del pilastro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6" dT="2019-10-01T10:32:44.57" personId="{ED45594B-A1C7-468E-B2FE-8F8CE4046620}" id="{7FD2F746-39E5-4354-8346-47174F623804}">
    <text>Area di influenza del pilastro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8EC5-46E8-4AA8-A80F-A5BFE3F80DA4}">
  <sheetPr>
    <pageSetUpPr fitToPage="1"/>
  </sheetPr>
  <dimension ref="A1:L110"/>
  <sheetViews>
    <sheetView topLeftCell="A38" zoomScale="85" zoomScaleNormal="85" workbookViewId="0">
      <selection activeCell="A60" sqref="A60:I65"/>
    </sheetView>
  </sheetViews>
  <sheetFormatPr defaultRowHeight="15" x14ac:dyDescent="0.25"/>
  <cols>
    <col min="1" max="1" width="12.28515625" customWidth="1"/>
    <col min="2" max="2" width="10.28515625" customWidth="1"/>
    <col min="3" max="3" width="21.140625" customWidth="1"/>
    <col min="4" max="4" width="22.42578125" customWidth="1"/>
    <col min="5" max="5" width="13.140625" customWidth="1"/>
    <col min="6" max="6" width="18" customWidth="1"/>
    <col min="7" max="7" width="18.5703125" customWidth="1"/>
    <col min="8" max="8" width="14.7109375" customWidth="1"/>
    <col min="9" max="9" width="7.140625" customWidth="1"/>
    <col min="10" max="10" width="11.85546875" customWidth="1"/>
    <col min="11" max="11" width="15.140625" customWidth="1"/>
    <col min="12" max="12" width="12.140625" customWidth="1"/>
  </cols>
  <sheetData>
    <row r="1" spans="1:6" x14ac:dyDescent="0.25">
      <c r="A1" s="51" t="s">
        <v>33</v>
      </c>
      <c r="B1" s="51"/>
      <c r="C1" s="51"/>
    </row>
    <row r="2" spans="1:6" x14ac:dyDescent="0.25">
      <c r="A2" s="35" t="s">
        <v>32</v>
      </c>
      <c r="B2" s="35">
        <f>31000</f>
        <v>31000</v>
      </c>
      <c r="C2" s="35" t="s">
        <v>12</v>
      </c>
    </row>
    <row r="3" spans="1:6" x14ac:dyDescent="0.25">
      <c r="A3" s="35" t="s">
        <v>31</v>
      </c>
      <c r="B3" s="35">
        <v>0.312</v>
      </c>
      <c r="C3" s="35" t="s">
        <v>77</v>
      </c>
    </row>
    <row r="4" spans="1:6" x14ac:dyDescent="0.25">
      <c r="A4" s="35" t="s">
        <v>31</v>
      </c>
      <c r="B4" s="35">
        <v>0.37128</v>
      </c>
      <c r="C4" s="35" t="s">
        <v>77</v>
      </c>
    </row>
    <row r="5" spans="1:6" x14ac:dyDescent="0.25">
      <c r="A5" s="14" t="s">
        <v>75</v>
      </c>
      <c r="B5" s="35">
        <v>3.12</v>
      </c>
      <c r="C5" s="35" t="s">
        <v>71</v>
      </c>
    </row>
    <row r="6" spans="1:6" x14ac:dyDescent="0.25">
      <c r="A6" s="14" t="s">
        <v>76</v>
      </c>
      <c r="B6" s="35">
        <v>1.5</v>
      </c>
      <c r="C6" s="35" t="s">
        <v>71</v>
      </c>
    </row>
    <row r="7" spans="1:6" x14ac:dyDescent="0.25">
      <c r="A7" s="35" t="s">
        <v>31</v>
      </c>
      <c r="B7" s="4">
        <f>B3/B5</f>
        <v>9.9999999999999992E-2</v>
      </c>
      <c r="C7" s="35" t="s">
        <v>77</v>
      </c>
    </row>
    <row r="8" spans="1:6" x14ac:dyDescent="0.25">
      <c r="A8" s="35" t="s">
        <v>31</v>
      </c>
      <c r="B8" s="35">
        <f>B4/B5</f>
        <v>0.11899999999999999</v>
      </c>
      <c r="C8" s="35" t="s">
        <v>77</v>
      </c>
    </row>
    <row r="9" spans="1:6" x14ac:dyDescent="0.25">
      <c r="A9" s="35" t="s">
        <v>36</v>
      </c>
      <c r="B9" s="35">
        <v>3000</v>
      </c>
      <c r="C9" s="35" t="s">
        <v>8</v>
      </c>
    </row>
    <row r="10" spans="1:6" x14ac:dyDescent="0.25">
      <c r="A10" s="14" t="s">
        <v>63</v>
      </c>
      <c r="B10" s="35">
        <v>30</v>
      </c>
      <c r="C10" s="35" t="s">
        <v>12</v>
      </c>
      <c r="D10" s="1" t="s">
        <v>82</v>
      </c>
    </row>
    <row r="11" spans="1:6" x14ac:dyDescent="0.25">
      <c r="A11" s="14" t="s">
        <v>62</v>
      </c>
      <c r="B11" s="7">
        <f>B10/1.5*0.85</f>
        <v>17</v>
      </c>
      <c r="C11" s="35" t="s">
        <v>64</v>
      </c>
    </row>
    <row r="14" spans="1:6" x14ac:dyDescent="0.25">
      <c r="A14" s="47" t="s">
        <v>84</v>
      </c>
      <c r="B14" s="47"/>
      <c r="C14" s="47"/>
      <c r="D14" s="47"/>
      <c r="E14" s="47"/>
      <c r="F14" s="47"/>
    </row>
    <row r="16" spans="1:6" x14ac:dyDescent="0.25">
      <c r="A16" s="34" t="s">
        <v>13</v>
      </c>
      <c r="B16" s="34" t="s">
        <v>14</v>
      </c>
      <c r="C16" s="34" t="s">
        <v>15</v>
      </c>
      <c r="D16" s="34" t="s">
        <v>16</v>
      </c>
      <c r="E16" s="34" t="s">
        <v>17</v>
      </c>
      <c r="F16" s="34" t="s">
        <v>18</v>
      </c>
    </row>
    <row r="17" spans="1:12" x14ac:dyDescent="0.25">
      <c r="A17" s="34" t="s">
        <v>19</v>
      </c>
      <c r="B17" s="34" t="s">
        <v>20</v>
      </c>
      <c r="C17" s="34" t="s">
        <v>20</v>
      </c>
      <c r="D17" s="34" t="s">
        <v>20</v>
      </c>
      <c r="E17" s="34" t="s">
        <v>20</v>
      </c>
      <c r="F17" s="34" t="s">
        <v>20</v>
      </c>
    </row>
    <row r="18" spans="1:12" x14ac:dyDescent="0.25">
      <c r="A18" s="34">
        <v>1</v>
      </c>
      <c r="B18" s="4">
        <f>[1]COMBINAZIONI!$B$7*'[1]PESO &amp; ANALISI STATICA'!$I$2</f>
        <v>1723.9162499999998</v>
      </c>
      <c r="C18" s="4">
        <f>(13.5*2+17.5*2)*[1]TRAMEZZI!$I$17</f>
        <v>464.25599999999997</v>
      </c>
      <c r="D18" s="4">
        <f>(0.3*0.5*25)*(5.5*5+4*2*5+(4+4+5.5+4)*4)</f>
        <v>515.625</v>
      </c>
      <c r="E18" s="4">
        <f>0.4*0.4*25*3*4*5</f>
        <v>240.00000000000006</v>
      </c>
      <c r="F18" s="4">
        <f>SUM(B18:E18)</f>
        <v>2943.7972499999996</v>
      </c>
    </row>
    <row r="19" spans="1:12" x14ac:dyDescent="0.25">
      <c r="A19" s="34">
        <v>2</v>
      </c>
      <c r="B19" s="4">
        <f>[1]COMBINAZIONI!$B$7*'[1]PESO &amp; ANALISI STATICA'!$I$2</f>
        <v>1723.9162499999998</v>
      </c>
      <c r="C19" s="4">
        <f>(13.5*2+17.5*2)*[1]TRAMEZZI!$I$17</f>
        <v>464.25599999999997</v>
      </c>
      <c r="D19" s="4">
        <f t="shared" ref="D19:D20" si="0">(0.3*0.5*25)*(5.5*5+4*2*5+(4+4+5.5+4)*4)</f>
        <v>515.625</v>
      </c>
      <c r="E19" s="4">
        <f t="shared" ref="E19:E20" si="1">0.4*0.4*25*3*4*5</f>
        <v>240.00000000000006</v>
      </c>
      <c r="F19" s="4">
        <f t="shared" ref="F19:F21" si="2">SUM(B19:E19)</f>
        <v>2943.7972499999996</v>
      </c>
    </row>
    <row r="20" spans="1:12" x14ac:dyDescent="0.25">
      <c r="A20" s="34">
        <v>3</v>
      </c>
      <c r="B20" s="4">
        <f>[1]COMBINAZIONI!$B$7*'[1]PESO &amp; ANALISI STATICA'!$I$2</f>
        <v>1723.9162499999998</v>
      </c>
      <c r="C20" s="4">
        <f>(13.5*2+17.5*2)*[1]TRAMEZZI!$I$17</f>
        <v>464.25599999999997</v>
      </c>
      <c r="D20" s="4">
        <f t="shared" si="0"/>
        <v>515.625</v>
      </c>
      <c r="E20" s="4">
        <f t="shared" si="1"/>
        <v>240.00000000000006</v>
      </c>
      <c r="F20" s="4">
        <f t="shared" si="2"/>
        <v>2943.7972499999996</v>
      </c>
    </row>
    <row r="21" spans="1:12" x14ac:dyDescent="0.25">
      <c r="A21" s="34">
        <v>4</v>
      </c>
      <c r="B21" s="4">
        <f>[1]COMBINAZIONI!$C$7*'[1]PESO &amp; ANALISI STATICA'!$I$2</f>
        <v>1438.05375</v>
      </c>
      <c r="C21" s="4">
        <f>(13.5*2+17.5*2)*[1]TRAMEZZI!$I$17/2+0.1*C20</f>
        <v>278.55359999999996</v>
      </c>
      <c r="D21" s="5">
        <f>(0.3*0.4*25)*(5.5*5+4*2*5+(4+4+5.5+4)*4)</f>
        <v>412.5</v>
      </c>
      <c r="E21" s="4">
        <f>0.4*0.4*25*3*4*5/2</f>
        <v>120.00000000000003</v>
      </c>
      <c r="F21" s="4">
        <f t="shared" si="2"/>
        <v>2249.1073500000002</v>
      </c>
    </row>
    <row r="22" spans="1:12" x14ac:dyDescent="0.25">
      <c r="A22" s="1"/>
      <c r="B22" s="1"/>
      <c r="C22" s="1"/>
      <c r="D22" s="1"/>
      <c r="E22" s="34" t="s">
        <v>21</v>
      </c>
      <c r="F22" s="4">
        <f>SUM(F18:F21)</f>
        <v>11080.499099999999</v>
      </c>
    </row>
    <row r="23" spans="1:12" x14ac:dyDescent="0.25">
      <c r="A23" s="31"/>
      <c r="B23" s="31"/>
      <c r="C23" s="31"/>
      <c r="D23" s="31"/>
      <c r="E23" s="1"/>
      <c r="F23" s="1"/>
    </row>
    <row r="24" spans="1:12" x14ac:dyDescent="0.25">
      <c r="A24" s="47" t="s">
        <v>89</v>
      </c>
      <c r="B24" s="47"/>
      <c r="C24" s="47"/>
      <c r="D24" s="47"/>
      <c r="E24" s="47"/>
      <c r="J24" s="25"/>
      <c r="K24" s="25"/>
      <c r="L24" s="25"/>
    </row>
    <row r="26" spans="1:12" x14ac:dyDescent="0.25">
      <c r="A26" s="34" t="s">
        <v>13</v>
      </c>
      <c r="B26" s="34" t="s">
        <v>18</v>
      </c>
      <c r="C26" s="34" t="s">
        <v>85</v>
      </c>
      <c r="D26" s="34" t="s">
        <v>87</v>
      </c>
      <c r="E26" s="26"/>
      <c r="F26" s="27"/>
    </row>
    <row r="27" spans="1:12" x14ac:dyDescent="0.25">
      <c r="A27" s="34" t="s">
        <v>19</v>
      </c>
      <c r="B27" s="34" t="s">
        <v>20</v>
      </c>
      <c r="C27" s="34" t="s">
        <v>86</v>
      </c>
      <c r="D27" s="34" t="s">
        <v>110</v>
      </c>
      <c r="E27" s="26"/>
      <c r="F27" s="27"/>
    </row>
    <row r="28" spans="1:12" x14ac:dyDescent="0.25">
      <c r="A28" s="34">
        <v>1</v>
      </c>
      <c r="B28" s="4">
        <f>F18</f>
        <v>2943.7972499999996</v>
      </c>
      <c r="C28" s="29">
        <f>B28/9.81</f>
        <v>300.0812691131498</v>
      </c>
      <c r="D28" s="29"/>
      <c r="E28" s="17" t="str">
        <f>IF(ABS(D28)&lt;=25,"OK","NO")</f>
        <v>OK</v>
      </c>
      <c r="F28" s="27"/>
    </row>
    <row r="29" spans="1:12" x14ac:dyDescent="0.25">
      <c r="A29" s="34">
        <v>2</v>
      </c>
      <c r="B29" s="4">
        <f t="shared" ref="B29:B31" si="3">F19</f>
        <v>2943.7972499999996</v>
      </c>
      <c r="C29" s="29">
        <f t="shared" ref="C29:C31" si="4">B29/9.81</f>
        <v>300.0812691131498</v>
      </c>
      <c r="D29" s="29">
        <f>(C29-C28)/C28*100</f>
        <v>0</v>
      </c>
      <c r="E29" s="17" t="str">
        <f t="shared" ref="E29:E31" si="5">IF(ABS(D29)&lt;=25,"OK","NO")</f>
        <v>OK</v>
      </c>
      <c r="F29" s="27"/>
    </row>
    <row r="30" spans="1:12" x14ac:dyDescent="0.25">
      <c r="A30" s="34">
        <v>3</v>
      </c>
      <c r="B30" s="4">
        <f t="shared" si="3"/>
        <v>2943.7972499999996</v>
      </c>
      <c r="C30" s="29">
        <f t="shared" si="4"/>
        <v>300.0812691131498</v>
      </c>
      <c r="D30" s="29">
        <f t="shared" ref="D30:D31" si="6">(C30-C29)/C29*100</f>
        <v>0</v>
      </c>
      <c r="E30" s="17" t="str">
        <f t="shared" si="5"/>
        <v>OK</v>
      </c>
      <c r="F30" s="27"/>
    </row>
    <row r="31" spans="1:12" x14ac:dyDescent="0.25">
      <c r="A31" s="34">
        <v>4</v>
      </c>
      <c r="B31" s="4">
        <f t="shared" si="3"/>
        <v>2249.1073500000002</v>
      </c>
      <c r="C31" s="29">
        <f t="shared" si="4"/>
        <v>229.26680428134557</v>
      </c>
      <c r="D31" s="30">
        <f t="shared" si="6"/>
        <v>-23.59842886598252</v>
      </c>
      <c r="E31" s="17" t="str">
        <f t="shared" si="5"/>
        <v>OK</v>
      </c>
      <c r="F31" s="27"/>
    </row>
    <row r="32" spans="1:12" x14ac:dyDescent="0.25">
      <c r="A32" s="1"/>
      <c r="B32" s="1"/>
      <c r="C32" s="26"/>
      <c r="D32" s="26"/>
      <c r="E32" s="26"/>
      <c r="F32" s="28"/>
    </row>
    <row r="33" spans="1:9" x14ac:dyDescent="0.25">
      <c r="I33" s="25"/>
    </row>
    <row r="34" spans="1:9" x14ac:dyDescent="0.25">
      <c r="A34" s="21"/>
      <c r="B34" s="42"/>
      <c r="D34" s="42"/>
      <c r="E34" s="42"/>
      <c r="F34" s="42"/>
      <c r="H34" s="23"/>
      <c r="I34" s="2"/>
    </row>
    <row r="35" spans="1:9" x14ac:dyDescent="0.25">
      <c r="A35" s="21"/>
      <c r="B35" s="42"/>
      <c r="D35" s="42"/>
      <c r="E35" s="42"/>
      <c r="F35" s="42"/>
      <c r="H35" s="23"/>
      <c r="I35" s="2"/>
    </row>
    <row r="36" spans="1:9" x14ac:dyDescent="0.25">
      <c r="A36" s="38" t="s">
        <v>83</v>
      </c>
      <c r="B36" s="38"/>
      <c r="C36" s="38"/>
      <c r="D36" s="38"/>
      <c r="E36" s="38"/>
      <c r="F36" s="38"/>
      <c r="H36" s="23"/>
      <c r="I36" s="2"/>
    </row>
    <row r="37" spans="1:9" x14ac:dyDescent="0.25">
      <c r="H37" s="23"/>
      <c r="I37" s="2"/>
    </row>
    <row r="38" spans="1:9" x14ac:dyDescent="0.25">
      <c r="E38" s="37" t="s">
        <v>116</v>
      </c>
      <c r="F38" s="37" t="s">
        <v>115</v>
      </c>
      <c r="H38" s="23"/>
      <c r="I38" s="2"/>
    </row>
    <row r="39" spans="1:9" x14ac:dyDescent="0.25">
      <c r="E39" s="37" t="s">
        <v>117</v>
      </c>
      <c r="F39" s="37" t="s">
        <v>117</v>
      </c>
      <c r="H39" s="23"/>
      <c r="I39" s="2"/>
    </row>
    <row r="40" spans="1:9" x14ac:dyDescent="0.25">
      <c r="A40" s="1"/>
      <c r="B40" s="1"/>
      <c r="E40" s="7">
        <f>B7*F22*0.85</f>
        <v>941.84242349999977</v>
      </c>
      <c r="F40" s="7">
        <f>B8*F22*0.85</f>
        <v>1120.792483965</v>
      </c>
      <c r="H40" s="23"/>
      <c r="I40" s="2"/>
    </row>
    <row r="41" spans="1:9" x14ac:dyDescent="0.25">
      <c r="A41" s="39" t="s">
        <v>23</v>
      </c>
      <c r="B41" s="8" t="s">
        <v>24</v>
      </c>
      <c r="C41" s="39" t="s">
        <v>25</v>
      </c>
      <c r="D41" s="39" t="s">
        <v>118</v>
      </c>
      <c r="E41" s="39" t="s">
        <v>119</v>
      </c>
      <c r="F41" s="39" t="s">
        <v>113</v>
      </c>
      <c r="H41" s="23"/>
      <c r="I41" s="2"/>
    </row>
    <row r="42" spans="1:9" x14ac:dyDescent="0.25">
      <c r="A42" s="9" t="s">
        <v>27</v>
      </c>
      <c r="B42" s="5">
        <v>3</v>
      </c>
      <c r="C42" s="10">
        <f>F18</f>
        <v>2943.7972499999996</v>
      </c>
      <c r="D42" s="10">
        <f>C42*B42</f>
        <v>8831.3917499999989</v>
      </c>
      <c r="E42" s="10">
        <f>$E$40*D42/$D$46</f>
        <v>104.00131266563517</v>
      </c>
      <c r="F42" s="10">
        <f>$F$40*D42/$D$46</f>
        <v>123.76156207210587</v>
      </c>
      <c r="H42" s="23"/>
      <c r="I42" s="2"/>
    </row>
    <row r="43" spans="1:9" x14ac:dyDescent="0.25">
      <c r="A43" s="9" t="s">
        <v>28</v>
      </c>
      <c r="B43" s="5">
        <v>6</v>
      </c>
      <c r="C43" s="10">
        <f>F19</f>
        <v>2943.7972499999996</v>
      </c>
      <c r="D43" s="10">
        <f t="shared" ref="D43:D45" si="7">C43*B43</f>
        <v>17662.783499999998</v>
      </c>
      <c r="E43" s="10">
        <f>$E$40*D43/$D$46</f>
        <v>208.00262533127034</v>
      </c>
      <c r="F43" s="10">
        <f>$F$40*D43/$D$46</f>
        <v>247.52312414421175</v>
      </c>
      <c r="H43" s="23"/>
      <c r="I43" s="2"/>
    </row>
    <row r="44" spans="1:9" x14ac:dyDescent="0.25">
      <c r="A44" s="9" t="s">
        <v>29</v>
      </c>
      <c r="B44" s="5">
        <v>9</v>
      </c>
      <c r="C44" s="10">
        <f>F20</f>
        <v>2943.7972499999996</v>
      </c>
      <c r="D44" s="10">
        <f t="shared" si="7"/>
        <v>26494.175249999997</v>
      </c>
      <c r="E44" s="10">
        <f>$E$40*D44/$D$46</f>
        <v>312.00393799690551</v>
      </c>
      <c r="F44" s="10">
        <f>$F$40*D44/$D$46</f>
        <v>371.28468621631765</v>
      </c>
      <c r="H44" s="23"/>
      <c r="I44" s="2"/>
    </row>
    <row r="45" spans="1:9" x14ac:dyDescent="0.25">
      <c r="A45" s="9" t="s">
        <v>30</v>
      </c>
      <c r="B45" s="5">
        <v>12</v>
      </c>
      <c r="C45" s="10">
        <f>F21</f>
        <v>2249.1073500000002</v>
      </c>
      <c r="D45" s="10">
        <f t="shared" si="7"/>
        <v>26989.288200000003</v>
      </c>
      <c r="E45" s="10">
        <f>$E$40*D45/$D$46</f>
        <v>317.83454750618876</v>
      </c>
      <c r="F45" s="10">
        <f>$F$40*D45/$D$46</f>
        <v>378.22311153236473</v>
      </c>
      <c r="H45" s="23"/>
      <c r="I45" s="2"/>
    </row>
    <row r="46" spans="1:9" x14ac:dyDescent="0.25">
      <c r="A46" s="21"/>
      <c r="B46" s="42"/>
      <c r="D46" s="42">
        <f>SUM(D42:D45)</f>
        <v>79977.638699999996</v>
      </c>
      <c r="E46" s="42"/>
      <c r="F46" s="42"/>
      <c r="H46" s="23"/>
      <c r="I46" s="2"/>
    </row>
    <row r="47" spans="1:9" x14ac:dyDescent="0.25">
      <c r="A47" s="21"/>
      <c r="B47" s="42"/>
      <c r="D47" s="42"/>
      <c r="E47" s="42"/>
      <c r="F47" s="42"/>
      <c r="H47" s="23"/>
      <c r="I47" s="2"/>
    </row>
    <row r="48" spans="1:9" x14ac:dyDescent="0.25">
      <c r="A48" s="52" t="s">
        <v>112</v>
      </c>
      <c r="B48" s="53"/>
      <c r="C48" s="53"/>
      <c r="D48" s="54"/>
      <c r="H48" s="23"/>
      <c r="I48" s="2"/>
    </row>
    <row r="50" spans="1:11" x14ac:dyDescent="0.25">
      <c r="H50" s="23"/>
      <c r="I50" s="2"/>
    </row>
    <row r="51" spans="1:11" x14ac:dyDescent="0.25">
      <c r="A51" s="1"/>
      <c r="B51" s="1"/>
      <c r="C51" s="37" t="s">
        <v>116</v>
      </c>
      <c r="D51" s="37" t="s">
        <v>115</v>
      </c>
      <c r="H51" s="23"/>
      <c r="I51" s="2"/>
    </row>
    <row r="52" spans="1:11" x14ac:dyDescent="0.25">
      <c r="A52" s="39" t="s">
        <v>23</v>
      </c>
      <c r="B52" s="8" t="s">
        <v>24</v>
      </c>
      <c r="C52" s="39" t="s">
        <v>114</v>
      </c>
      <c r="D52" s="39" t="s">
        <v>114</v>
      </c>
      <c r="H52" s="23"/>
      <c r="I52" s="2"/>
    </row>
    <row r="53" spans="1:11" x14ac:dyDescent="0.25">
      <c r="A53" s="9" t="s">
        <v>27</v>
      </c>
      <c r="B53" s="5">
        <v>3</v>
      </c>
      <c r="C53" s="10">
        <f>(366.72*2+88.2423*2)-C56-C55-C54</f>
        <v>107.67060000000015</v>
      </c>
      <c r="D53" s="10">
        <f>(202.91*5)-D56-D55-D54</f>
        <v>117.29999999999995</v>
      </c>
      <c r="H53" s="23"/>
      <c r="I53" s="2"/>
    </row>
    <row r="54" spans="1:11" x14ac:dyDescent="0.25">
      <c r="A54" s="9" t="s">
        <v>28</v>
      </c>
      <c r="B54" s="5">
        <v>6</v>
      </c>
      <c r="C54" s="10">
        <f>(332.03*2+69.097*2)-C56-C55</f>
        <v>192.94339999999988</v>
      </c>
      <c r="D54" s="10">
        <f>(179.45*5)-D56-D55</f>
        <v>222.80000000000007</v>
      </c>
      <c r="H54" s="23"/>
      <c r="I54" s="2"/>
    </row>
    <row r="55" spans="1:11" x14ac:dyDescent="0.25">
      <c r="A55" s="9" t="s">
        <v>29</v>
      </c>
      <c r="B55" s="5">
        <v>9</v>
      </c>
      <c r="C55" s="10">
        <f>(246.84*2+57.8153*2)-C56</f>
        <v>276.39660000000003</v>
      </c>
      <c r="D55" s="10">
        <f>(134.89*5)-D56</f>
        <v>324.24999999999989</v>
      </c>
      <c r="H55" s="23"/>
      <c r="I55" s="2"/>
    </row>
    <row r="56" spans="1:11" x14ac:dyDescent="0.25">
      <c r="A56" s="9" t="s">
        <v>30</v>
      </c>
      <c r="B56" s="5">
        <v>12</v>
      </c>
      <c r="C56" s="10">
        <f>135.077*2+31.38*2</f>
        <v>332.91399999999999</v>
      </c>
      <c r="D56" s="10">
        <f>70.04*5</f>
        <v>350.20000000000005</v>
      </c>
      <c r="H56" s="23"/>
      <c r="I56" s="2"/>
    </row>
    <row r="57" spans="1:11" x14ac:dyDescent="0.25">
      <c r="A57" s="21"/>
      <c r="B57" s="42"/>
      <c r="D57" s="42"/>
      <c r="E57" s="42"/>
      <c r="F57" s="42"/>
      <c r="H57" s="23"/>
      <c r="I57" s="2"/>
    </row>
    <row r="60" spans="1:11" x14ac:dyDescent="0.25">
      <c r="A60" s="1"/>
      <c r="B60" s="1"/>
      <c r="C60" s="41" t="s">
        <v>120</v>
      </c>
      <c r="D60" s="41" t="s">
        <v>121</v>
      </c>
      <c r="E60" s="41" t="s">
        <v>124</v>
      </c>
      <c r="F60" s="41" t="s">
        <v>120</v>
      </c>
      <c r="G60" s="44" t="s">
        <v>121</v>
      </c>
      <c r="K60" s="45"/>
    </row>
    <row r="61" spans="1:11" ht="18" x14ac:dyDescent="0.35">
      <c r="A61" s="40" t="s">
        <v>23</v>
      </c>
      <c r="B61" s="8" t="s">
        <v>24</v>
      </c>
      <c r="C61" s="40" t="s">
        <v>126</v>
      </c>
      <c r="D61" s="40" t="s">
        <v>126</v>
      </c>
      <c r="E61" s="43" t="s">
        <v>122</v>
      </c>
      <c r="F61" s="43" t="s">
        <v>123</v>
      </c>
      <c r="G61" s="43" t="s">
        <v>123</v>
      </c>
      <c r="H61" s="43" t="s">
        <v>125</v>
      </c>
    </row>
    <row r="62" spans="1:11" x14ac:dyDescent="0.25">
      <c r="A62" s="9" t="s">
        <v>27</v>
      </c>
      <c r="B62" s="5">
        <v>3</v>
      </c>
      <c r="C62" s="10">
        <v>366.72</v>
      </c>
      <c r="D62" s="10">
        <v>53</v>
      </c>
      <c r="E62" s="4">
        <v>2.4700000000000002</v>
      </c>
      <c r="F62" s="7">
        <f>C62*1000/E62</f>
        <v>148469.63562753034</v>
      </c>
      <c r="G62" s="7">
        <f>D62*1000/E62</f>
        <v>21457.489878542507</v>
      </c>
      <c r="H62" s="7">
        <f>F62*0.15</f>
        <v>22270.445344129552</v>
      </c>
      <c r="I62" s="25" t="str">
        <f>IF(G62&lt;H62,"OK","NO")</f>
        <v>OK</v>
      </c>
    </row>
    <row r="63" spans="1:11" x14ac:dyDescent="0.25">
      <c r="A63" s="9" t="s">
        <v>28</v>
      </c>
      <c r="B63" s="5">
        <v>6</v>
      </c>
      <c r="C63" s="10">
        <f>332.03</f>
        <v>332.03</v>
      </c>
      <c r="D63" s="10">
        <f>D62/1.27</f>
        <v>41.732283464566926</v>
      </c>
      <c r="E63" s="4">
        <f>6.3252-SUM(E62)</f>
        <v>3.8551999999999995</v>
      </c>
      <c r="F63" s="7">
        <f t="shared" ref="F63:F65" si="8">C63*1000/E63</f>
        <v>86125.233450923435</v>
      </c>
      <c r="G63" s="7">
        <f t="shared" ref="G63:G65" si="9">D63*1000/E63</f>
        <v>10824.933457295843</v>
      </c>
      <c r="H63" s="7">
        <f>F63*0.15</f>
        <v>12918.785017638515</v>
      </c>
      <c r="I63" s="25" t="str">
        <f t="shared" ref="I63:I65" si="10">IF(G63&lt;H63,"OK","NO")</f>
        <v>OK</v>
      </c>
    </row>
    <row r="64" spans="1:11" x14ac:dyDescent="0.25">
      <c r="A64" s="9" t="s">
        <v>29</v>
      </c>
      <c r="B64" s="5">
        <v>9</v>
      </c>
      <c r="C64" s="10">
        <f>246.84</f>
        <v>246.84</v>
      </c>
      <c r="D64" s="10">
        <f>D63/1.27</f>
        <v>32.860065720131438</v>
      </c>
      <c r="E64" s="4">
        <f>9.7064-SUM(E62:E63)</f>
        <v>3.3812000000000006</v>
      </c>
      <c r="F64" s="7">
        <f t="shared" si="8"/>
        <v>73003.667337040097</v>
      </c>
      <c r="G64" s="7">
        <f t="shared" si="9"/>
        <v>9718.4625932010622</v>
      </c>
      <c r="H64" s="7">
        <f>F64*0.15</f>
        <v>10950.550100556015</v>
      </c>
      <c r="I64" s="25" t="str">
        <f t="shared" si="10"/>
        <v>OK</v>
      </c>
    </row>
    <row r="65" spans="1:9" x14ac:dyDescent="0.25">
      <c r="A65" s="9" t="s">
        <v>30</v>
      </c>
      <c r="B65" s="5">
        <v>12</v>
      </c>
      <c r="C65" s="10">
        <f>135.077</f>
        <v>135.077</v>
      </c>
      <c r="D65" s="10">
        <f>D64/1.7</f>
        <v>19.32945042360673</v>
      </c>
      <c r="E65" s="4">
        <f>11.76704-SUM(E62:E64)</f>
        <v>2.0606399999999994</v>
      </c>
      <c r="F65" s="7">
        <f t="shared" si="8"/>
        <v>65550.993865983401</v>
      </c>
      <c r="G65" s="7">
        <f t="shared" si="9"/>
        <v>9380.314088635927</v>
      </c>
      <c r="H65" s="7">
        <f>F65*0.15</f>
        <v>9832.6490798975101</v>
      </c>
      <c r="I65" s="25" t="str">
        <f t="shared" si="10"/>
        <v>OK</v>
      </c>
    </row>
    <row r="68" spans="1:9" x14ac:dyDescent="0.25">
      <c r="A68" s="21"/>
      <c r="B68" s="42"/>
      <c r="D68" s="42"/>
      <c r="E68" s="42"/>
      <c r="F68" s="42"/>
      <c r="H68" s="23"/>
      <c r="I68" s="2"/>
    </row>
    <row r="69" spans="1:9" x14ac:dyDescent="0.25">
      <c r="A69" s="21"/>
      <c r="B69" s="42"/>
      <c r="D69" s="42"/>
      <c r="E69" s="42"/>
      <c r="F69" s="42"/>
      <c r="H69" s="23"/>
      <c r="I69" s="2"/>
    </row>
    <row r="70" spans="1:9" x14ac:dyDescent="0.25">
      <c r="A70" s="21"/>
      <c r="B70" s="42"/>
      <c r="D70" s="42"/>
      <c r="E70" s="42"/>
      <c r="F70" s="42"/>
      <c r="H70" s="23"/>
      <c r="I70" s="2"/>
    </row>
    <row r="71" spans="1:9" x14ac:dyDescent="0.25">
      <c r="A71" s="21"/>
      <c r="B71" s="42"/>
      <c r="D71" s="42"/>
      <c r="E71" s="42"/>
      <c r="F71" s="42"/>
      <c r="H71" s="23"/>
      <c r="I71" s="2"/>
    </row>
    <row r="72" spans="1:9" x14ac:dyDescent="0.25">
      <c r="A72" s="21"/>
      <c r="B72" s="42"/>
      <c r="D72" s="42"/>
      <c r="E72" s="42"/>
      <c r="F72" s="42"/>
      <c r="H72" s="23"/>
      <c r="I72" s="2"/>
    </row>
    <row r="74" spans="1:9" x14ac:dyDescent="0.25">
      <c r="A74" s="52" t="s">
        <v>81</v>
      </c>
      <c r="B74" s="53"/>
      <c r="C74" s="53"/>
      <c r="D74" s="53"/>
      <c r="E74" s="53"/>
      <c r="F74" s="53"/>
      <c r="G74" s="53"/>
      <c r="H74" s="53"/>
      <c r="I74" s="54"/>
    </row>
    <row r="76" spans="1:9" x14ac:dyDescent="0.25">
      <c r="A76" s="34" t="s">
        <v>0</v>
      </c>
      <c r="B76" s="34" t="s">
        <v>38</v>
      </c>
      <c r="C76" s="34" t="s">
        <v>39</v>
      </c>
      <c r="D76" s="34" t="s">
        <v>40</v>
      </c>
      <c r="E76" s="34" t="s">
        <v>41</v>
      </c>
      <c r="F76" s="34" t="s">
        <v>42</v>
      </c>
      <c r="G76" s="34" t="s">
        <v>69</v>
      </c>
      <c r="H76" s="34" t="s">
        <v>44</v>
      </c>
      <c r="I76" s="34" t="s">
        <v>43</v>
      </c>
    </row>
    <row r="77" spans="1:9" x14ac:dyDescent="0.25">
      <c r="A77" s="34" t="s">
        <v>1</v>
      </c>
      <c r="B77" s="34" t="s">
        <v>37</v>
      </c>
      <c r="C77" s="34" t="s">
        <v>37</v>
      </c>
      <c r="D77" s="34" t="s">
        <v>48</v>
      </c>
      <c r="E77" s="34" t="s">
        <v>8</v>
      </c>
      <c r="F77" s="34" t="s">
        <v>8</v>
      </c>
      <c r="G77" s="9">
        <f>0.005*B9</f>
        <v>15</v>
      </c>
      <c r="H77" s="34" t="s">
        <v>8</v>
      </c>
      <c r="I77" s="34" t="s">
        <v>8</v>
      </c>
    </row>
    <row r="78" spans="1:9" x14ac:dyDescent="0.25">
      <c r="A78" s="34">
        <v>1</v>
      </c>
      <c r="B78" s="4">
        <f>D78/E78</f>
        <v>381312.72206477722</v>
      </c>
      <c r="C78" s="4">
        <f>D78/F78</f>
        <v>378774.77770404774</v>
      </c>
      <c r="D78" s="4">
        <f>SUM(E42:E45)*1000</f>
        <v>941842.4234999998</v>
      </c>
      <c r="E78" s="4">
        <v>2.4700000000000002</v>
      </c>
      <c r="F78" s="4">
        <v>2.4865499999999998</v>
      </c>
      <c r="G78" s="32" t="str">
        <f>IF(MAX(E78:F78)&lt;=$G$77,"OK","NO")</f>
        <v>OK</v>
      </c>
      <c r="H78" s="4">
        <f>SUM(E78)</f>
        <v>2.4700000000000002</v>
      </c>
      <c r="I78" s="4">
        <f>SUM(F78)</f>
        <v>2.4865499999999998</v>
      </c>
    </row>
    <row r="79" spans="1:9" x14ac:dyDescent="0.25">
      <c r="A79" s="34">
        <v>2</v>
      </c>
      <c r="B79" s="4">
        <f t="shared" ref="B79:B81" si="11">D79/E79</f>
        <v>161861.34986351192</v>
      </c>
      <c r="C79" s="4">
        <f t="shared" ref="C79:C81" si="12">D79/F79</f>
        <v>175584.95953544043</v>
      </c>
      <c r="D79" s="4">
        <f>SUM(E42:E44)*1000</f>
        <v>624007.87599381106</v>
      </c>
      <c r="E79" s="4">
        <f>6.3252-SUM(E78)</f>
        <v>3.8551999999999995</v>
      </c>
      <c r="F79" s="4">
        <f>6.04043-SUM(F78)</f>
        <v>3.5538799999999999</v>
      </c>
      <c r="G79" s="32" t="str">
        <f t="shared" ref="G79:G81" si="13">IF(MAX(E79:F79)&lt;=$G$77,"OK","NO")</f>
        <v>OK</v>
      </c>
      <c r="H79" s="4">
        <f>SUM(E78:E79)</f>
        <v>6.3251999999999997</v>
      </c>
      <c r="I79" s="4">
        <f>SUM(F78:F79)</f>
        <v>6.0404299999999997</v>
      </c>
    </row>
    <row r="80" spans="1:9" x14ac:dyDescent="0.25">
      <c r="A80" s="34">
        <v>3</v>
      </c>
      <c r="B80" s="4">
        <f t="shared" si="11"/>
        <v>92276.096651160973</v>
      </c>
      <c r="C80" s="4">
        <f t="shared" si="12"/>
        <v>103156.80231071809</v>
      </c>
      <c r="D80" s="4">
        <f>SUM(E42:E43)*1000</f>
        <v>312003.93799690553</v>
      </c>
      <c r="E80" s="4">
        <f>9.7064-SUM(E78:E79)</f>
        <v>3.3812000000000006</v>
      </c>
      <c r="F80" s="4">
        <f>9.06499-SUM(F78:F79)</f>
        <v>3.0245600000000001</v>
      </c>
      <c r="G80" s="32" t="str">
        <f t="shared" si="13"/>
        <v>OK</v>
      </c>
      <c r="H80" s="4">
        <f>SUM(E78:E80)</f>
        <v>9.7064000000000004</v>
      </c>
      <c r="I80" s="4">
        <f>SUM(F78:F80)</f>
        <v>9.0649899999999999</v>
      </c>
    </row>
    <row r="81" spans="1:11" x14ac:dyDescent="0.25">
      <c r="A81" s="34">
        <v>4</v>
      </c>
      <c r="B81" s="4">
        <f t="shared" si="11"/>
        <v>50470.393987127885</v>
      </c>
      <c r="C81" s="4">
        <f t="shared" si="12"/>
        <v>58995.117458723857</v>
      </c>
      <c r="D81" s="4">
        <f>SUM(E42)*1000</f>
        <v>104001.31266563517</v>
      </c>
      <c r="E81" s="4">
        <f>11.76704-SUM(E78:E80)</f>
        <v>2.0606399999999994</v>
      </c>
      <c r="F81" s="4">
        <f>10.82787-SUM(F78:F80)</f>
        <v>1.7628800000000009</v>
      </c>
      <c r="G81" s="32" t="str">
        <f t="shared" si="13"/>
        <v>OK</v>
      </c>
      <c r="H81" s="4">
        <f>SUM(E78:E81)</f>
        <v>11.76704</v>
      </c>
      <c r="I81" s="4">
        <f>SUM(F78:F81)</f>
        <v>10.827870000000001</v>
      </c>
    </row>
    <row r="83" spans="1:11" x14ac:dyDescent="0.25">
      <c r="A83" s="47" t="s">
        <v>90</v>
      </c>
      <c r="B83" s="47"/>
      <c r="C83" s="47"/>
      <c r="D83" s="47"/>
      <c r="E83" s="47"/>
      <c r="F83" s="47"/>
      <c r="G83" s="47"/>
      <c r="H83" s="47"/>
      <c r="I83" s="33"/>
      <c r="J83" s="33"/>
      <c r="K83" s="33"/>
    </row>
    <row r="85" spans="1:11" x14ac:dyDescent="0.25">
      <c r="B85" s="35" t="s">
        <v>91</v>
      </c>
    </row>
    <row r="86" spans="1:11" x14ac:dyDescent="0.25">
      <c r="B86" s="7">
        <v>1000</v>
      </c>
      <c r="D86" s="46" t="s">
        <v>93</v>
      </c>
      <c r="E86" s="46"/>
      <c r="F86" s="46"/>
      <c r="H86" s="46" t="s">
        <v>95</v>
      </c>
      <c r="I86" s="46"/>
      <c r="J86" s="46"/>
    </row>
    <row r="87" spans="1:11" x14ac:dyDescent="0.25">
      <c r="A87" s="34" t="s">
        <v>0</v>
      </c>
      <c r="B87" s="34" t="s">
        <v>92</v>
      </c>
      <c r="C87" s="34" t="s">
        <v>40</v>
      </c>
      <c r="D87" s="34" t="s">
        <v>38</v>
      </c>
      <c r="E87" s="34" t="s">
        <v>41</v>
      </c>
      <c r="F87" s="34" t="s">
        <v>94</v>
      </c>
      <c r="H87" s="34" t="s">
        <v>39</v>
      </c>
      <c r="I87" s="34" t="s">
        <v>42</v>
      </c>
      <c r="J87" s="34" t="s">
        <v>94</v>
      </c>
    </row>
    <row r="88" spans="1:11" x14ac:dyDescent="0.25">
      <c r="A88" s="34" t="s">
        <v>1</v>
      </c>
      <c r="B88" s="34" t="s">
        <v>22</v>
      </c>
      <c r="C88" s="34" t="s">
        <v>48</v>
      </c>
      <c r="D88" s="34" t="s">
        <v>37</v>
      </c>
      <c r="E88" s="34" t="s">
        <v>8</v>
      </c>
      <c r="F88" s="34" t="s">
        <v>88</v>
      </c>
      <c r="H88" s="34" t="s">
        <v>37</v>
      </c>
      <c r="I88" s="34" t="s">
        <v>8</v>
      </c>
      <c r="J88" s="34" t="s">
        <v>88</v>
      </c>
    </row>
    <row r="89" spans="1:11" x14ac:dyDescent="0.25">
      <c r="A89" s="34">
        <v>1</v>
      </c>
      <c r="B89" s="10">
        <f>$B$86*D42/(SUM($D$42:$D$45))</f>
        <v>110.42326197109891</v>
      </c>
      <c r="C89" s="10">
        <f>D78</f>
        <v>941842.4234999998</v>
      </c>
      <c r="D89" s="4">
        <f>$C89/E89</f>
        <v>381312.72206477722</v>
      </c>
      <c r="E89" s="4">
        <f>E78</f>
        <v>2.4700000000000002</v>
      </c>
      <c r="F89" s="20"/>
      <c r="G89" s="17" t="str">
        <f>IF(ABS(F89)&lt;=30,"OK","NO")</f>
        <v>OK</v>
      </c>
      <c r="H89" s="4">
        <f>$C89/I89</f>
        <v>378774.77770404774</v>
      </c>
      <c r="I89" s="4">
        <f>F78</f>
        <v>2.4865499999999998</v>
      </c>
      <c r="J89" s="20"/>
      <c r="K89" s="17" t="str">
        <f>IF(ABS(J89)&lt;=30,"OK","NO")</f>
        <v>OK</v>
      </c>
    </row>
    <row r="90" spans="1:11" x14ac:dyDescent="0.25">
      <c r="A90" s="34">
        <v>2</v>
      </c>
      <c r="B90" s="10">
        <f>$B$86*D43/(SUM($D$42:$D$45))</f>
        <v>220.84652394219782</v>
      </c>
      <c r="C90" s="10">
        <f>D79</f>
        <v>624007.87599381106</v>
      </c>
      <c r="D90" s="4">
        <f t="shared" ref="D90:D92" si="14">$C90/E90</f>
        <v>161861.34986351192</v>
      </c>
      <c r="E90" s="4">
        <f t="shared" ref="E90:E92" si="15">E79</f>
        <v>3.8551999999999995</v>
      </c>
      <c r="F90" s="4">
        <f>(D90-D89)/D89*100</f>
        <v>-57.551547457675703</v>
      </c>
      <c r="G90" s="17" t="str">
        <f t="shared" ref="G90:G92" si="16">IF(ABS(F90)&lt;=30,"OK","NO")</f>
        <v>NO</v>
      </c>
      <c r="H90" s="4">
        <f t="shared" ref="H90:H92" si="17">$C90/I90</f>
        <v>175584.95953544043</v>
      </c>
      <c r="I90" s="4">
        <f t="shared" ref="I90:I92" si="18">F79</f>
        <v>3.5538799999999999</v>
      </c>
      <c r="J90" s="4">
        <f>(H90-H89)/H89*100</f>
        <v>-53.643967372972192</v>
      </c>
      <c r="K90" s="17" t="str">
        <f t="shared" ref="K90:K92" si="19">IF(ABS(J90)&lt;=30,"OK","NO")</f>
        <v>NO</v>
      </c>
    </row>
    <row r="91" spans="1:11" x14ac:dyDescent="0.25">
      <c r="A91" s="34">
        <v>3</v>
      </c>
      <c r="B91" s="10">
        <f>$B$86*D44/(SUM($D$42:$D$45))</f>
        <v>331.26978591329674</v>
      </c>
      <c r="C91" s="10">
        <f>D80</f>
        <v>312003.93799690553</v>
      </c>
      <c r="D91" s="4">
        <f t="shared" si="14"/>
        <v>92276.096651160973</v>
      </c>
      <c r="E91" s="4">
        <f t="shared" si="15"/>
        <v>3.3812000000000006</v>
      </c>
      <c r="F91" s="4">
        <f t="shared" ref="F91:F92" si="20">(D91-D90)/D90*100</f>
        <v>-42.990654205607491</v>
      </c>
      <c r="G91" s="17" t="str">
        <f t="shared" si="16"/>
        <v>NO</v>
      </c>
      <c r="H91" s="4">
        <f t="shared" si="17"/>
        <v>103156.80231071809</v>
      </c>
      <c r="I91" s="4">
        <f t="shared" si="18"/>
        <v>3.0245600000000001</v>
      </c>
      <c r="J91" s="4">
        <f t="shared" ref="J91:J92" si="21">(H91-H90)/H90*100</f>
        <v>-41.249636310736108</v>
      </c>
      <c r="K91" s="17" t="str">
        <f t="shared" si="19"/>
        <v>NO</v>
      </c>
    </row>
    <row r="92" spans="1:11" x14ac:dyDescent="0.25">
      <c r="A92" s="34">
        <v>4</v>
      </c>
      <c r="B92" s="10">
        <f>$B$86*D45/(SUM($D$42:$D$45))</f>
        <v>337.46042817340646</v>
      </c>
      <c r="C92" s="10">
        <f>D81</f>
        <v>104001.31266563517</v>
      </c>
      <c r="D92" s="4">
        <f t="shared" si="14"/>
        <v>50470.393987127885</v>
      </c>
      <c r="E92" s="4">
        <f t="shared" si="15"/>
        <v>2.0606399999999994</v>
      </c>
      <c r="F92" s="4">
        <f t="shared" si="20"/>
        <v>-45.305018505577536</v>
      </c>
      <c r="G92" s="17" t="str">
        <f t="shared" si="16"/>
        <v>NO</v>
      </c>
      <c r="H92" s="4">
        <f t="shared" si="17"/>
        <v>58995.117458723857</v>
      </c>
      <c r="I92" s="4">
        <f t="shared" si="18"/>
        <v>1.7628800000000009</v>
      </c>
      <c r="J92" s="4">
        <f t="shared" si="21"/>
        <v>-42.810249894112694</v>
      </c>
      <c r="K92" s="17" t="str">
        <f t="shared" si="19"/>
        <v>NO</v>
      </c>
    </row>
    <row r="95" spans="1:11" x14ac:dyDescent="0.25">
      <c r="A95" s="47" t="s">
        <v>96</v>
      </c>
      <c r="B95" s="47"/>
      <c r="C95" s="47"/>
      <c r="D95" s="47"/>
      <c r="E95" s="47"/>
      <c r="F95" s="47"/>
      <c r="G95" s="47"/>
    </row>
    <row r="97" spans="1:11" x14ac:dyDescent="0.25">
      <c r="A97" s="46" t="s">
        <v>108</v>
      </c>
      <c r="B97" s="46"/>
      <c r="C97" s="46"/>
      <c r="D97" s="46"/>
      <c r="E97" s="46"/>
      <c r="F97" s="46"/>
    </row>
    <row r="98" spans="1:11" x14ac:dyDescent="0.25">
      <c r="A98" s="34" t="s">
        <v>0</v>
      </c>
      <c r="B98" s="35" t="s">
        <v>97</v>
      </c>
      <c r="C98" s="35" t="s">
        <v>99</v>
      </c>
      <c r="D98" s="35" t="s">
        <v>104</v>
      </c>
      <c r="E98" s="14" t="s">
        <v>105</v>
      </c>
      <c r="F98" s="14" t="s">
        <v>107</v>
      </c>
    </row>
    <row r="99" spans="1:11" x14ac:dyDescent="0.25">
      <c r="A99" s="34" t="s">
        <v>1</v>
      </c>
      <c r="B99" s="35" t="s">
        <v>98</v>
      </c>
      <c r="C99" s="35" t="s">
        <v>20</v>
      </c>
      <c r="D99" s="35" t="s">
        <v>20</v>
      </c>
      <c r="E99" s="14" t="s">
        <v>106</v>
      </c>
      <c r="F99" s="14" t="s">
        <v>71</v>
      </c>
      <c r="K99" t="s">
        <v>111</v>
      </c>
    </row>
    <row r="100" spans="1:11" x14ac:dyDescent="0.25">
      <c r="A100" s="34">
        <v>1</v>
      </c>
      <c r="B100" s="35">
        <v>3</v>
      </c>
      <c r="C100" s="10">
        <f>SUM(C42:C45)</f>
        <v>11080.499099999999</v>
      </c>
      <c r="D100" s="10">
        <f>D78/1000</f>
        <v>941.84242349999977</v>
      </c>
      <c r="E100" s="4">
        <f>E78</f>
        <v>2.4700000000000002</v>
      </c>
      <c r="F100" s="19">
        <f>(C100*1000*E100)/(D100*1000*B100*1000)</f>
        <v>9.6862745098039247E-3</v>
      </c>
      <c r="G100" s="17" t="str">
        <f>IF(ABS(F100)&lt;=0.1,"OK","NO")</f>
        <v>OK</v>
      </c>
      <c r="I100" s="4">
        <v>743569.44444444461</v>
      </c>
      <c r="J100" s="4">
        <v>743569.4444444445</v>
      </c>
      <c r="K100" s="2">
        <f>D89/I100</f>
        <v>0.51281386683347874</v>
      </c>
    </row>
    <row r="101" spans="1:11" x14ac:dyDescent="0.25">
      <c r="A101" s="34">
        <v>2</v>
      </c>
      <c r="B101" s="35">
        <v>3</v>
      </c>
      <c r="C101" s="10">
        <f>SUM(C42:C44)</f>
        <v>8831.3917499999989</v>
      </c>
      <c r="D101" s="10">
        <f>D79/1000</f>
        <v>624.00787599381101</v>
      </c>
      <c r="E101" s="4">
        <f>E79</f>
        <v>3.8551999999999995</v>
      </c>
      <c r="F101" s="19">
        <f t="shared" ref="F101:F103" si="22">(C101*1000*E101)/(D101*1000*B101*1000)</f>
        <v>1.8187153712003076E-2</v>
      </c>
      <c r="G101" s="17" t="str">
        <f t="shared" ref="G101:G103" si="23">IF(ABS(F101)&lt;=0.1,"OK","NO")</f>
        <v>OK</v>
      </c>
      <c r="I101" s="4">
        <v>585555.5555555555</v>
      </c>
      <c r="J101" s="4">
        <v>585555.55555555562</v>
      </c>
      <c r="K101" s="2">
        <f t="shared" ref="K101:K103" si="24">D90/I101</f>
        <v>0.27642355764167126</v>
      </c>
    </row>
    <row r="102" spans="1:11" x14ac:dyDescent="0.25">
      <c r="A102" s="34">
        <v>3</v>
      </c>
      <c r="B102" s="35">
        <v>3</v>
      </c>
      <c r="C102" s="10">
        <f>SUM(C42:C43)</f>
        <v>5887.5944999999992</v>
      </c>
      <c r="D102" s="10">
        <f>D80/1000</f>
        <v>312.00393799690551</v>
      </c>
      <c r="E102" s="4">
        <f>E80</f>
        <v>3.3812000000000006</v>
      </c>
      <c r="F102" s="19">
        <f t="shared" si="22"/>
        <v>2.1268037674145684E-2</v>
      </c>
      <c r="G102" s="17" t="str">
        <f t="shared" si="23"/>
        <v>OK</v>
      </c>
      <c r="I102" s="4">
        <v>453375</v>
      </c>
      <c r="J102" s="4">
        <v>453375</v>
      </c>
      <c r="K102" s="2">
        <f t="shared" si="24"/>
        <v>0.20353150626117666</v>
      </c>
    </row>
    <row r="103" spans="1:11" x14ac:dyDescent="0.25">
      <c r="A103" s="34">
        <v>4</v>
      </c>
      <c r="B103" s="35">
        <v>3</v>
      </c>
      <c r="C103" s="10">
        <f>SUM(C42:C42)</f>
        <v>2943.7972499999996</v>
      </c>
      <c r="D103" s="10">
        <f>D81/1000</f>
        <v>104.00131266563517</v>
      </c>
      <c r="E103" s="4">
        <f>E81</f>
        <v>2.0606399999999994</v>
      </c>
      <c r="F103" s="19">
        <f t="shared" si="22"/>
        <v>1.9442403208706174E-2</v>
      </c>
      <c r="G103" s="17" t="str">
        <f t="shared" si="23"/>
        <v>OK</v>
      </c>
      <c r="I103" s="4">
        <v>344444.44444444444</v>
      </c>
      <c r="J103" s="4">
        <v>344444.44444444438</v>
      </c>
      <c r="K103" s="2">
        <f t="shared" si="24"/>
        <v>0.14652695028520998</v>
      </c>
    </row>
    <row r="104" spans="1:11" x14ac:dyDescent="0.25">
      <c r="A104" s="48" t="s">
        <v>109</v>
      </c>
      <c r="B104" s="49"/>
      <c r="C104" s="49"/>
      <c r="D104" s="49"/>
      <c r="E104" s="49"/>
      <c r="F104" s="50"/>
    </row>
    <row r="105" spans="1:11" x14ac:dyDescent="0.25">
      <c r="A105" s="34" t="s">
        <v>0</v>
      </c>
      <c r="B105" s="35" t="s">
        <v>97</v>
      </c>
      <c r="C105" s="35" t="s">
        <v>99</v>
      </c>
      <c r="D105" s="35" t="s">
        <v>104</v>
      </c>
      <c r="E105" s="14" t="s">
        <v>105</v>
      </c>
      <c r="F105" s="14" t="s">
        <v>107</v>
      </c>
    </row>
    <row r="106" spans="1:11" x14ac:dyDescent="0.25">
      <c r="A106" s="34" t="s">
        <v>1</v>
      </c>
      <c r="B106" s="35" t="s">
        <v>98</v>
      </c>
      <c r="C106" s="35" t="s">
        <v>20</v>
      </c>
      <c r="D106" s="35" t="s">
        <v>20</v>
      </c>
      <c r="E106" s="14" t="s">
        <v>106</v>
      </c>
      <c r="F106" s="14" t="s">
        <v>71</v>
      </c>
    </row>
    <row r="107" spans="1:11" x14ac:dyDescent="0.25">
      <c r="A107" s="34">
        <v>1</v>
      </c>
      <c r="B107" s="35">
        <v>3</v>
      </c>
      <c r="C107" s="10">
        <f>SUM(C42:C45)</f>
        <v>11080.499099999999</v>
      </c>
      <c r="D107" s="10">
        <f>D78/1000</f>
        <v>941.84242349999977</v>
      </c>
      <c r="E107" s="4">
        <f>F78</f>
        <v>2.4865499999999998</v>
      </c>
      <c r="F107" s="19">
        <f>(C107*1000*E107)/(D107*1000*B107*1000)</f>
        <v>9.7511764705882353E-3</v>
      </c>
      <c r="G107" s="17" t="str">
        <f>IF(ABS(F107)&lt;=0.1,"OK","NO")</f>
        <v>OK</v>
      </c>
    </row>
    <row r="108" spans="1:11" x14ac:dyDescent="0.25">
      <c r="A108" s="34">
        <v>2</v>
      </c>
      <c r="B108" s="35">
        <v>3</v>
      </c>
      <c r="C108" s="10">
        <f>SUM(C42:C44)</f>
        <v>8831.3917499999989</v>
      </c>
      <c r="D108" s="10">
        <f>D79/1000</f>
        <v>624.00787599381101</v>
      </c>
      <c r="E108" s="4">
        <f>F79</f>
        <v>3.5538799999999999</v>
      </c>
      <c r="F108" s="19">
        <f t="shared" ref="F108:F110" si="25">(C108*1000*E108)/(D108*1000*B108*1000)</f>
        <v>1.6765657250989184E-2</v>
      </c>
      <c r="G108" s="17" t="str">
        <f t="shared" ref="G108:G110" si="26">IF(ABS(F108)&lt;=0.1,"OK","NO")</f>
        <v>OK</v>
      </c>
    </row>
    <row r="109" spans="1:11" x14ac:dyDescent="0.25">
      <c r="A109" s="34">
        <v>3</v>
      </c>
      <c r="B109" s="35">
        <v>3</v>
      </c>
      <c r="C109" s="10">
        <f>SUM(C42:C43)</f>
        <v>5887.5944999999992</v>
      </c>
      <c r="D109" s="10">
        <f>D80/1000</f>
        <v>312.00393799690551</v>
      </c>
      <c r="E109" s="4">
        <f>F80</f>
        <v>3.0245600000000001</v>
      </c>
      <c r="F109" s="19">
        <f t="shared" si="25"/>
        <v>1.9024741520085785E-2</v>
      </c>
      <c r="G109" s="17" t="str">
        <f t="shared" si="26"/>
        <v>OK</v>
      </c>
    </row>
    <row r="110" spans="1:11" x14ac:dyDescent="0.25">
      <c r="A110" s="34">
        <v>4</v>
      </c>
      <c r="B110" s="35">
        <v>3</v>
      </c>
      <c r="C110" s="10">
        <f>SUM(C42:C42)</f>
        <v>2943.7972499999996</v>
      </c>
      <c r="D110" s="10">
        <f>D81/1000</f>
        <v>104.00131266563517</v>
      </c>
      <c r="E110" s="4">
        <f>F81</f>
        <v>1.7628800000000009</v>
      </c>
      <c r="F110" s="19">
        <f t="shared" si="25"/>
        <v>1.6632999344166843E-2</v>
      </c>
      <c r="G110" s="17" t="str">
        <f t="shared" si="26"/>
        <v>OK</v>
      </c>
    </row>
  </sheetData>
  <mergeCells count="11">
    <mergeCell ref="A83:H83"/>
    <mergeCell ref="A1:C1"/>
    <mergeCell ref="A14:F14"/>
    <mergeCell ref="A24:E24"/>
    <mergeCell ref="A74:I74"/>
    <mergeCell ref="A48:D48"/>
    <mergeCell ref="D86:F86"/>
    <mergeCell ref="H86:J86"/>
    <mergeCell ref="A95:G95"/>
    <mergeCell ref="A97:F97"/>
    <mergeCell ref="A104:F104"/>
  </mergeCells>
  <conditionalFormatting sqref="I62:I65">
    <cfRule type="cellIs" dxfId="0" priority="1" operator="equal">
      <formula>"OK"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3A89-0227-4E60-B10E-D2C8613FD483}">
  <dimension ref="A1:L79"/>
  <sheetViews>
    <sheetView tabSelected="1" workbookViewId="0">
      <selection activeCell="F71" sqref="F71"/>
    </sheetView>
  </sheetViews>
  <sheetFormatPr defaultRowHeight="15" x14ac:dyDescent="0.25"/>
  <cols>
    <col min="1" max="1" width="12.28515625" customWidth="1"/>
    <col min="2" max="2" width="13.28515625" customWidth="1"/>
    <col min="3" max="3" width="16.85546875" customWidth="1"/>
    <col min="4" max="4" width="18" customWidth="1"/>
    <col min="5" max="5" width="19.5703125" customWidth="1"/>
    <col min="6" max="6" width="19" customWidth="1"/>
    <col min="7" max="7" width="11.140625" customWidth="1"/>
    <col min="8" max="8" width="14.7109375" customWidth="1"/>
    <col min="9" max="9" width="21.7109375" customWidth="1"/>
    <col min="10" max="10" width="11.85546875" customWidth="1"/>
  </cols>
  <sheetData>
    <row r="1" spans="1:6" x14ac:dyDescent="0.25">
      <c r="A1" s="51" t="s">
        <v>33</v>
      </c>
      <c r="B1" s="51"/>
      <c r="C1" s="51"/>
    </row>
    <row r="2" spans="1:6" x14ac:dyDescent="0.25">
      <c r="A2" s="6" t="s">
        <v>32</v>
      </c>
      <c r="B2" s="6">
        <f>31000</f>
        <v>31000</v>
      </c>
      <c r="C2" s="6" t="s">
        <v>12</v>
      </c>
    </row>
    <row r="3" spans="1:6" x14ac:dyDescent="0.25">
      <c r="A3" s="6" t="s">
        <v>31</v>
      </c>
      <c r="B3" s="6">
        <f>0.47</f>
        <v>0.47</v>
      </c>
      <c r="C3" s="6" t="s">
        <v>77</v>
      </c>
    </row>
    <row r="4" spans="1:6" x14ac:dyDescent="0.25">
      <c r="A4" s="6" t="s">
        <v>31</v>
      </c>
      <c r="B4" s="6">
        <f>0.18</f>
        <v>0.18</v>
      </c>
      <c r="C4" s="6" t="s">
        <v>77</v>
      </c>
    </row>
    <row r="5" spans="1:6" x14ac:dyDescent="0.25">
      <c r="A5" s="14" t="s">
        <v>75</v>
      </c>
      <c r="B5" s="6">
        <v>3.9</v>
      </c>
      <c r="C5" s="6" t="s">
        <v>71</v>
      </c>
    </row>
    <row r="6" spans="1:6" x14ac:dyDescent="0.25">
      <c r="A6" s="14" t="s">
        <v>76</v>
      </c>
      <c r="B6" s="6">
        <v>1.5</v>
      </c>
      <c r="C6" s="6" t="s">
        <v>71</v>
      </c>
    </row>
    <row r="7" spans="1:6" x14ac:dyDescent="0.25">
      <c r="A7" s="6" t="s">
        <v>31</v>
      </c>
      <c r="B7" s="4">
        <f>B3/B5</f>
        <v>0.12051282051282051</v>
      </c>
      <c r="C7" s="6" t="s">
        <v>77</v>
      </c>
    </row>
    <row r="8" spans="1:6" x14ac:dyDescent="0.25">
      <c r="A8" s="6" t="s">
        <v>31</v>
      </c>
      <c r="B8" s="6">
        <f>B4/B6</f>
        <v>0.12</v>
      </c>
      <c r="C8" s="6" t="s">
        <v>77</v>
      </c>
    </row>
    <row r="9" spans="1:6" x14ac:dyDescent="0.25">
      <c r="A9" s="6" t="s">
        <v>36</v>
      </c>
      <c r="B9" s="6">
        <v>3000</v>
      </c>
      <c r="C9" s="6" t="s">
        <v>8</v>
      </c>
    </row>
    <row r="10" spans="1:6" x14ac:dyDescent="0.25">
      <c r="A10" s="14" t="s">
        <v>63</v>
      </c>
      <c r="B10" s="6">
        <v>30</v>
      </c>
      <c r="C10" s="6" t="s">
        <v>12</v>
      </c>
      <c r="D10" s="1" t="s">
        <v>82</v>
      </c>
    </row>
    <row r="11" spans="1:6" x14ac:dyDescent="0.25">
      <c r="A11" s="14" t="s">
        <v>62</v>
      </c>
      <c r="B11" s="7">
        <f>B10/1.5*0.85</f>
        <v>17</v>
      </c>
      <c r="C11" s="6" t="s">
        <v>64</v>
      </c>
    </row>
    <row r="14" spans="1:6" x14ac:dyDescent="0.25">
      <c r="A14" s="47" t="s">
        <v>84</v>
      </c>
      <c r="B14" s="47"/>
      <c r="C14" s="47"/>
      <c r="D14" s="47"/>
      <c r="E14" s="47"/>
      <c r="F14" s="47"/>
    </row>
    <row r="16" spans="1:6" x14ac:dyDescent="0.25">
      <c r="A16" s="3" t="s">
        <v>13</v>
      </c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</row>
    <row r="17" spans="1:12" x14ac:dyDescent="0.25">
      <c r="A17" s="3" t="s">
        <v>19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20</v>
      </c>
    </row>
    <row r="18" spans="1:12" x14ac:dyDescent="0.25">
      <c r="A18" s="3">
        <v>1</v>
      </c>
      <c r="B18" s="4">
        <f>[1]COMBINAZIONI!$B$7*'[1]PESO &amp; ANALISI STATICA'!$I$2</f>
        <v>1723.9162499999998</v>
      </c>
      <c r="C18" s="4">
        <f>(13.5*2+17.5*2)*[1]TRAMEZZI!$I$17</f>
        <v>464.25599999999997</v>
      </c>
      <c r="D18" s="4">
        <f>(0.3*0.5*25)*(5.5*5+4*2*5+(4+4+5.5+4)*4)</f>
        <v>515.625</v>
      </c>
      <c r="E18" s="4">
        <f>0.4*0.4*25*3*4*5</f>
        <v>240.00000000000006</v>
      </c>
      <c r="F18" s="4">
        <f>SUM(B18:E18)</f>
        <v>2943.7972499999996</v>
      </c>
    </row>
    <row r="19" spans="1:12" x14ac:dyDescent="0.25">
      <c r="A19" s="3">
        <v>2</v>
      </c>
      <c r="B19" s="4">
        <f>[1]COMBINAZIONI!$B$7*'[1]PESO &amp; ANALISI STATICA'!$I$2</f>
        <v>1723.9162499999998</v>
      </c>
      <c r="C19" s="4">
        <f>(13.5*2+17.5*2)*[1]TRAMEZZI!$I$17</f>
        <v>464.25599999999997</v>
      </c>
      <c r="D19" s="4">
        <f t="shared" ref="D19:D20" si="0">(0.3*0.5*25)*(5.5*5+4*2*5+(4+4+5.5+4)*4)</f>
        <v>515.625</v>
      </c>
      <c r="E19" s="4">
        <f t="shared" ref="E19:E20" si="1">0.4*0.4*25*3*4*5</f>
        <v>240.00000000000006</v>
      </c>
      <c r="F19" s="4">
        <f t="shared" ref="F19:F21" si="2">SUM(B19:E19)</f>
        <v>2943.7972499999996</v>
      </c>
    </row>
    <row r="20" spans="1:12" x14ac:dyDescent="0.25">
      <c r="A20" s="3">
        <v>3</v>
      </c>
      <c r="B20" s="4">
        <f>[1]COMBINAZIONI!$B$7*'[1]PESO &amp; ANALISI STATICA'!$I$2</f>
        <v>1723.9162499999998</v>
      </c>
      <c r="C20" s="4">
        <f>(13.5*2+17.5*2)*[1]TRAMEZZI!$I$17</f>
        <v>464.25599999999997</v>
      </c>
      <c r="D20" s="4">
        <f t="shared" si="0"/>
        <v>515.625</v>
      </c>
      <c r="E20" s="4">
        <f t="shared" si="1"/>
        <v>240.00000000000006</v>
      </c>
      <c r="F20" s="4">
        <f t="shared" si="2"/>
        <v>2943.7972499999996</v>
      </c>
    </row>
    <row r="21" spans="1:12" x14ac:dyDescent="0.25">
      <c r="A21" s="3">
        <v>4</v>
      </c>
      <c r="B21" s="4">
        <f>[1]COMBINAZIONI!$C$7*'[1]PESO &amp; ANALISI STATICA'!$I$2</f>
        <v>1438.05375</v>
      </c>
      <c r="C21" s="4">
        <f>(13.5*2+17.5*2)*[1]TRAMEZZI!$I$17/2+0.1*C20</f>
        <v>278.55359999999996</v>
      </c>
      <c r="D21" s="5">
        <f>(0.3*0.4*25)*(5.5*5+4*2*5+(4+4+5.5+4)*4)</f>
        <v>412.5</v>
      </c>
      <c r="E21" s="4">
        <f>0.4*0.4*25*3*4*5/2</f>
        <v>120.00000000000003</v>
      </c>
      <c r="F21" s="4">
        <f t="shared" si="2"/>
        <v>2249.1073500000002</v>
      </c>
    </row>
    <row r="22" spans="1:12" x14ac:dyDescent="0.25">
      <c r="A22" s="1"/>
      <c r="B22" s="1"/>
      <c r="C22" s="1"/>
      <c r="D22" s="1"/>
      <c r="E22" s="16" t="s">
        <v>21</v>
      </c>
      <c r="F22" s="4">
        <f>SUM(F18:F21)</f>
        <v>11080.499099999999</v>
      </c>
    </row>
    <row r="23" spans="1:12" x14ac:dyDescent="0.25">
      <c r="A23" s="31"/>
      <c r="B23" s="31"/>
      <c r="C23" s="31"/>
      <c r="D23" s="31"/>
      <c r="E23" s="1"/>
      <c r="F23" s="1"/>
    </row>
    <row r="24" spans="1:12" x14ac:dyDescent="0.25">
      <c r="A24" s="47" t="s">
        <v>89</v>
      </c>
      <c r="B24" s="47"/>
      <c r="C24" s="47"/>
      <c r="D24" s="47"/>
      <c r="E24" s="47"/>
      <c r="J24" s="25"/>
      <c r="K24" s="25"/>
      <c r="L24" s="25"/>
    </row>
    <row r="26" spans="1:12" x14ac:dyDescent="0.25">
      <c r="A26" s="16" t="s">
        <v>13</v>
      </c>
      <c r="B26" s="16" t="s">
        <v>18</v>
      </c>
      <c r="C26" s="16" t="s">
        <v>85</v>
      </c>
      <c r="D26" s="16" t="s">
        <v>87</v>
      </c>
      <c r="E26" s="26"/>
      <c r="F26" s="27"/>
    </row>
    <row r="27" spans="1:12" x14ac:dyDescent="0.25">
      <c r="A27" s="16" t="s">
        <v>19</v>
      </c>
      <c r="B27" s="16" t="s">
        <v>20</v>
      </c>
      <c r="C27" s="16" t="s">
        <v>86</v>
      </c>
      <c r="D27" s="16" t="s">
        <v>110</v>
      </c>
      <c r="E27" s="26"/>
      <c r="F27" s="27"/>
    </row>
    <row r="28" spans="1:12" x14ac:dyDescent="0.25">
      <c r="A28" s="16">
        <v>1</v>
      </c>
      <c r="B28" s="4">
        <f>F18</f>
        <v>2943.7972499999996</v>
      </c>
      <c r="C28" s="29">
        <f>B28/9.81</f>
        <v>300.0812691131498</v>
      </c>
      <c r="D28" s="29"/>
      <c r="E28" s="17" t="str">
        <f>IF(ABS(D28)&lt;=25,"OK","NO")</f>
        <v>OK</v>
      </c>
      <c r="F28" s="27"/>
    </row>
    <row r="29" spans="1:12" x14ac:dyDescent="0.25">
      <c r="A29" s="16">
        <v>2</v>
      </c>
      <c r="B29" s="4">
        <f t="shared" ref="B29:B31" si="3">F19</f>
        <v>2943.7972499999996</v>
      </c>
      <c r="C29" s="29">
        <f t="shared" ref="C29:C31" si="4">B29/9.81</f>
        <v>300.0812691131498</v>
      </c>
      <c r="D29" s="29">
        <f>(C29-C28)/C28*100</f>
        <v>0</v>
      </c>
      <c r="E29" s="17" t="str">
        <f t="shared" ref="E29:E31" si="5">IF(ABS(D29)&lt;=25,"OK","NO")</f>
        <v>OK</v>
      </c>
      <c r="F29" s="27"/>
    </row>
    <row r="30" spans="1:12" x14ac:dyDescent="0.25">
      <c r="A30" s="16">
        <v>3</v>
      </c>
      <c r="B30" s="4">
        <f t="shared" si="3"/>
        <v>2943.7972499999996</v>
      </c>
      <c r="C30" s="29">
        <f t="shared" si="4"/>
        <v>300.0812691131498</v>
      </c>
      <c r="D30" s="29">
        <f t="shared" ref="D30:D31" si="6">(C30-C29)/C29*100</f>
        <v>0</v>
      </c>
      <c r="E30" s="17" t="str">
        <f t="shared" si="5"/>
        <v>OK</v>
      </c>
      <c r="F30" s="27"/>
    </row>
    <row r="31" spans="1:12" x14ac:dyDescent="0.25">
      <c r="A31" s="16">
        <v>4</v>
      </c>
      <c r="B31" s="4">
        <f t="shared" si="3"/>
        <v>2249.1073500000002</v>
      </c>
      <c r="C31" s="29">
        <f t="shared" si="4"/>
        <v>229.26680428134557</v>
      </c>
      <c r="D31" s="30">
        <f t="shared" si="6"/>
        <v>-23.59842886598252</v>
      </c>
      <c r="E31" s="17" t="str">
        <f t="shared" si="5"/>
        <v>OK</v>
      </c>
      <c r="F31" s="27"/>
    </row>
    <row r="32" spans="1:12" x14ac:dyDescent="0.25">
      <c r="A32" s="1"/>
      <c r="B32" s="1"/>
      <c r="C32" s="26"/>
      <c r="D32" s="26"/>
      <c r="E32" s="26"/>
      <c r="F32" s="28"/>
    </row>
    <row r="33" spans="1:9" x14ac:dyDescent="0.25">
      <c r="A33" s="47" t="s">
        <v>83</v>
      </c>
      <c r="B33" s="47"/>
      <c r="C33" s="47"/>
      <c r="D33" s="47"/>
      <c r="E33" s="47"/>
      <c r="F33" s="47"/>
      <c r="I33" s="25"/>
    </row>
    <row r="35" spans="1:9" x14ac:dyDescent="0.25">
      <c r="E35" s="6" t="s">
        <v>100</v>
      </c>
      <c r="F35" s="6" t="s">
        <v>101</v>
      </c>
      <c r="G35" s="1"/>
    </row>
    <row r="36" spans="1:9" x14ac:dyDescent="0.25">
      <c r="A36" s="1"/>
      <c r="B36" s="1"/>
      <c r="E36" s="7">
        <f>B7*F22*0.85</f>
        <v>1135.0408693461538</v>
      </c>
      <c r="F36" s="7">
        <f>B8*F22*0.85</f>
        <v>1130.2109081999999</v>
      </c>
      <c r="H36" s="34" t="s">
        <v>40</v>
      </c>
    </row>
    <row r="37" spans="1:9" x14ac:dyDescent="0.25">
      <c r="A37" s="16" t="s">
        <v>23</v>
      </c>
      <c r="B37" s="8" t="s">
        <v>24</v>
      </c>
      <c r="C37" s="16" t="s">
        <v>25</v>
      </c>
      <c r="D37" s="16" t="s">
        <v>26</v>
      </c>
      <c r="E37" s="16" t="s">
        <v>102</v>
      </c>
      <c r="F37" s="16" t="s">
        <v>103</v>
      </c>
      <c r="H37" s="34" t="s">
        <v>48</v>
      </c>
    </row>
    <row r="38" spans="1:9" x14ac:dyDescent="0.25">
      <c r="A38" s="9" t="s">
        <v>27</v>
      </c>
      <c r="B38" s="5">
        <v>3</v>
      </c>
      <c r="C38" s="10">
        <f>F18</f>
        <v>2943.7972499999996</v>
      </c>
      <c r="D38" s="10">
        <f>C38*B38</f>
        <v>8831.3917499999989</v>
      </c>
      <c r="E38" s="10">
        <f>$E$36*D38/(SUM($D$38:$D$41))</f>
        <v>125.33491526371419</v>
      </c>
      <c r="F38" s="10">
        <f>$F$36*D38/(SUM($D$38:$D$41))</f>
        <v>124.80157519876224</v>
      </c>
      <c r="H38" s="36">
        <f>F41+F40+F39+F38</f>
        <v>1130.2109081999999</v>
      </c>
    </row>
    <row r="39" spans="1:9" x14ac:dyDescent="0.25">
      <c r="A39" s="9" t="s">
        <v>28</v>
      </c>
      <c r="B39" s="5">
        <v>6</v>
      </c>
      <c r="C39" s="10">
        <f>F19</f>
        <v>2943.7972499999996</v>
      </c>
      <c r="D39" s="10">
        <f t="shared" ref="D39:D41" si="7">C39*B39</f>
        <v>17662.783499999998</v>
      </c>
      <c r="E39" s="10">
        <f>$E$36*D39/(SUM($D$38:$D$41))</f>
        <v>250.66983052742839</v>
      </c>
      <c r="F39" s="10">
        <f>$F$36*D39/(SUM($D$38:$D$41))</f>
        <v>249.60315039752447</v>
      </c>
      <c r="H39" s="36">
        <f>F41+F40+F39</f>
        <v>1005.4093330012378</v>
      </c>
    </row>
    <row r="40" spans="1:9" x14ac:dyDescent="0.25">
      <c r="A40" s="9" t="s">
        <v>29</v>
      </c>
      <c r="B40" s="5">
        <v>9</v>
      </c>
      <c r="C40" s="10">
        <f>F20</f>
        <v>2943.7972499999996</v>
      </c>
      <c r="D40" s="10">
        <f t="shared" si="7"/>
        <v>26494.175249999997</v>
      </c>
      <c r="E40" s="10">
        <f>$E$36*D40/(SUM($D$38:$D$41))</f>
        <v>376.00474579114262</v>
      </c>
      <c r="F40" s="10">
        <f>$F$36*D40/(SUM($D$38:$D$41))</f>
        <v>374.40472559628671</v>
      </c>
      <c r="H40" s="36">
        <f>F41+F40</f>
        <v>755.8061826037133</v>
      </c>
    </row>
    <row r="41" spans="1:9" x14ac:dyDescent="0.25">
      <c r="A41" s="9" t="s">
        <v>30</v>
      </c>
      <c r="B41" s="5">
        <v>12</v>
      </c>
      <c r="C41" s="10">
        <f>F21</f>
        <v>2249.1073500000002</v>
      </c>
      <c r="D41" s="10">
        <f t="shared" si="7"/>
        <v>26989.288200000003</v>
      </c>
      <c r="E41" s="10">
        <f>$E$36*D41/(SUM($D$38:$D$41))</f>
        <v>383.03137776386859</v>
      </c>
      <c r="F41" s="10">
        <f>$F$36*D41/(SUM($D$38:$D$41))</f>
        <v>381.40145700742659</v>
      </c>
      <c r="H41" s="36">
        <f>F41</f>
        <v>381.40145700742659</v>
      </c>
    </row>
    <row r="43" spans="1:9" x14ac:dyDescent="0.25">
      <c r="A43" s="52" t="s">
        <v>81</v>
      </c>
      <c r="B43" s="53"/>
      <c r="C43" s="53"/>
      <c r="D43" s="53"/>
      <c r="E43" s="53"/>
      <c r="F43" s="53"/>
      <c r="G43" s="53"/>
      <c r="H43" s="53"/>
      <c r="I43" s="54"/>
    </row>
    <row r="45" spans="1:9" x14ac:dyDescent="0.25">
      <c r="A45" s="16" t="s">
        <v>0</v>
      </c>
      <c r="B45" s="16" t="s">
        <v>38</v>
      </c>
      <c r="C45" s="16" t="s">
        <v>39</v>
      </c>
      <c r="D45" s="16" t="s">
        <v>40</v>
      </c>
      <c r="E45" s="16" t="s">
        <v>41</v>
      </c>
      <c r="F45" s="16" t="s">
        <v>42</v>
      </c>
      <c r="G45" s="16" t="s">
        <v>69</v>
      </c>
      <c r="H45" s="16" t="s">
        <v>44</v>
      </c>
      <c r="I45" s="16" t="s">
        <v>43</v>
      </c>
    </row>
    <row r="46" spans="1:9" x14ac:dyDescent="0.25">
      <c r="A46" s="16" t="s">
        <v>1</v>
      </c>
      <c r="B46" s="16" t="s">
        <v>37</v>
      </c>
      <c r="C46" s="16" t="s">
        <v>37</v>
      </c>
      <c r="D46" s="16" t="s">
        <v>48</v>
      </c>
      <c r="E46" s="16" t="s">
        <v>8</v>
      </c>
      <c r="F46" s="16" t="s">
        <v>8</v>
      </c>
      <c r="G46" s="9">
        <f>0.005*B9</f>
        <v>15</v>
      </c>
      <c r="H46" s="16" t="s">
        <v>8</v>
      </c>
      <c r="I46" s="16" t="s">
        <v>8</v>
      </c>
    </row>
    <row r="47" spans="1:9" x14ac:dyDescent="0.25">
      <c r="A47" s="16">
        <v>1</v>
      </c>
      <c r="B47" s="4">
        <f>SUM('PIANO 1'!H5:H24)</f>
        <v>743569.44444444461</v>
      </c>
      <c r="C47" s="4">
        <f>SUM('PIANO 1'!I5:I24)</f>
        <v>743569.4444444445</v>
      </c>
      <c r="D47" s="4">
        <f>SUM(E38:E41)*1000</f>
        <v>1135040.8693461537</v>
      </c>
      <c r="E47" s="4">
        <f t="shared" ref="E47:F50" si="8">$D47/B47</f>
        <v>1.5264759436076554</v>
      </c>
      <c r="F47" s="4">
        <f t="shared" si="8"/>
        <v>1.5264759436076556</v>
      </c>
      <c r="G47" s="32" t="str">
        <f>IF(F47&lt;=$G$46,"OK","NO")</f>
        <v>OK</v>
      </c>
      <c r="H47" s="4">
        <f>SUM(E47)</f>
        <v>1.5264759436076554</v>
      </c>
      <c r="I47" s="4">
        <f>SUM(F47)</f>
        <v>1.5264759436076556</v>
      </c>
    </row>
    <row r="48" spans="1:9" x14ac:dyDescent="0.25">
      <c r="A48" s="16">
        <v>2</v>
      </c>
      <c r="B48" s="4">
        <f>SUM('PIANO 2'!H5:H24)</f>
        <v>585555.5555555555</v>
      </c>
      <c r="C48" s="4">
        <f>SUM('PIANO 2'!I5:I24)</f>
        <v>585555.55555555562</v>
      </c>
      <c r="D48" s="4">
        <f>SUM(E38:E40)*1000</f>
        <v>752009.49158228515</v>
      </c>
      <c r="E48" s="4">
        <f t="shared" si="8"/>
        <v>1.2842666839166161</v>
      </c>
      <c r="F48" s="4">
        <f t="shared" si="8"/>
        <v>1.2842666839166159</v>
      </c>
      <c r="G48" s="32" t="str">
        <f>IF(F48&lt;=$G$46,"OK","NO")</f>
        <v>OK</v>
      </c>
      <c r="H48" s="4">
        <f>SUM(E47:E48)</f>
        <v>2.8107426275242715</v>
      </c>
      <c r="I48" s="4">
        <f>SUM(F47:F48)</f>
        <v>2.8107426275242715</v>
      </c>
    </row>
    <row r="49" spans="1:11" x14ac:dyDescent="0.25">
      <c r="A49" s="16">
        <v>3</v>
      </c>
      <c r="B49" s="4">
        <f>SUM('PIANO 3'!H5:H24)</f>
        <v>453375</v>
      </c>
      <c r="C49" s="4">
        <f>SUM('PIANO 3'!I5:I24)</f>
        <v>453375</v>
      </c>
      <c r="D49" s="4">
        <f>SUM(E38:E39)*1000</f>
        <v>376004.74579114257</v>
      </c>
      <c r="E49" s="4">
        <f t="shared" si="8"/>
        <v>0.82934600670778624</v>
      </c>
      <c r="F49" s="4">
        <f t="shared" si="8"/>
        <v>0.82934600670778624</v>
      </c>
      <c r="G49" s="32" t="str">
        <f>IF(F49&lt;=$G$46,"OK","NO")</f>
        <v>OK</v>
      </c>
      <c r="H49" s="4">
        <f>SUM(E47:E49)</f>
        <v>3.6400886342320575</v>
      </c>
      <c r="I49" s="4">
        <f>SUM(F47:F49)</f>
        <v>3.6400886342320575</v>
      </c>
    </row>
    <row r="50" spans="1:11" x14ac:dyDescent="0.25">
      <c r="A50" s="16">
        <v>4</v>
      </c>
      <c r="B50" s="4">
        <f>SUM('PIANO 4'!H5:H24)</f>
        <v>344444.44444444444</v>
      </c>
      <c r="C50" s="4">
        <f>SUM('PIANO 4'!I5:I24)</f>
        <v>344444.44444444438</v>
      </c>
      <c r="D50" s="4">
        <f>SUM(E38)*1000</f>
        <v>125334.9152637142</v>
      </c>
      <c r="E50" s="4">
        <f t="shared" si="8"/>
        <v>0.3638755604430412</v>
      </c>
      <c r="F50" s="4">
        <f t="shared" si="8"/>
        <v>0.36387556044304126</v>
      </c>
      <c r="G50" s="32" t="str">
        <f>IF(F50&lt;=$G$46,"OK","NO")</f>
        <v>OK</v>
      </c>
      <c r="H50" s="4">
        <f>SUM(E47:E50)</f>
        <v>4.003964194675099</v>
      </c>
      <c r="I50" s="4">
        <f>SUM(F47:F50)</f>
        <v>4.003964194675099</v>
      </c>
    </row>
    <row r="52" spans="1:11" x14ac:dyDescent="0.25">
      <c r="A52" s="47" t="s">
        <v>90</v>
      </c>
      <c r="B52" s="47"/>
      <c r="C52" s="47"/>
      <c r="D52" s="47"/>
      <c r="E52" s="47"/>
      <c r="F52" s="47"/>
      <c r="G52" s="47"/>
      <c r="H52" s="47"/>
      <c r="I52" s="33"/>
      <c r="J52" s="33"/>
      <c r="K52" s="33"/>
    </row>
    <row r="54" spans="1:11" x14ac:dyDescent="0.25">
      <c r="B54" s="6" t="s">
        <v>91</v>
      </c>
    </row>
    <row r="55" spans="1:11" x14ac:dyDescent="0.25">
      <c r="B55" s="7">
        <v>1000</v>
      </c>
      <c r="D55" s="46" t="s">
        <v>93</v>
      </c>
      <c r="E55" s="46"/>
      <c r="F55" s="46"/>
      <c r="H55" s="46" t="s">
        <v>95</v>
      </c>
      <c r="I55" s="46"/>
      <c r="J55" s="46"/>
    </row>
    <row r="56" spans="1:11" x14ac:dyDescent="0.25">
      <c r="A56" s="16" t="s">
        <v>0</v>
      </c>
      <c r="B56" s="16" t="s">
        <v>92</v>
      </c>
      <c r="C56" s="16" t="s">
        <v>40</v>
      </c>
      <c r="D56" s="16" t="s">
        <v>38</v>
      </c>
      <c r="E56" s="16" t="s">
        <v>41</v>
      </c>
      <c r="F56" s="16" t="s">
        <v>94</v>
      </c>
      <c r="H56" s="16" t="s">
        <v>39</v>
      </c>
      <c r="I56" s="16" t="s">
        <v>42</v>
      </c>
      <c r="J56" s="16" t="s">
        <v>94</v>
      </c>
    </row>
    <row r="57" spans="1:11" x14ac:dyDescent="0.25">
      <c r="A57" s="16" t="s">
        <v>1</v>
      </c>
      <c r="B57" s="16" t="s">
        <v>22</v>
      </c>
      <c r="C57" s="16" t="s">
        <v>48</v>
      </c>
      <c r="D57" s="16" t="s">
        <v>37</v>
      </c>
      <c r="E57" s="16" t="s">
        <v>8</v>
      </c>
      <c r="F57" s="16" t="s">
        <v>88</v>
      </c>
      <c r="H57" s="16" t="s">
        <v>37</v>
      </c>
      <c r="I57" s="16" t="s">
        <v>8</v>
      </c>
      <c r="J57" s="16" t="s">
        <v>88</v>
      </c>
    </row>
    <row r="58" spans="1:11" x14ac:dyDescent="0.25">
      <c r="A58" s="16">
        <v>1</v>
      </c>
      <c r="B58" s="10">
        <f>$B$55*D38/(SUM($D$38:$D$41))</f>
        <v>110.42326197109891</v>
      </c>
      <c r="C58" s="10">
        <f>SUM(B58:B61)*1000</f>
        <v>1000000</v>
      </c>
      <c r="D58" s="4">
        <f>$C58/E58</f>
        <v>743569.4444444445</v>
      </c>
      <c r="E58" s="4">
        <v>1.3448642994564506</v>
      </c>
      <c r="F58" s="20"/>
      <c r="G58" s="17" t="str">
        <f>IF(ABS(F58)&lt;=30,"OK","NO")</f>
        <v>OK</v>
      </c>
      <c r="H58" s="4">
        <f>$C58/I58</f>
        <v>743569.4444444445</v>
      </c>
      <c r="I58" s="4">
        <v>1.3448642994564506</v>
      </c>
      <c r="J58" s="20"/>
      <c r="K58" s="17" t="str">
        <f>IF(ABS(J58)&lt;=30,"OK","NO")</f>
        <v>OK</v>
      </c>
    </row>
    <row r="59" spans="1:11" x14ac:dyDescent="0.25">
      <c r="A59" s="16">
        <v>2</v>
      </c>
      <c r="B59" s="10">
        <f>$B$55*D39/(SUM($D$38:$D$41))</f>
        <v>220.84652394219782</v>
      </c>
      <c r="C59" s="10">
        <f>SUM(B59:B61)*1000</f>
        <v>889576.73802890105</v>
      </c>
      <c r="D59" s="4">
        <f t="shared" ref="D59:D61" si="9">$C59/E59</f>
        <v>585587.31804469647</v>
      </c>
      <c r="E59" s="4">
        <v>1.5191188583100459</v>
      </c>
      <c r="F59" s="4">
        <f>(D59-D58)/D58*100</f>
        <v>-21.246452174723757</v>
      </c>
      <c r="G59" s="17" t="str">
        <f t="shared" ref="G59:G61" si="10">IF(ABS(F59)&lt;=30,"OK","NO")</f>
        <v>OK</v>
      </c>
      <c r="H59" s="4">
        <f t="shared" ref="H59:H61" si="11">$C59/I59</f>
        <v>585587.31804469647</v>
      </c>
      <c r="I59" s="4">
        <v>1.5191188583100459</v>
      </c>
      <c r="J59" s="4">
        <f>(H59-H58)/H58*100</f>
        <v>-21.246452174723757</v>
      </c>
      <c r="K59" s="17" t="str">
        <f t="shared" ref="K59:K61" si="12">IF(ABS(J59)&lt;=30,"OK","NO")</f>
        <v>OK</v>
      </c>
    </row>
    <row r="60" spans="1:11" x14ac:dyDescent="0.25">
      <c r="A60" s="16">
        <v>3</v>
      </c>
      <c r="B60" s="10">
        <f>$B$55*D40/(SUM($D$38:$D$41))</f>
        <v>331.26978591329674</v>
      </c>
      <c r="C60" s="10">
        <f>SUM(B60:B61)*1000</f>
        <v>668730.21408670326</v>
      </c>
      <c r="D60" s="4">
        <f t="shared" si="9"/>
        <v>453473.15856024507</v>
      </c>
      <c r="E60" s="4">
        <v>1.4746853291380877</v>
      </c>
      <c r="F60" s="4">
        <f t="shared" ref="F60:F61" si="13">(D60-D59)/D59*100</f>
        <v>-22.560966642103313</v>
      </c>
      <c r="G60" s="17" t="str">
        <f t="shared" si="10"/>
        <v>OK</v>
      </c>
      <c r="H60" s="4">
        <f t="shared" si="11"/>
        <v>453473.15856024507</v>
      </c>
      <c r="I60" s="4">
        <v>1.4746853291380877</v>
      </c>
      <c r="J60" s="4">
        <f t="shared" ref="J60:J61" si="14">(H60-H59)/H59*100</f>
        <v>-22.560966642103313</v>
      </c>
      <c r="K60" s="17" t="str">
        <f t="shared" si="12"/>
        <v>OK</v>
      </c>
    </row>
    <row r="61" spans="1:11" x14ac:dyDescent="0.25">
      <c r="A61" s="16">
        <v>4</v>
      </c>
      <c r="B61" s="10">
        <f>$B$55*D41/(SUM($D$38:$D$41))</f>
        <v>337.46042817340646</v>
      </c>
      <c r="C61" s="10">
        <f>SUM(B61)*1000</f>
        <v>337460.42817340646</v>
      </c>
      <c r="D61" s="4">
        <f t="shared" si="9"/>
        <v>344740.19570589688</v>
      </c>
      <c r="E61" s="4">
        <v>0.97888332250440291</v>
      </c>
      <c r="F61" s="4">
        <f t="shared" si="13"/>
        <v>-23.977816724493678</v>
      </c>
      <c r="G61" s="17" t="str">
        <f t="shared" si="10"/>
        <v>OK</v>
      </c>
      <c r="H61" s="4">
        <f t="shared" si="11"/>
        <v>344740.19570589688</v>
      </c>
      <c r="I61" s="4">
        <v>0.97888332250440291</v>
      </c>
      <c r="J61" s="4">
        <f t="shared" si="14"/>
        <v>-23.977816724493678</v>
      </c>
      <c r="K61" s="17" t="str">
        <f t="shared" si="12"/>
        <v>OK</v>
      </c>
    </row>
    <row r="64" spans="1:11" x14ac:dyDescent="0.25">
      <c r="A64" s="47" t="s">
        <v>96</v>
      </c>
      <c r="B64" s="47"/>
      <c r="C64" s="47"/>
      <c r="D64" s="47"/>
      <c r="E64" s="47"/>
      <c r="F64" s="47"/>
      <c r="G64" s="47"/>
    </row>
    <row r="66" spans="1:7" x14ac:dyDescent="0.25">
      <c r="A66" s="46" t="s">
        <v>108</v>
      </c>
      <c r="B66" s="46"/>
      <c r="C66" s="46"/>
      <c r="D66" s="46"/>
      <c r="E66" s="46"/>
      <c r="F66" s="46"/>
    </row>
    <row r="67" spans="1:7" x14ac:dyDescent="0.25">
      <c r="A67" s="16" t="s">
        <v>0</v>
      </c>
      <c r="B67" s="6" t="s">
        <v>97</v>
      </c>
      <c r="C67" s="6" t="s">
        <v>99</v>
      </c>
      <c r="D67" s="6" t="s">
        <v>104</v>
      </c>
      <c r="E67" s="14" t="s">
        <v>105</v>
      </c>
      <c r="F67" s="14" t="s">
        <v>107</v>
      </c>
    </row>
    <row r="68" spans="1:7" x14ac:dyDescent="0.25">
      <c r="A68" s="16" t="s">
        <v>1</v>
      </c>
      <c r="B68" s="6" t="s">
        <v>98</v>
      </c>
      <c r="C68" s="6" t="s">
        <v>20</v>
      </c>
      <c r="D68" s="6" t="s">
        <v>20</v>
      </c>
      <c r="E68" s="14" t="s">
        <v>106</v>
      </c>
      <c r="F68" s="14" t="s">
        <v>71</v>
      </c>
    </row>
    <row r="69" spans="1:7" x14ac:dyDescent="0.25">
      <c r="A69" s="16">
        <v>1</v>
      </c>
      <c r="B69" s="6">
        <v>3</v>
      </c>
      <c r="C69" s="10">
        <f>SUM(C38:C41)</f>
        <v>11080.499099999999</v>
      </c>
      <c r="D69" s="10">
        <f>D47/1000</f>
        <v>1135.0408693461536</v>
      </c>
      <c r="E69" s="4">
        <f>E47</f>
        <v>1.5264759436076554</v>
      </c>
      <c r="F69" s="19">
        <f>(C69*1000*E69)/(D69*1000*B69*1000)</f>
        <v>4.9672558865831102E-3</v>
      </c>
      <c r="G69" s="17" t="str">
        <f>IF(ABS(F69)&lt;=0.1,"OK","NO")</f>
        <v>OK</v>
      </c>
    </row>
    <row r="70" spans="1:7" x14ac:dyDescent="0.25">
      <c r="A70" s="16">
        <v>2</v>
      </c>
      <c r="B70" s="6">
        <v>3</v>
      </c>
      <c r="C70" s="10">
        <f>SUM(C38:C40)</f>
        <v>8831.3917499999989</v>
      </c>
      <c r="D70" s="10">
        <f>D48/1000</f>
        <v>752.00949158228514</v>
      </c>
      <c r="E70" s="4">
        <f>E48</f>
        <v>1.2842666839166161</v>
      </c>
      <c r="F70" s="19">
        <f t="shared" ref="F70:F72" si="15">(C70*1000*E70)/(D70*1000*B70*1000)</f>
        <v>5.0273577324478173E-3</v>
      </c>
      <c r="G70" s="17" t="str">
        <f t="shared" ref="G70:G72" si="16">IF(ABS(F70)&lt;=0.1,"OK","NO")</f>
        <v>OK</v>
      </c>
    </row>
    <row r="71" spans="1:7" x14ac:dyDescent="0.25">
      <c r="A71" s="16">
        <v>3</v>
      </c>
      <c r="B71" s="6">
        <v>3</v>
      </c>
      <c r="C71" s="10">
        <f>SUM(C38:C39)</f>
        <v>5887.5944999999992</v>
      </c>
      <c r="D71" s="10">
        <f>D49/1000</f>
        <v>376.00474579114257</v>
      </c>
      <c r="E71" s="4">
        <f>E49</f>
        <v>0.82934600670778624</v>
      </c>
      <c r="F71" s="19">
        <f t="shared" si="15"/>
        <v>4.3287157430383231E-3</v>
      </c>
      <c r="G71" s="17" t="str">
        <f t="shared" si="16"/>
        <v>OK</v>
      </c>
    </row>
    <row r="72" spans="1:7" x14ac:dyDescent="0.25">
      <c r="A72" s="16">
        <v>4</v>
      </c>
      <c r="B72" s="6">
        <v>3</v>
      </c>
      <c r="C72" s="10">
        <f>SUM(C38:C38)</f>
        <v>2943.7972499999996</v>
      </c>
      <c r="D72" s="10">
        <f>D50/1000</f>
        <v>125.33491526371419</v>
      </c>
      <c r="E72" s="4">
        <f>E50</f>
        <v>0.3638755604430412</v>
      </c>
      <c r="F72" s="19">
        <f t="shared" si="15"/>
        <v>2.8488360483870964E-3</v>
      </c>
      <c r="G72" s="17" t="str">
        <f t="shared" si="16"/>
        <v>OK</v>
      </c>
    </row>
    <row r="73" spans="1:7" x14ac:dyDescent="0.25">
      <c r="A73" s="48" t="s">
        <v>109</v>
      </c>
      <c r="B73" s="49"/>
      <c r="C73" s="49"/>
      <c r="D73" s="49"/>
      <c r="E73" s="49"/>
      <c r="F73" s="50"/>
    </row>
    <row r="74" spans="1:7" x14ac:dyDescent="0.25">
      <c r="A74" s="16" t="s">
        <v>0</v>
      </c>
      <c r="B74" s="6" t="s">
        <v>97</v>
      </c>
      <c r="C74" s="6" t="s">
        <v>99</v>
      </c>
      <c r="D74" s="6" t="s">
        <v>104</v>
      </c>
      <c r="E74" s="14" t="s">
        <v>105</v>
      </c>
      <c r="F74" s="14" t="s">
        <v>107</v>
      </c>
    </row>
    <row r="75" spans="1:7" x14ac:dyDescent="0.25">
      <c r="A75" s="16" t="s">
        <v>1</v>
      </c>
      <c r="B75" s="6" t="s">
        <v>98</v>
      </c>
      <c r="C75" s="6" t="s">
        <v>20</v>
      </c>
      <c r="D75" s="6" t="s">
        <v>20</v>
      </c>
      <c r="E75" s="14" t="s">
        <v>106</v>
      </c>
      <c r="F75" s="14" t="s">
        <v>71</v>
      </c>
    </row>
    <row r="76" spans="1:7" x14ac:dyDescent="0.25">
      <c r="A76" s="16">
        <v>1</v>
      </c>
      <c r="B76" s="6">
        <v>3</v>
      </c>
      <c r="C76" s="10">
        <f>SUM(C38:C41)</f>
        <v>11080.499099999999</v>
      </c>
      <c r="D76" s="10">
        <f>D47/1000</f>
        <v>1135.0408693461536</v>
      </c>
      <c r="E76" s="4">
        <f>F47</f>
        <v>1.5264759436076556</v>
      </c>
      <c r="F76" s="19">
        <f>(C76*1000*E76)/(D76*1000*B76*1000)</f>
        <v>4.967255886583111E-3</v>
      </c>
      <c r="G76" s="17" t="str">
        <f>IF(ABS(F76)&lt;=0.1,"OK","NO")</f>
        <v>OK</v>
      </c>
    </row>
    <row r="77" spans="1:7" x14ac:dyDescent="0.25">
      <c r="A77" s="16">
        <v>2</v>
      </c>
      <c r="B77" s="6">
        <v>3</v>
      </c>
      <c r="C77" s="10">
        <f>SUM(C38:C40)</f>
        <v>8831.3917499999989</v>
      </c>
      <c r="D77" s="10">
        <f>D48/1000</f>
        <v>752.00949158228514</v>
      </c>
      <c r="E77" s="4">
        <f>F48</f>
        <v>1.2842666839166159</v>
      </c>
      <c r="F77" s="19">
        <f t="shared" ref="F77:F79" si="17">(C77*1000*E77)/(D77*1000*B77*1000)</f>
        <v>5.0273577324478165E-3</v>
      </c>
      <c r="G77" s="17" t="str">
        <f t="shared" ref="G77:G79" si="18">IF(ABS(F77)&lt;=0.1,"OK","NO")</f>
        <v>OK</v>
      </c>
    </row>
    <row r="78" spans="1:7" x14ac:dyDescent="0.25">
      <c r="A78" s="16">
        <v>3</v>
      </c>
      <c r="B78" s="6">
        <v>3</v>
      </c>
      <c r="C78" s="10">
        <f>SUM(C38:C39)</f>
        <v>5887.5944999999992</v>
      </c>
      <c r="D78" s="10">
        <f>D49/1000</f>
        <v>376.00474579114257</v>
      </c>
      <c r="E78" s="4">
        <f>F49</f>
        <v>0.82934600670778624</v>
      </c>
      <c r="F78" s="19">
        <f t="shared" si="17"/>
        <v>4.3287157430383231E-3</v>
      </c>
      <c r="G78" s="17" t="str">
        <f t="shared" si="18"/>
        <v>OK</v>
      </c>
    </row>
    <row r="79" spans="1:7" x14ac:dyDescent="0.25">
      <c r="A79" s="16">
        <v>4</v>
      </c>
      <c r="B79" s="6">
        <v>3</v>
      </c>
      <c r="C79" s="10">
        <f>SUM(C38:C38)</f>
        <v>2943.7972499999996</v>
      </c>
      <c r="D79" s="10">
        <f>D50/1000</f>
        <v>125.33491526371419</v>
      </c>
      <c r="E79" s="4">
        <f>F50</f>
        <v>0.36387556044304126</v>
      </c>
      <c r="F79" s="19">
        <f t="shared" si="17"/>
        <v>2.8488360483870968E-3</v>
      </c>
      <c r="G79" s="17" t="str">
        <f t="shared" si="18"/>
        <v>OK</v>
      </c>
    </row>
  </sheetData>
  <mergeCells count="11">
    <mergeCell ref="A1:C1"/>
    <mergeCell ref="A14:F14"/>
    <mergeCell ref="A24:E24"/>
    <mergeCell ref="A73:F73"/>
    <mergeCell ref="A52:H52"/>
    <mergeCell ref="A33:F33"/>
    <mergeCell ref="A66:F66"/>
    <mergeCell ref="A64:G64"/>
    <mergeCell ref="A43:I43"/>
    <mergeCell ref="D55:F55"/>
    <mergeCell ref="H55:J5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F7AB-245A-4841-B1DF-DD70AC972D50}">
  <dimension ref="A1:N273"/>
  <sheetViews>
    <sheetView zoomScaleNormal="100" workbookViewId="0">
      <selection activeCell="G52" sqref="G52"/>
    </sheetView>
  </sheetViews>
  <sheetFormatPr defaultRowHeight="15" x14ac:dyDescent="0.25"/>
  <cols>
    <col min="1" max="5" width="9.140625" style="1"/>
    <col min="6" max="6" width="19.28515625" style="1" customWidth="1"/>
    <col min="7" max="7" width="20.42578125" style="1" customWidth="1"/>
    <col min="8" max="8" width="15.7109375" style="1" bestFit="1" customWidth="1"/>
    <col min="9" max="9" width="15.7109375" style="1" customWidth="1"/>
    <col min="10" max="10" width="19.140625" style="1" customWidth="1"/>
    <col min="11" max="11" width="26.7109375" style="1" customWidth="1"/>
    <col min="12" max="14" width="9.140625" style="1"/>
    <col min="15" max="15" width="28.42578125" style="1" customWidth="1"/>
    <col min="16" max="16" width="12.28515625" style="1" customWidth="1"/>
    <col min="17" max="17" width="9.140625" style="1"/>
    <col min="18" max="18" width="15.140625" style="1" bestFit="1" customWidth="1"/>
    <col min="19" max="19" width="14.5703125" style="1" customWidth="1"/>
    <col min="20" max="20" width="18.85546875" style="1" customWidth="1"/>
    <col min="21" max="21" width="11" style="1" customWidth="1"/>
    <col min="22" max="22" width="13.85546875" style="1" customWidth="1"/>
    <col min="23" max="16384" width="9.140625" style="1"/>
  </cols>
  <sheetData>
    <row r="1" spans="1:14" ht="21" x14ac:dyDescent="0.35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4" s="2" customFormat="1" x14ac:dyDescent="0.25">
      <c r="A3" s="3" t="s">
        <v>3</v>
      </c>
      <c r="B3" s="11" t="s">
        <v>4</v>
      </c>
      <c r="C3" s="3" t="s">
        <v>5</v>
      </c>
      <c r="D3" s="3" t="s">
        <v>6</v>
      </c>
      <c r="E3" s="3" t="s">
        <v>7</v>
      </c>
      <c r="F3" s="3" t="s">
        <v>10</v>
      </c>
      <c r="G3" s="3" t="s">
        <v>11</v>
      </c>
      <c r="H3" s="3" t="s">
        <v>34</v>
      </c>
      <c r="I3" s="3" t="s">
        <v>35</v>
      </c>
      <c r="J3" s="3" t="s">
        <v>45</v>
      </c>
      <c r="K3" s="3" t="s">
        <v>46</v>
      </c>
      <c r="L3" s="3" t="s">
        <v>53</v>
      </c>
      <c r="M3" s="3" t="s">
        <v>52</v>
      </c>
      <c r="N3" s="1"/>
    </row>
    <row r="4" spans="1:14" s="2" customFormat="1" x14ac:dyDescent="0.25">
      <c r="A4" s="3" t="s">
        <v>1</v>
      </c>
      <c r="B4" s="11" t="s">
        <v>8</v>
      </c>
      <c r="C4" s="3" t="s">
        <v>8</v>
      </c>
      <c r="D4" s="3" t="s">
        <v>9</v>
      </c>
      <c r="E4" s="3" t="s">
        <v>9</v>
      </c>
      <c r="F4" s="3" t="s">
        <v>2</v>
      </c>
      <c r="G4" s="3" t="s">
        <v>2</v>
      </c>
      <c r="H4" s="3" t="s">
        <v>37</v>
      </c>
      <c r="I4" s="3" t="s">
        <v>37</v>
      </c>
      <c r="J4" s="3" t="s">
        <v>51</v>
      </c>
      <c r="K4" s="3" t="s">
        <v>51</v>
      </c>
      <c r="L4" s="3" t="s">
        <v>9</v>
      </c>
      <c r="M4" s="3" t="s">
        <v>9</v>
      </c>
      <c r="N4" s="1"/>
    </row>
    <row r="5" spans="1:14" s="2" customFormat="1" x14ac:dyDescent="0.25">
      <c r="A5" s="12">
        <v>1</v>
      </c>
      <c r="B5" s="10">
        <v>550</v>
      </c>
      <c r="C5" s="10">
        <v>300</v>
      </c>
      <c r="D5" s="4">
        <v>0</v>
      </c>
      <c r="E5" s="4">
        <v>0</v>
      </c>
      <c r="F5" s="4">
        <f>B5*C5^3/12</f>
        <v>1237500000</v>
      </c>
      <c r="G5" s="4">
        <f>C5*B5^3/12</f>
        <v>4159375000</v>
      </c>
      <c r="H5" s="4">
        <f>12*'VERIFICHE GENERALI'!$B$2*'PIANO 1'!$G5/'VERIFICHE GENERALI'!$B$9^3</f>
        <v>57306.944444444445</v>
      </c>
      <c r="I5" s="4">
        <f>12*'VERIFICHE GENERALI'!$B$2*'PIANO 1'!F5/'VERIFICHE GENERALI'!$B$9^3</f>
        <v>17050</v>
      </c>
      <c r="J5" s="4">
        <f>H5*D5</f>
        <v>0</v>
      </c>
      <c r="K5" s="4">
        <f>I5*E5</f>
        <v>0</v>
      </c>
      <c r="L5" s="4">
        <f>SUM(J5:J24)/SUM(H5:H24)</f>
        <v>8.6</v>
      </c>
      <c r="M5" s="4">
        <f>SUM(K5:K24)/SUM(I5:I24)</f>
        <v>6.7499999999999991</v>
      </c>
    </row>
    <row r="6" spans="1:14" s="2" customFormat="1" x14ac:dyDescent="0.25">
      <c r="A6" s="12">
        <v>2</v>
      </c>
      <c r="B6" s="10">
        <v>550</v>
      </c>
      <c r="C6" s="10">
        <v>300</v>
      </c>
      <c r="D6" s="4">
        <v>4</v>
      </c>
      <c r="E6" s="4">
        <v>0</v>
      </c>
      <c r="F6" s="4">
        <f t="shared" ref="F6:F24" si="0">B6*C6^3/12</f>
        <v>1237500000</v>
      </c>
      <c r="G6" s="4">
        <f t="shared" ref="G6:G24" si="1">C6*B6^3/12</f>
        <v>4159375000</v>
      </c>
      <c r="H6" s="4">
        <f>12*'VERIFICHE GENERALI'!$B$2*'PIANO 1'!$G6/'VERIFICHE GENERALI'!$B$9^3</f>
        <v>57306.944444444445</v>
      </c>
      <c r="I6" s="4">
        <f>12*'VERIFICHE GENERALI'!$B$2*'PIANO 1'!F6/'VERIFICHE GENERALI'!$B$9^3</f>
        <v>17050</v>
      </c>
      <c r="J6" s="4">
        <f t="shared" ref="J6:J24" si="2">H6*D6</f>
        <v>229227.77777777778</v>
      </c>
      <c r="K6" s="4">
        <f t="shared" ref="K6:K24" si="3">I6*E6</f>
        <v>0</v>
      </c>
      <c r="L6" s="11" t="s">
        <v>49</v>
      </c>
      <c r="M6" s="3" t="s">
        <v>50</v>
      </c>
    </row>
    <row r="7" spans="1:14" s="2" customFormat="1" x14ac:dyDescent="0.25">
      <c r="A7" s="12">
        <v>3</v>
      </c>
      <c r="B7" s="10">
        <v>550</v>
      </c>
      <c r="C7" s="10">
        <v>300</v>
      </c>
      <c r="D7" s="4">
        <v>8</v>
      </c>
      <c r="E7" s="4">
        <v>0</v>
      </c>
      <c r="F7" s="4">
        <f t="shared" si="0"/>
        <v>1237500000</v>
      </c>
      <c r="G7" s="4">
        <f t="shared" si="1"/>
        <v>4159375000</v>
      </c>
      <c r="H7" s="4">
        <f>12*'VERIFICHE GENERALI'!$B$2*'PIANO 1'!$G7/'VERIFICHE GENERALI'!$B$9^3</f>
        <v>57306.944444444445</v>
      </c>
      <c r="I7" s="4">
        <f>12*'VERIFICHE GENERALI'!$B$2*'PIANO 1'!F7/'VERIFICHE GENERALI'!$B$9^3</f>
        <v>17050</v>
      </c>
      <c r="J7" s="4">
        <f t="shared" si="2"/>
        <v>458455.55555555556</v>
      </c>
      <c r="K7" s="4">
        <f t="shared" si="3"/>
        <v>0</v>
      </c>
      <c r="L7" s="11" t="s">
        <v>9</v>
      </c>
      <c r="M7" s="3" t="s">
        <v>9</v>
      </c>
    </row>
    <row r="8" spans="1:14" s="2" customFormat="1" x14ac:dyDescent="0.25">
      <c r="A8" s="12">
        <v>4</v>
      </c>
      <c r="B8" s="10">
        <v>550</v>
      </c>
      <c r="C8" s="10">
        <v>300</v>
      </c>
      <c r="D8" s="4">
        <v>13.5</v>
      </c>
      <c r="E8" s="4">
        <v>0</v>
      </c>
      <c r="F8" s="4">
        <f t="shared" si="0"/>
        <v>1237500000</v>
      </c>
      <c r="G8" s="4">
        <f t="shared" si="1"/>
        <v>4159375000</v>
      </c>
      <c r="H8" s="4">
        <f>12*'VERIFICHE GENERALI'!$B$2*'PIANO 1'!$G8/'VERIFICHE GENERALI'!$B$9^3</f>
        <v>57306.944444444445</v>
      </c>
      <c r="I8" s="4">
        <f>12*'VERIFICHE GENERALI'!$B$2*'PIANO 1'!F8/'VERIFICHE GENERALI'!$B$9^3</f>
        <v>17050</v>
      </c>
      <c r="J8" s="4">
        <f t="shared" si="2"/>
        <v>773643.75</v>
      </c>
      <c r="K8" s="4">
        <f t="shared" si="3"/>
        <v>0</v>
      </c>
      <c r="L8" s="13">
        <f>17.5/2</f>
        <v>8.75</v>
      </c>
      <c r="M8" s="4">
        <f>13.5/2</f>
        <v>6.75</v>
      </c>
    </row>
    <row r="9" spans="1:14" s="2" customFormat="1" x14ac:dyDescent="0.25">
      <c r="A9" s="12">
        <v>5</v>
      </c>
      <c r="B9" s="10">
        <v>550</v>
      </c>
      <c r="C9" s="10">
        <v>300</v>
      </c>
      <c r="D9" s="4">
        <v>17.5</v>
      </c>
      <c r="E9" s="4">
        <v>0</v>
      </c>
      <c r="F9" s="4">
        <f t="shared" si="0"/>
        <v>1237500000</v>
      </c>
      <c r="G9" s="4">
        <f t="shared" si="1"/>
        <v>4159375000</v>
      </c>
      <c r="H9" s="4">
        <f>12*'VERIFICHE GENERALI'!$B$2*'PIANO 1'!$G9/'VERIFICHE GENERALI'!$B$9^3</f>
        <v>57306.944444444445</v>
      </c>
      <c r="I9" s="4">
        <f>12*'VERIFICHE GENERALI'!$B$2*'PIANO 1'!F9/'VERIFICHE GENERALI'!$B$9^3</f>
        <v>17050</v>
      </c>
      <c r="J9" s="4">
        <f t="shared" si="2"/>
        <v>1002871.5277777778</v>
      </c>
      <c r="K9" s="4">
        <f t="shared" si="3"/>
        <v>0</v>
      </c>
    </row>
    <row r="10" spans="1:14" s="2" customFormat="1" x14ac:dyDescent="0.25">
      <c r="A10" s="12">
        <v>6</v>
      </c>
      <c r="B10" s="10">
        <v>300</v>
      </c>
      <c r="C10" s="10">
        <v>550</v>
      </c>
      <c r="D10" s="4">
        <v>0</v>
      </c>
      <c r="E10" s="4">
        <v>4</v>
      </c>
      <c r="F10" s="4">
        <f t="shared" si="0"/>
        <v>4159375000</v>
      </c>
      <c r="G10" s="4">
        <f t="shared" si="1"/>
        <v>1237500000</v>
      </c>
      <c r="H10" s="4">
        <f>12*'VERIFICHE GENERALI'!$B$2*'PIANO 1'!$G10/'VERIFICHE GENERALI'!$B$9^3</f>
        <v>17050</v>
      </c>
      <c r="I10" s="4">
        <f>12*'VERIFICHE GENERALI'!$B$2*'PIANO 1'!F10/'VERIFICHE GENERALI'!$B$9^3</f>
        <v>57306.944444444445</v>
      </c>
      <c r="J10" s="4">
        <f t="shared" si="2"/>
        <v>0</v>
      </c>
      <c r="K10" s="4">
        <f t="shared" si="3"/>
        <v>229227.77777777778</v>
      </c>
    </row>
    <row r="11" spans="1:14" s="2" customFormat="1" x14ac:dyDescent="0.25">
      <c r="A11" s="12">
        <v>7</v>
      </c>
      <c r="B11" s="10">
        <v>300</v>
      </c>
      <c r="C11" s="10">
        <v>550</v>
      </c>
      <c r="D11" s="4">
        <v>4</v>
      </c>
      <c r="E11" s="4">
        <v>4</v>
      </c>
      <c r="F11" s="4">
        <f t="shared" si="0"/>
        <v>4159375000</v>
      </c>
      <c r="G11" s="4">
        <f t="shared" si="1"/>
        <v>1237500000</v>
      </c>
      <c r="H11" s="4">
        <f>12*'VERIFICHE GENERALI'!$B$2*'PIANO 1'!$G11/'VERIFICHE GENERALI'!$B$9^3</f>
        <v>17050</v>
      </c>
      <c r="I11" s="4">
        <f>12*'VERIFICHE GENERALI'!$B$2*'PIANO 1'!F11/'VERIFICHE GENERALI'!$B$9^3</f>
        <v>57306.944444444445</v>
      </c>
      <c r="J11" s="4">
        <f t="shared" si="2"/>
        <v>68200</v>
      </c>
      <c r="K11" s="4">
        <f t="shared" si="3"/>
        <v>229227.77777777778</v>
      </c>
    </row>
    <row r="12" spans="1:14" s="2" customFormat="1" x14ac:dyDescent="0.25">
      <c r="A12" s="12">
        <v>8</v>
      </c>
      <c r="B12" s="10">
        <v>300</v>
      </c>
      <c r="C12" s="10">
        <v>550</v>
      </c>
      <c r="D12" s="4">
        <v>8</v>
      </c>
      <c r="E12" s="4">
        <v>4</v>
      </c>
      <c r="F12" s="4">
        <f t="shared" si="0"/>
        <v>4159375000</v>
      </c>
      <c r="G12" s="4">
        <f t="shared" si="1"/>
        <v>1237500000</v>
      </c>
      <c r="H12" s="4">
        <f>12*'VERIFICHE GENERALI'!$B$2*'PIANO 1'!$G12/'VERIFICHE GENERALI'!$B$9^3</f>
        <v>17050</v>
      </c>
      <c r="I12" s="4">
        <f>12*'VERIFICHE GENERALI'!$B$2*'PIANO 1'!F12/'VERIFICHE GENERALI'!$B$9^3</f>
        <v>57306.944444444445</v>
      </c>
      <c r="J12" s="4">
        <f t="shared" si="2"/>
        <v>136400</v>
      </c>
      <c r="K12" s="4">
        <f t="shared" si="3"/>
        <v>229227.77777777778</v>
      </c>
    </row>
    <row r="13" spans="1:14" s="2" customFormat="1" x14ac:dyDescent="0.25">
      <c r="A13" s="12">
        <v>9</v>
      </c>
      <c r="B13" s="10">
        <v>300</v>
      </c>
      <c r="C13" s="10">
        <v>550</v>
      </c>
      <c r="D13" s="4">
        <v>13.5</v>
      </c>
      <c r="E13" s="4">
        <v>4</v>
      </c>
      <c r="F13" s="4">
        <f t="shared" si="0"/>
        <v>4159375000</v>
      </c>
      <c r="G13" s="4">
        <f t="shared" si="1"/>
        <v>1237500000</v>
      </c>
      <c r="H13" s="4">
        <f>12*'VERIFICHE GENERALI'!$B$2*'PIANO 1'!$G13/'VERIFICHE GENERALI'!$B$9^3</f>
        <v>17050</v>
      </c>
      <c r="I13" s="4">
        <f>12*'VERIFICHE GENERALI'!$B$2*'PIANO 1'!F13/'VERIFICHE GENERALI'!$B$9^3</f>
        <v>57306.944444444445</v>
      </c>
      <c r="J13" s="4">
        <f t="shared" si="2"/>
        <v>230175</v>
      </c>
      <c r="K13" s="4">
        <f t="shared" si="3"/>
        <v>229227.77777777778</v>
      </c>
    </row>
    <row r="14" spans="1:14" s="2" customFormat="1" x14ac:dyDescent="0.25">
      <c r="A14" s="12">
        <v>10</v>
      </c>
      <c r="B14" s="10">
        <v>300</v>
      </c>
      <c r="C14" s="10">
        <v>550</v>
      </c>
      <c r="D14" s="4">
        <v>17.5</v>
      </c>
      <c r="E14" s="4">
        <v>4</v>
      </c>
      <c r="F14" s="4">
        <f t="shared" si="0"/>
        <v>4159375000</v>
      </c>
      <c r="G14" s="4">
        <f t="shared" si="1"/>
        <v>1237500000</v>
      </c>
      <c r="H14" s="4">
        <f>12*'VERIFICHE GENERALI'!$B$2*'PIANO 1'!$G14/'VERIFICHE GENERALI'!$B$9^3</f>
        <v>17050</v>
      </c>
      <c r="I14" s="4">
        <f>12*'VERIFICHE GENERALI'!$B$2*'PIANO 1'!F14/'VERIFICHE GENERALI'!$B$9^3</f>
        <v>57306.944444444445</v>
      </c>
      <c r="J14" s="4">
        <f t="shared" si="2"/>
        <v>298375</v>
      </c>
      <c r="K14" s="4">
        <f t="shared" si="3"/>
        <v>229227.77777777778</v>
      </c>
    </row>
    <row r="15" spans="1:14" s="2" customFormat="1" x14ac:dyDescent="0.25">
      <c r="A15" s="12">
        <v>11</v>
      </c>
      <c r="B15" s="10">
        <v>300</v>
      </c>
      <c r="C15" s="10">
        <v>550</v>
      </c>
      <c r="D15" s="4">
        <v>0</v>
      </c>
      <c r="E15" s="4">
        <v>9.5</v>
      </c>
      <c r="F15" s="4">
        <f t="shared" si="0"/>
        <v>4159375000</v>
      </c>
      <c r="G15" s="4">
        <f t="shared" si="1"/>
        <v>1237500000</v>
      </c>
      <c r="H15" s="4">
        <f>12*'VERIFICHE GENERALI'!$B$2*'PIANO 1'!$G15/'VERIFICHE GENERALI'!$B$9^3</f>
        <v>17050</v>
      </c>
      <c r="I15" s="4">
        <f>12*'VERIFICHE GENERALI'!$B$2*'PIANO 1'!F15/'VERIFICHE GENERALI'!$B$9^3</f>
        <v>57306.944444444445</v>
      </c>
      <c r="J15" s="4">
        <f t="shared" si="2"/>
        <v>0</v>
      </c>
      <c r="K15" s="4">
        <f t="shared" si="3"/>
        <v>544415.97222222225</v>
      </c>
    </row>
    <row r="16" spans="1:14" s="2" customFormat="1" x14ac:dyDescent="0.25">
      <c r="A16" s="12">
        <v>12</v>
      </c>
      <c r="B16" s="10">
        <v>300</v>
      </c>
      <c r="C16" s="10">
        <v>550</v>
      </c>
      <c r="D16" s="4">
        <v>4</v>
      </c>
      <c r="E16" s="4">
        <v>9.5</v>
      </c>
      <c r="F16" s="4">
        <f t="shared" si="0"/>
        <v>4159375000</v>
      </c>
      <c r="G16" s="4">
        <f t="shared" si="1"/>
        <v>1237500000</v>
      </c>
      <c r="H16" s="4">
        <f>12*'VERIFICHE GENERALI'!$B$2*'PIANO 1'!$G16/'VERIFICHE GENERALI'!$B$9^3</f>
        <v>17050</v>
      </c>
      <c r="I16" s="4">
        <f>12*'VERIFICHE GENERALI'!$B$2*'PIANO 1'!F16/'VERIFICHE GENERALI'!$B$9^3</f>
        <v>57306.944444444445</v>
      </c>
      <c r="J16" s="4">
        <f t="shared" si="2"/>
        <v>68200</v>
      </c>
      <c r="K16" s="4">
        <f t="shared" si="3"/>
        <v>544415.97222222225</v>
      </c>
    </row>
    <row r="17" spans="1:13" s="2" customFormat="1" x14ac:dyDescent="0.25">
      <c r="A17" s="12">
        <v>13</v>
      </c>
      <c r="B17" s="10">
        <v>300</v>
      </c>
      <c r="C17" s="10">
        <v>550</v>
      </c>
      <c r="D17" s="4">
        <v>8</v>
      </c>
      <c r="E17" s="4">
        <v>9.5</v>
      </c>
      <c r="F17" s="4">
        <f t="shared" si="0"/>
        <v>4159375000</v>
      </c>
      <c r="G17" s="4">
        <f t="shared" si="1"/>
        <v>1237500000</v>
      </c>
      <c r="H17" s="4">
        <f>12*'VERIFICHE GENERALI'!$B$2*'PIANO 1'!$G17/'VERIFICHE GENERALI'!$B$9^3</f>
        <v>17050</v>
      </c>
      <c r="I17" s="4">
        <f>12*'VERIFICHE GENERALI'!$B$2*'PIANO 1'!F17/'VERIFICHE GENERALI'!$B$9^3</f>
        <v>57306.944444444445</v>
      </c>
      <c r="J17" s="4">
        <f t="shared" si="2"/>
        <v>136400</v>
      </c>
      <c r="K17" s="4">
        <f t="shared" si="3"/>
        <v>544415.97222222225</v>
      </c>
    </row>
    <row r="18" spans="1:13" s="2" customFormat="1" x14ac:dyDescent="0.25">
      <c r="A18" s="12">
        <v>14</v>
      </c>
      <c r="B18" s="10">
        <v>300</v>
      </c>
      <c r="C18" s="10">
        <v>550</v>
      </c>
      <c r="D18" s="4">
        <v>13.5</v>
      </c>
      <c r="E18" s="4">
        <v>9.5</v>
      </c>
      <c r="F18" s="4">
        <f t="shared" si="0"/>
        <v>4159375000</v>
      </c>
      <c r="G18" s="4">
        <f t="shared" si="1"/>
        <v>1237500000</v>
      </c>
      <c r="H18" s="4">
        <f>12*'VERIFICHE GENERALI'!$B$2*'PIANO 1'!$G18/'VERIFICHE GENERALI'!$B$9^3</f>
        <v>17050</v>
      </c>
      <c r="I18" s="4">
        <f>12*'VERIFICHE GENERALI'!$B$2*'PIANO 1'!F18/'VERIFICHE GENERALI'!$B$9^3</f>
        <v>57306.944444444445</v>
      </c>
      <c r="J18" s="4">
        <f t="shared" si="2"/>
        <v>230175</v>
      </c>
      <c r="K18" s="4">
        <f t="shared" si="3"/>
        <v>544415.97222222225</v>
      </c>
    </row>
    <row r="19" spans="1:13" s="2" customFormat="1" x14ac:dyDescent="0.25">
      <c r="A19" s="12">
        <v>15</v>
      </c>
      <c r="B19" s="10">
        <v>300</v>
      </c>
      <c r="C19" s="10">
        <v>550</v>
      </c>
      <c r="D19" s="4">
        <v>17.5</v>
      </c>
      <c r="E19" s="4">
        <v>9.5</v>
      </c>
      <c r="F19" s="4">
        <f t="shared" si="0"/>
        <v>4159375000</v>
      </c>
      <c r="G19" s="4">
        <f t="shared" si="1"/>
        <v>1237500000</v>
      </c>
      <c r="H19" s="4">
        <f>12*'VERIFICHE GENERALI'!$B$2*'PIANO 1'!$G19/'VERIFICHE GENERALI'!$B$9^3</f>
        <v>17050</v>
      </c>
      <c r="I19" s="4">
        <f>12*'VERIFICHE GENERALI'!$B$2*'PIANO 1'!F19/'VERIFICHE GENERALI'!$B$9^3</f>
        <v>57306.944444444445</v>
      </c>
      <c r="J19" s="4">
        <f t="shared" si="2"/>
        <v>298375</v>
      </c>
      <c r="K19" s="4">
        <f t="shared" si="3"/>
        <v>544415.97222222225</v>
      </c>
    </row>
    <row r="20" spans="1:13" s="2" customFormat="1" x14ac:dyDescent="0.25">
      <c r="A20" s="12">
        <v>16</v>
      </c>
      <c r="B20" s="10">
        <v>550</v>
      </c>
      <c r="C20" s="10">
        <v>300</v>
      </c>
      <c r="D20" s="4">
        <v>0</v>
      </c>
      <c r="E20" s="4">
        <v>13.5</v>
      </c>
      <c r="F20" s="4">
        <f t="shared" si="0"/>
        <v>1237500000</v>
      </c>
      <c r="G20" s="4">
        <f t="shared" si="1"/>
        <v>4159375000</v>
      </c>
      <c r="H20" s="4">
        <f>12*'VERIFICHE GENERALI'!$B$2*'PIANO 1'!$G20/'VERIFICHE GENERALI'!$B$9^3</f>
        <v>57306.944444444445</v>
      </c>
      <c r="I20" s="4">
        <f>12*'VERIFICHE GENERALI'!$B$2*'PIANO 1'!F20/'VERIFICHE GENERALI'!$B$9^3</f>
        <v>17050</v>
      </c>
      <c r="J20" s="4">
        <f t="shared" si="2"/>
        <v>0</v>
      </c>
      <c r="K20" s="4">
        <f t="shared" si="3"/>
        <v>230175</v>
      </c>
    </row>
    <row r="21" spans="1:13" s="2" customFormat="1" x14ac:dyDescent="0.25">
      <c r="A21" s="12">
        <v>17</v>
      </c>
      <c r="B21" s="10">
        <v>550</v>
      </c>
      <c r="C21" s="10">
        <v>300</v>
      </c>
      <c r="D21" s="4">
        <v>4</v>
      </c>
      <c r="E21" s="4">
        <v>13.5</v>
      </c>
      <c r="F21" s="4">
        <f t="shared" si="0"/>
        <v>1237500000</v>
      </c>
      <c r="G21" s="4">
        <f t="shared" si="1"/>
        <v>4159375000</v>
      </c>
      <c r="H21" s="4">
        <f>12*'VERIFICHE GENERALI'!$B$2*'PIANO 1'!$G21/'VERIFICHE GENERALI'!$B$9^3</f>
        <v>57306.944444444445</v>
      </c>
      <c r="I21" s="4">
        <f>12*'VERIFICHE GENERALI'!$B$2*'PIANO 1'!F21/'VERIFICHE GENERALI'!$B$9^3</f>
        <v>17050</v>
      </c>
      <c r="J21" s="4">
        <f t="shared" si="2"/>
        <v>229227.77777777778</v>
      </c>
      <c r="K21" s="4">
        <f t="shared" si="3"/>
        <v>230175</v>
      </c>
    </row>
    <row r="22" spans="1:13" s="2" customFormat="1" x14ac:dyDescent="0.25">
      <c r="A22" s="12">
        <v>18</v>
      </c>
      <c r="B22" s="10">
        <v>550</v>
      </c>
      <c r="C22" s="10">
        <v>300</v>
      </c>
      <c r="D22" s="4">
        <v>8</v>
      </c>
      <c r="E22" s="4">
        <v>13.5</v>
      </c>
      <c r="F22" s="4">
        <f t="shared" si="0"/>
        <v>1237500000</v>
      </c>
      <c r="G22" s="4">
        <f t="shared" si="1"/>
        <v>4159375000</v>
      </c>
      <c r="H22" s="4">
        <f>12*'VERIFICHE GENERALI'!$B$2*'PIANO 1'!$G22/'VERIFICHE GENERALI'!$B$9^3</f>
        <v>57306.944444444445</v>
      </c>
      <c r="I22" s="4">
        <f>12*'VERIFICHE GENERALI'!$B$2*'PIANO 1'!F22/'VERIFICHE GENERALI'!$B$9^3</f>
        <v>17050</v>
      </c>
      <c r="J22" s="4">
        <f t="shared" si="2"/>
        <v>458455.55555555556</v>
      </c>
      <c r="K22" s="4">
        <f t="shared" si="3"/>
        <v>230175</v>
      </c>
    </row>
    <row r="23" spans="1:13" s="2" customFormat="1" x14ac:dyDescent="0.25">
      <c r="A23" s="12">
        <v>19</v>
      </c>
      <c r="B23" s="10">
        <v>550</v>
      </c>
      <c r="C23" s="10">
        <v>300</v>
      </c>
      <c r="D23" s="4">
        <v>13.5</v>
      </c>
      <c r="E23" s="4">
        <v>13.5</v>
      </c>
      <c r="F23" s="4">
        <f t="shared" si="0"/>
        <v>1237500000</v>
      </c>
      <c r="G23" s="4">
        <f t="shared" si="1"/>
        <v>4159375000</v>
      </c>
      <c r="H23" s="4">
        <f>12*'VERIFICHE GENERALI'!$B$2*'PIANO 1'!$G23/'VERIFICHE GENERALI'!$B$9^3</f>
        <v>57306.944444444445</v>
      </c>
      <c r="I23" s="4">
        <f>12*'VERIFICHE GENERALI'!$B$2*'PIANO 1'!F23/'VERIFICHE GENERALI'!$B$9^3</f>
        <v>17050</v>
      </c>
      <c r="J23" s="4">
        <f t="shared" si="2"/>
        <v>773643.75</v>
      </c>
      <c r="K23" s="4">
        <f t="shared" si="3"/>
        <v>230175</v>
      </c>
    </row>
    <row r="24" spans="1:13" s="2" customFormat="1" x14ac:dyDescent="0.25">
      <c r="A24" s="12">
        <v>20</v>
      </c>
      <c r="B24" s="10">
        <v>550</v>
      </c>
      <c r="C24" s="10">
        <v>300</v>
      </c>
      <c r="D24" s="4">
        <v>17.5</v>
      </c>
      <c r="E24" s="4">
        <v>13.5</v>
      </c>
      <c r="F24" s="4">
        <f t="shared" si="0"/>
        <v>1237500000</v>
      </c>
      <c r="G24" s="4">
        <f t="shared" si="1"/>
        <v>4159375000</v>
      </c>
      <c r="H24" s="4">
        <f>12*'VERIFICHE GENERALI'!$B$2*'PIANO 1'!$G24/'VERIFICHE GENERALI'!$B$9^3</f>
        <v>57306.944444444445</v>
      </c>
      <c r="I24" s="4">
        <f>12*'VERIFICHE GENERALI'!$B$2*'PIANO 1'!F24/'VERIFICHE GENERALI'!$B$9^3</f>
        <v>17050</v>
      </c>
      <c r="J24" s="4">
        <f t="shared" si="2"/>
        <v>1002871.5277777778</v>
      </c>
      <c r="K24" s="4">
        <f t="shared" si="3"/>
        <v>230175</v>
      </c>
    </row>
    <row r="25" spans="1:13" s="2" customFormat="1" x14ac:dyDescent="0.25"/>
    <row r="26" spans="1:13" s="2" customFormat="1" x14ac:dyDescent="0.25"/>
    <row r="27" spans="1:13" s="2" customFormat="1" x14ac:dyDescent="0.25"/>
    <row r="28" spans="1:13" s="2" customFormat="1" x14ac:dyDescent="0.25"/>
    <row r="29" spans="1:13" s="2" customFormat="1" x14ac:dyDescent="0.25">
      <c r="J29" s="21"/>
      <c r="K29" s="21"/>
      <c r="L29" s="21"/>
      <c r="M29" s="21"/>
    </row>
    <row r="30" spans="1:13" s="2" customFormat="1" x14ac:dyDescent="0.25">
      <c r="J30" s="21"/>
      <c r="K30" s="21"/>
      <c r="L30" s="21"/>
      <c r="M30" s="21"/>
    </row>
    <row r="31" spans="1:13" s="2" customFormat="1" x14ac:dyDescent="0.25">
      <c r="J31" s="21"/>
      <c r="K31" s="22"/>
      <c r="L31" s="22"/>
      <c r="M31" s="21"/>
    </row>
    <row r="32" spans="1:13" s="2" customFormat="1" x14ac:dyDescent="0.25">
      <c r="J32" s="21"/>
      <c r="K32" s="21"/>
      <c r="L32" s="21"/>
      <c r="M32" s="21"/>
    </row>
    <row r="33" spans="1:13" s="2" customFormat="1" x14ac:dyDescent="0.25">
      <c r="J33" s="21"/>
      <c r="K33" s="21"/>
      <c r="L33" s="21"/>
      <c r="M33" s="21"/>
    </row>
    <row r="34" spans="1:13" s="2" customFormat="1" x14ac:dyDescent="0.25"/>
    <row r="35" spans="1:13" s="2" customFormat="1" x14ac:dyDescent="0.25"/>
    <row r="36" spans="1:13" s="2" customFormat="1" x14ac:dyDescent="0.25"/>
    <row r="37" spans="1:13" s="2" customFormat="1" x14ac:dyDescent="0.25"/>
    <row r="38" spans="1:13" s="2" customFormat="1" x14ac:dyDescent="0.25"/>
    <row r="39" spans="1:13" s="2" customFormat="1" x14ac:dyDescent="0.25"/>
    <row r="40" spans="1:13" s="2" customFormat="1" x14ac:dyDescent="0.25"/>
    <row r="41" spans="1:13" s="2" customFormat="1" x14ac:dyDescent="0.25"/>
    <row r="42" spans="1:13" s="2" customFormat="1" x14ac:dyDescent="0.25"/>
    <row r="43" spans="1:13" s="2" customFormat="1" x14ac:dyDescent="0.25"/>
    <row r="44" spans="1:13" s="2" customFormat="1" x14ac:dyDescent="0.25"/>
    <row r="45" spans="1:13" s="2" customFormat="1" x14ac:dyDescent="0.25"/>
    <row r="46" spans="1:13" s="2" customFormat="1" x14ac:dyDescent="0.25"/>
    <row r="47" spans="1:13" s="2" customFormat="1" ht="21" x14ac:dyDescent="0.35">
      <c r="A47" s="55" t="s">
        <v>80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spans="1:13" s="2" customFormat="1" x14ac:dyDescent="0.25"/>
    <row r="49" spans="4:13" s="2" customFormat="1" x14ac:dyDescent="0.25"/>
    <row r="50" spans="4:13" s="2" customFormat="1" x14ac:dyDescent="0.25">
      <c r="D50" s="15" t="s">
        <v>3</v>
      </c>
      <c r="E50" s="15" t="s">
        <v>55</v>
      </c>
      <c r="F50" s="15" t="s">
        <v>57</v>
      </c>
      <c r="G50" s="15" t="s">
        <v>61</v>
      </c>
      <c r="H50" s="15" t="s">
        <v>70</v>
      </c>
      <c r="I50" s="1"/>
      <c r="K50" s="9" t="s">
        <v>33</v>
      </c>
    </row>
    <row r="51" spans="4:13" s="2" customFormat="1" x14ac:dyDescent="0.25">
      <c r="D51" s="15" t="s">
        <v>68</v>
      </c>
      <c r="E51" s="15" t="s">
        <v>56</v>
      </c>
      <c r="F51" s="15" t="s">
        <v>22</v>
      </c>
      <c r="G51" s="15" t="s">
        <v>22</v>
      </c>
      <c r="H51" s="15" t="s">
        <v>71</v>
      </c>
      <c r="I51" s="6" t="s">
        <v>127</v>
      </c>
      <c r="K51" s="6" t="s">
        <v>78</v>
      </c>
      <c r="L51" s="4">
        <v>14.345499999999998</v>
      </c>
      <c r="M51" s="4" t="s">
        <v>54</v>
      </c>
    </row>
    <row r="52" spans="4:13" s="2" customFormat="1" x14ac:dyDescent="0.25">
      <c r="D52" s="12">
        <v>1</v>
      </c>
      <c r="E52" s="7">
        <f>2*2</f>
        <v>4</v>
      </c>
      <c r="F52" s="10">
        <f>(25*(B5*C5*'VERIFICHE GENERALI'!$B$9)/1000^3)*1.3+E52*$L$51+E52*$L$54+'PIANO 2'!E48+($L$55/$L$56)*E52</f>
        <v>383.97918412698414</v>
      </c>
      <c r="G52" s="10">
        <f>('VERIFICHE GENERALI'!$B$11*B5*C5)/1000</f>
        <v>2805</v>
      </c>
      <c r="H52" s="4">
        <f>F52/G52</f>
        <v>0.13689097473332767</v>
      </c>
      <c r="I52" s="17" t="str">
        <f>IF(H52&lt;=1,"OK","NO")</f>
        <v>OK</v>
      </c>
      <c r="K52" s="4" t="s">
        <v>58</v>
      </c>
      <c r="L52" s="4">
        <f>'VERIFICHE GENERALI'!D18</f>
        <v>515.625</v>
      </c>
    </row>
    <row r="53" spans="4:13" s="2" customFormat="1" x14ac:dyDescent="0.25">
      <c r="D53" s="12">
        <v>2</v>
      </c>
      <c r="E53" s="7">
        <f>4*2</f>
        <v>8</v>
      </c>
      <c r="F53" s="10">
        <f>(25*(B6*C6*'VERIFICHE GENERALI'!$B$9)/1000^3)*1.3+E53*$L$51+E53*$L$54+'PIANO 2'!E49+($L$55/$L$56)*E53</f>
        <v>712.38336825396823</v>
      </c>
      <c r="G53" s="10">
        <f>('VERIFICHE GENERALI'!$B$11*B6*C6)/1000</f>
        <v>2805</v>
      </c>
      <c r="H53" s="4">
        <f t="shared" ref="H53:H71" si="4">F53/G53</f>
        <v>0.2539691152420564</v>
      </c>
      <c r="I53" s="17" t="str">
        <f t="shared" ref="I53:I71" si="5">IF(H53&lt;=1,"OK","NO")</f>
        <v>OK</v>
      </c>
      <c r="K53" s="4" t="s">
        <v>59</v>
      </c>
      <c r="L53" s="4">
        <f>(L8*2)*(M8*2)</f>
        <v>236.25</v>
      </c>
    </row>
    <row r="54" spans="4:13" s="2" customFormat="1" x14ac:dyDescent="0.25">
      <c r="D54" s="12">
        <v>3</v>
      </c>
      <c r="E54" s="7">
        <f>4.75*2</f>
        <v>9.5</v>
      </c>
      <c r="F54" s="10">
        <f>(25*(B7*C7*'VERIFICHE GENERALI'!$B$9)/1000^3)*1.3+E54*$L$51+E54*$L$54+'PIANO 2'!E50+($L$55/$L$56)*E54</f>
        <v>835.53493730158721</v>
      </c>
      <c r="G54" s="10">
        <f>('VERIFICHE GENERALI'!$B$11*B7*C7)/1000</f>
        <v>2805</v>
      </c>
      <c r="H54" s="4">
        <f t="shared" si="4"/>
        <v>0.29787341793282968</v>
      </c>
      <c r="I54" s="17" t="str">
        <f t="shared" si="5"/>
        <v>OK</v>
      </c>
      <c r="K54" s="4" t="s">
        <v>60</v>
      </c>
      <c r="L54" s="4">
        <f>L52/L53*1.3</f>
        <v>2.837301587301587</v>
      </c>
    </row>
    <row r="55" spans="4:13" s="2" customFormat="1" x14ac:dyDescent="0.25">
      <c r="D55" s="12">
        <v>4</v>
      </c>
      <c r="E55" s="7">
        <f>4.75*2</f>
        <v>9.5</v>
      </c>
      <c r="F55" s="10">
        <f>(25*(B8*C8*'VERIFICHE GENERALI'!$B$9)/1000^3)*1.3+E55*$L$51+E55*$L$54+'PIANO 2'!E51+($L$55/$L$56)*E55</f>
        <v>835.53493730158721</v>
      </c>
      <c r="G55" s="10">
        <f>('VERIFICHE GENERALI'!$B$11*B8*C8)/1000</f>
        <v>2805</v>
      </c>
      <c r="H55" s="4">
        <f t="shared" si="4"/>
        <v>0.29787341793282968</v>
      </c>
      <c r="I55" s="17" t="str">
        <f t="shared" si="5"/>
        <v>OK</v>
      </c>
      <c r="K55" s="4" t="s">
        <v>72</v>
      </c>
      <c r="L55" s="4">
        <f>[1]TRAMEZZI!$I$17*(L8*4+M8*4)*1.3</f>
        <v>603.53279999999995</v>
      </c>
    </row>
    <row r="56" spans="4:13" s="2" customFormat="1" x14ac:dyDescent="0.25">
      <c r="D56" s="12">
        <v>5</v>
      </c>
      <c r="E56" s="7">
        <f>2*2</f>
        <v>4</v>
      </c>
      <c r="F56" s="10">
        <f>(25*(B9*C9*'VERIFICHE GENERALI'!$B$9)/1000^3)*1.3+E56*$L$51+E56*$L$54+'PIANO 2'!E52+($L$55/$L$56)*E56</f>
        <v>383.97918412698414</v>
      </c>
      <c r="G56" s="10">
        <f>('VERIFICHE GENERALI'!$B$11*B9*C9)/1000</f>
        <v>2805</v>
      </c>
      <c r="H56" s="4">
        <f t="shared" si="4"/>
        <v>0.13689097473332767</v>
      </c>
      <c r="I56" s="17" t="str">
        <f t="shared" si="5"/>
        <v>OK</v>
      </c>
      <c r="K56" s="4" t="s">
        <v>73</v>
      </c>
      <c r="L56" s="4">
        <f>SUM(E52:E56,E67:E71)+E62+E57+E66+E61</f>
        <v>108</v>
      </c>
    </row>
    <row r="57" spans="4:13" s="2" customFormat="1" x14ac:dyDescent="0.25">
      <c r="D57" s="12">
        <v>6</v>
      </c>
      <c r="E57" s="7">
        <f>2*4.75</f>
        <v>9.5</v>
      </c>
      <c r="F57" s="10">
        <f>(25*(B10*C10*'VERIFICHE GENERALI'!$B$9)/1000^3)*1.3+E57*$L$51+E57*$L$54+'PIANO 2'!E53+($L$55/$L$56)*E57</f>
        <v>835.53493730158721</v>
      </c>
      <c r="G57" s="10">
        <f>('VERIFICHE GENERALI'!$B$11*B10*C10)/1000</f>
        <v>2805</v>
      </c>
      <c r="H57" s="4">
        <f t="shared" si="4"/>
        <v>0.29787341793282968</v>
      </c>
      <c r="I57" s="17" t="str">
        <f t="shared" si="5"/>
        <v>OK</v>
      </c>
    </row>
    <row r="58" spans="4:13" s="2" customFormat="1" x14ac:dyDescent="0.25">
      <c r="D58" s="12">
        <v>7</v>
      </c>
      <c r="E58" s="7">
        <f>4*4.75</f>
        <v>19</v>
      </c>
      <c r="F58" s="10">
        <f>(25*(B11*C11*'VERIFICHE GENERALI'!$B$9)/1000^3)*1.3+E58*$L$51+E58*$L$54+'PIANO 2'!E54</f>
        <v>1293.9261746031743</v>
      </c>
      <c r="G58" s="10">
        <f>('VERIFICHE GENERALI'!$B$11*B11*C11)/1000</f>
        <v>2805</v>
      </c>
      <c r="H58" s="4">
        <f t="shared" si="4"/>
        <v>0.46129275386922436</v>
      </c>
      <c r="I58" s="17" t="str">
        <f t="shared" si="5"/>
        <v>OK</v>
      </c>
    </row>
    <row r="59" spans="4:13" s="2" customFormat="1" x14ac:dyDescent="0.25">
      <c r="D59" s="12">
        <v>8</v>
      </c>
      <c r="E59" s="7">
        <f>4.75*4.75</f>
        <v>22.5625</v>
      </c>
      <c r="F59" s="10">
        <f>(25*(B12*C12*'VERIFICHE GENERALI'!$B$9)/1000^3)*1.3+E59*$L$51+E59*$L$54+'PIANO 2'!E55</f>
        <v>1526.6865510912696</v>
      </c>
      <c r="G59" s="10">
        <f>('VERIFICHE GENERALI'!$B$11*B12*C12)/1000</f>
        <v>2805</v>
      </c>
      <c r="H59" s="4">
        <f t="shared" si="4"/>
        <v>0.54427328024644195</v>
      </c>
      <c r="I59" s="17" t="str">
        <f t="shared" si="5"/>
        <v>OK</v>
      </c>
    </row>
    <row r="60" spans="4:13" s="2" customFormat="1" x14ac:dyDescent="0.25">
      <c r="D60" s="12">
        <v>9</v>
      </c>
      <c r="E60" s="7">
        <f>4.75*4.75</f>
        <v>22.5625</v>
      </c>
      <c r="F60" s="10">
        <f>(25*(B13*C13*'VERIFICHE GENERALI'!$B$9)/1000^3)*1.3+E60*$L$51+E60*$L$54+'PIANO 2'!E56</f>
        <v>1526.6865510912696</v>
      </c>
      <c r="G60" s="10">
        <f>('VERIFICHE GENERALI'!$B$11*B13*C13)/1000</f>
        <v>2805</v>
      </c>
      <c r="H60" s="4">
        <f t="shared" si="4"/>
        <v>0.54427328024644195</v>
      </c>
      <c r="I60" s="17" t="str">
        <f t="shared" si="5"/>
        <v>OK</v>
      </c>
    </row>
    <row r="61" spans="4:13" s="2" customFormat="1" x14ac:dyDescent="0.25">
      <c r="D61" s="12">
        <v>10</v>
      </c>
      <c r="E61" s="7">
        <f>4.75*2</f>
        <v>9.5</v>
      </c>
      <c r="F61" s="10">
        <f>(25*(B14*C14*'VERIFICHE GENERALI'!$B$9)/1000^3)*1.3+E61*$L$51+E61*$L$54+'PIANO 2'!E57+($L$55/$L$56)*E61</f>
        <v>832.15993730158721</v>
      </c>
      <c r="G61" s="10">
        <f>('VERIFICHE GENERALI'!$B$11*B14*C14)/1000</f>
        <v>2805</v>
      </c>
      <c r="H61" s="4">
        <f t="shared" si="4"/>
        <v>0.29667020937667993</v>
      </c>
      <c r="I61" s="17" t="str">
        <f t="shared" si="5"/>
        <v>OK</v>
      </c>
    </row>
    <row r="62" spans="4:13" s="2" customFormat="1" x14ac:dyDescent="0.25">
      <c r="D62" s="12">
        <v>11</v>
      </c>
      <c r="E62" s="7">
        <f>2*4.75</f>
        <v>9.5</v>
      </c>
      <c r="F62" s="10">
        <f>(25*(B15*C15*'VERIFICHE GENERALI'!$B$9)/1000^3)*1.3+E62*$L$51+E62*$L$54+'PIANO 2'!E58+($L$55/$L$56)*E62</f>
        <v>832.15993730158721</v>
      </c>
      <c r="G62" s="10">
        <f>('VERIFICHE GENERALI'!$B$11*B15*C15)/1000</f>
        <v>2805</v>
      </c>
      <c r="H62" s="4">
        <f t="shared" si="4"/>
        <v>0.29667020937667993</v>
      </c>
      <c r="I62" s="17" t="str">
        <f t="shared" si="5"/>
        <v>OK</v>
      </c>
    </row>
    <row r="63" spans="4:13" s="2" customFormat="1" x14ac:dyDescent="0.25">
      <c r="D63" s="12">
        <v>12</v>
      </c>
      <c r="E63" s="7">
        <f>4*4.75</f>
        <v>19</v>
      </c>
      <c r="F63" s="10">
        <f>(25*(B16*C16*'VERIFICHE GENERALI'!$B$9)/1000^3)*1.3+E63*$L$51+E63*$L$54+'PIANO 2'!E59</f>
        <v>1296.9636746031742</v>
      </c>
      <c r="G63" s="10">
        <f>('VERIFICHE GENERALI'!$B$11*B16*C16)/1000</f>
        <v>2805</v>
      </c>
      <c r="H63" s="4">
        <f t="shared" si="4"/>
        <v>0.46237564156975908</v>
      </c>
      <c r="I63" s="17" t="str">
        <f t="shared" si="5"/>
        <v>OK</v>
      </c>
    </row>
    <row r="64" spans="4:13" s="2" customFormat="1" x14ac:dyDescent="0.25">
      <c r="D64" s="12">
        <v>13</v>
      </c>
      <c r="E64" s="7">
        <f>4.75*4.75</f>
        <v>22.5625</v>
      </c>
      <c r="F64" s="10">
        <f>(25*(B17*C17*'VERIFICHE GENERALI'!$B$9)/1000^3)*1.3+E64*$L$51+E64*$L$54+'PIANO 2'!E60</f>
        <v>1526.3490510912698</v>
      </c>
      <c r="G64" s="10">
        <f>('VERIFICHE GENERALI'!$B$11*B17*C17)/1000</f>
        <v>2805</v>
      </c>
      <c r="H64" s="4">
        <f t="shared" si="4"/>
        <v>0.54415295939082697</v>
      </c>
      <c r="I64" s="17" t="str">
        <f t="shared" si="5"/>
        <v>OK</v>
      </c>
    </row>
    <row r="65" spans="3:9" s="2" customFormat="1" x14ac:dyDescent="0.25">
      <c r="D65" s="12">
        <v>14</v>
      </c>
      <c r="E65" s="7">
        <f>4.75*4.75</f>
        <v>22.5625</v>
      </c>
      <c r="F65" s="10">
        <f>(25*(B18*C18*'VERIFICHE GENERALI'!$B$9)/1000^3)*1.3+E65*$L$51+E65*$L$54+'PIANO 2'!E61</f>
        <v>1526.3490510912698</v>
      </c>
      <c r="G65" s="10">
        <f>('VERIFICHE GENERALI'!$B$11*B18*C18)/1000</f>
        <v>2805</v>
      </c>
      <c r="H65" s="4">
        <f t="shared" si="4"/>
        <v>0.54415295939082697</v>
      </c>
      <c r="I65" s="17" t="str">
        <f t="shared" si="5"/>
        <v>OK</v>
      </c>
    </row>
    <row r="66" spans="3:9" s="2" customFormat="1" x14ac:dyDescent="0.25">
      <c r="D66" s="12">
        <v>15</v>
      </c>
      <c r="E66" s="7">
        <f>4.75*2</f>
        <v>9.5</v>
      </c>
      <c r="F66" s="10">
        <f>(25*(B19*C19*'VERIFICHE GENERALI'!$B$9)/1000^3)*1.3+E66*$L$51+E66*$L$54+'PIANO 2'!E62+($L$55/$L$56)*E66</f>
        <v>835.53493730158721</v>
      </c>
      <c r="G66" s="10">
        <f>('VERIFICHE GENERALI'!$B$11*B19*C19)/1000</f>
        <v>2805</v>
      </c>
      <c r="H66" s="4">
        <f t="shared" si="4"/>
        <v>0.29787341793282968</v>
      </c>
      <c r="I66" s="17" t="str">
        <f t="shared" si="5"/>
        <v>OK</v>
      </c>
    </row>
    <row r="67" spans="3:9" s="2" customFormat="1" x14ac:dyDescent="0.25">
      <c r="C67" s="23"/>
      <c r="D67" s="12">
        <v>16</v>
      </c>
      <c r="E67" s="7">
        <f>2*2</f>
        <v>4</v>
      </c>
      <c r="F67" s="10">
        <f>(25*(B20*C20*'VERIFICHE GENERALI'!$B$9)/1000^3)*1.3+E67*$L$51+E67*$L$54+'PIANO 2'!E63+($L$55/$L$56)*E67</f>
        <v>383.97918412698414</v>
      </c>
      <c r="G67" s="10">
        <f>('VERIFICHE GENERALI'!$B$11*B20*C20)/1000</f>
        <v>2805</v>
      </c>
      <c r="H67" s="4">
        <f t="shared" si="4"/>
        <v>0.13689097473332767</v>
      </c>
      <c r="I67" s="17" t="str">
        <f t="shared" si="5"/>
        <v>OK</v>
      </c>
    </row>
    <row r="68" spans="3:9" s="2" customFormat="1" x14ac:dyDescent="0.25">
      <c r="D68" s="12">
        <v>17</v>
      </c>
      <c r="E68" s="7">
        <f>4*2</f>
        <v>8</v>
      </c>
      <c r="F68" s="10">
        <f>(25*(B21*C21*'VERIFICHE GENERALI'!$B$9)/1000^3)*1.3+E68*$L$51+E68*$L$54+'PIANO 2'!E64+($L$55/$L$56)*E68</f>
        <v>712.38336825396823</v>
      </c>
      <c r="G68" s="10">
        <f>('VERIFICHE GENERALI'!$B$11*B21*C21)/1000</f>
        <v>2805</v>
      </c>
      <c r="H68" s="4">
        <f t="shared" si="4"/>
        <v>0.2539691152420564</v>
      </c>
      <c r="I68" s="17" t="str">
        <f t="shared" si="5"/>
        <v>OK</v>
      </c>
    </row>
    <row r="69" spans="3:9" s="2" customFormat="1" x14ac:dyDescent="0.25">
      <c r="D69" s="12">
        <v>18</v>
      </c>
      <c r="E69" s="7">
        <f>4.75*2</f>
        <v>9.5</v>
      </c>
      <c r="F69" s="10">
        <f>(25*(B22*C22*'VERIFICHE GENERALI'!$B$9)/1000^3)*1.3+E69*$L$51+E69*$L$54+'PIANO 2'!E65+($L$55/$L$56)*E69</f>
        <v>835.53493730158721</v>
      </c>
      <c r="G69" s="10">
        <f>('VERIFICHE GENERALI'!$B$11*B22*C22)/1000</f>
        <v>2805</v>
      </c>
      <c r="H69" s="4">
        <f t="shared" si="4"/>
        <v>0.29787341793282968</v>
      </c>
      <c r="I69" s="17" t="str">
        <f t="shared" si="5"/>
        <v>OK</v>
      </c>
    </row>
    <row r="70" spans="3:9" s="2" customFormat="1" x14ac:dyDescent="0.25">
      <c r="D70" s="12">
        <v>19</v>
      </c>
      <c r="E70" s="7">
        <f>4.75*2</f>
        <v>9.5</v>
      </c>
      <c r="F70" s="10">
        <f>(25*(B23*C23*'VERIFICHE GENERALI'!$B$9)/1000^3)*1.3+E70*$L$51+E70*$L$54+'PIANO 2'!E66+($L$55/$L$56)*E70</f>
        <v>835.53493730158721</v>
      </c>
      <c r="G70" s="10">
        <f>('VERIFICHE GENERALI'!$B$11*B23*C23)/1000</f>
        <v>2805</v>
      </c>
      <c r="H70" s="4">
        <f t="shared" si="4"/>
        <v>0.29787341793282968</v>
      </c>
      <c r="I70" s="17" t="str">
        <f t="shared" si="5"/>
        <v>OK</v>
      </c>
    </row>
    <row r="71" spans="3:9" s="2" customFormat="1" x14ac:dyDescent="0.25">
      <c r="D71" s="12">
        <v>20</v>
      </c>
      <c r="E71" s="7">
        <f>2*2</f>
        <v>4</v>
      </c>
      <c r="F71" s="10">
        <f>(25*(B24*C24*'VERIFICHE GENERALI'!$B$9)/1000^3)*1.3+E71*$L$51+E71*$L$54+'PIANO 2'!E67+($L$55/$L$56)*E71</f>
        <v>383.97918412698414</v>
      </c>
      <c r="G71" s="10">
        <f>('VERIFICHE GENERALI'!$B$11*B24*C24)/1000</f>
        <v>2805</v>
      </c>
      <c r="H71" s="4">
        <f t="shared" si="4"/>
        <v>0.13689097473332767</v>
      </c>
      <c r="I71" s="17" t="str">
        <f t="shared" si="5"/>
        <v>OK</v>
      </c>
    </row>
    <row r="72" spans="3:9" s="2" customFormat="1" x14ac:dyDescent="0.25"/>
    <row r="73" spans="3:9" s="2" customFormat="1" x14ac:dyDescent="0.25"/>
    <row r="74" spans="3:9" s="2" customFormat="1" x14ac:dyDescent="0.25"/>
    <row r="75" spans="3:9" s="2" customFormat="1" x14ac:dyDescent="0.25"/>
    <row r="76" spans="3:9" s="2" customFormat="1" x14ac:dyDescent="0.25"/>
    <row r="77" spans="3:9" s="2" customFormat="1" x14ac:dyDescent="0.25"/>
    <row r="78" spans="3:9" s="2" customFormat="1" x14ac:dyDescent="0.25"/>
    <row r="79" spans="3:9" s="2" customFormat="1" x14ac:dyDescent="0.25"/>
    <row r="80" spans="3:9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</sheetData>
  <mergeCells count="2">
    <mergeCell ref="A1:M1"/>
    <mergeCell ref="A47:K4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B0F9-E5F3-4DC4-83CD-32B98502CFA1}">
  <dimension ref="A1:N273"/>
  <sheetViews>
    <sheetView topLeftCell="A44" zoomScaleNormal="100" workbookViewId="0">
      <selection activeCell="I49" sqref="I49"/>
    </sheetView>
  </sheetViews>
  <sheetFormatPr defaultRowHeight="15" x14ac:dyDescent="0.25"/>
  <cols>
    <col min="1" max="5" width="9.140625" style="1"/>
    <col min="6" max="6" width="15.85546875" style="1" customWidth="1"/>
    <col min="7" max="7" width="16.7109375" style="1" customWidth="1"/>
    <col min="8" max="9" width="11.5703125" style="1" bestFit="1" customWidth="1"/>
    <col min="10" max="10" width="19.28515625" style="1" customWidth="1"/>
    <col min="11" max="11" width="28.28515625" style="1" customWidth="1"/>
    <col min="12" max="12" width="11.28515625" style="1" customWidth="1"/>
    <col min="13" max="14" width="9.140625" style="1"/>
    <col min="15" max="15" width="23.140625" style="1" customWidth="1"/>
    <col min="16" max="16" width="14.85546875" style="1" customWidth="1"/>
    <col min="17" max="17" width="13" style="1" customWidth="1"/>
    <col min="18" max="18" width="13.7109375" style="1" customWidth="1"/>
    <col min="19" max="19" width="14.42578125" style="1" customWidth="1"/>
    <col min="20" max="20" width="17.7109375" style="1" customWidth="1"/>
    <col min="21" max="16384" width="9.140625" style="1"/>
  </cols>
  <sheetData>
    <row r="1" spans="1:14" ht="21" x14ac:dyDescent="0.35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4" s="2" customForma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10</v>
      </c>
      <c r="G3" s="3" t="s">
        <v>11</v>
      </c>
      <c r="H3" s="3" t="s">
        <v>34</v>
      </c>
      <c r="I3" s="3" t="s">
        <v>35</v>
      </c>
      <c r="J3" s="3" t="s">
        <v>45</v>
      </c>
      <c r="K3" s="3" t="s">
        <v>46</v>
      </c>
      <c r="L3" s="3" t="s">
        <v>53</v>
      </c>
      <c r="M3" s="3" t="s">
        <v>52</v>
      </c>
      <c r="N3" s="1"/>
    </row>
    <row r="4" spans="1:14" s="2" customFormat="1" x14ac:dyDescent="0.25">
      <c r="A4" s="3" t="s">
        <v>1</v>
      </c>
      <c r="B4" s="3" t="s">
        <v>8</v>
      </c>
      <c r="C4" s="3" t="s">
        <v>8</v>
      </c>
      <c r="D4" s="3" t="s">
        <v>9</v>
      </c>
      <c r="E4" s="3" t="s">
        <v>9</v>
      </c>
      <c r="F4" s="3" t="s">
        <v>2</v>
      </c>
      <c r="G4" s="3" t="s">
        <v>2</v>
      </c>
      <c r="H4" s="3" t="s">
        <v>37</v>
      </c>
      <c r="I4" s="3" t="s">
        <v>37</v>
      </c>
      <c r="J4" s="3" t="s">
        <v>47</v>
      </c>
      <c r="K4" s="3" t="s">
        <v>47</v>
      </c>
      <c r="L4" s="3" t="s">
        <v>9</v>
      </c>
      <c r="M4" s="3" t="s">
        <v>9</v>
      </c>
      <c r="N4" s="1"/>
    </row>
    <row r="5" spans="1:14" s="2" customFormat="1" x14ac:dyDescent="0.25">
      <c r="A5" s="12">
        <v>1</v>
      </c>
      <c r="B5" s="10">
        <v>500</v>
      </c>
      <c r="C5" s="10">
        <v>300</v>
      </c>
      <c r="D5" s="4">
        <v>0</v>
      </c>
      <c r="E5" s="4">
        <v>0</v>
      </c>
      <c r="F5" s="4">
        <f>B5*C5^3/12</f>
        <v>1125000000</v>
      </c>
      <c r="G5" s="4">
        <f>C5*B5^3/12</f>
        <v>3125000000</v>
      </c>
      <c r="H5" s="4">
        <f>12*'VERIFICHE GENERALI'!$B$2*'PIANO 2'!$G5/'VERIFICHE GENERALI'!$B$9^3</f>
        <v>43055.555555555555</v>
      </c>
      <c r="I5" s="4">
        <f>12*'VERIFICHE GENERALI'!$B$2*'PIANO 2'!F5/'VERIFICHE GENERALI'!$B$9^3</f>
        <v>15500</v>
      </c>
      <c r="J5" s="4">
        <f>H5*D5</f>
        <v>0</v>
      </c>
      <c r="K5" s="4">
        <f>I5*E5</f>
        <v>0</v>
      </c>
      <c r="L5" s="4">
        <f>SUM(J5:J24)/SUM(H5:H24)</f>
        <v>8.6000000000000014</v>
      </c>
      <c r="M5" s="4">
        <f>SUM(K5:K24)/SUM(I5:I24)</f>
        <v>6.7499999999999991</v>
      </c>
    </row>
    <row r="6" spans="1:14" s="2" customFormat="1" x14ac:dyDescent="0.25">
      <c r="A6" s="12">
        <v>2</v>
      </c>
      <c r="B6" s="10">
        <v>500</v>
      </c>
      <c r="C6" s="10">
        <v>300</v>
      </c>
      <c r="D6" s="4">
        <v>4</v>
      </c>
      <c r="E6" s="4">
        <v>0</v>
      </c>
      <c r="F6" s="4">
        <f t="shared" ref="F6:F24" si="0">B6*C6^3/12</f>
        <v>1125000000</v>
      </c>
      <c r="G6" s="4">
        <f t="shared" ref="G6:G24" si="1">C6*B6^3/12</f>
        <v>3125000000</v>
      </c>
      <c r="H6" s="4">
        <f>12*'VERIFICHE GENERALI'!$B$2*'PIANO 2'!$G6/'VERIFICHE GENERALI'!$B$9^3</f>
        <v>43055.555555555555</v>
      </c>
      <c r="I6" s="4">
        <f>12*'VERIFICHE GENERALI'!$B$2*'PIANO 2'!F6/'VERIFICHE GENERALI'!$B$9^3</f>
        <v>15500</v>
      </c>
      <c r="J6" s="4">
        <f t="shared" ref="J6:J24" si="2">H6*D6</f>
        <v>172222.22222222222</v>
      </c>
      <c r="K6" s="4">
        <f t="shared" ref="K6:K24" si="3">I6*E6</f>
        <v>0</v>
      </c>
      <c r="L6" s="11" t="s">
        <v>49</v>
      </c>
      <c r="M6" s="3" t="s">
        <v>50</v>
      </c>
    </row>
    <row r="7" spans="1:14" s="2" customFormat="1" x14ac:dyDescent="0.25">
      <c r="A7" s="12">
        <v>3</v>
      </c>
      <c r="B7" s="10">
        <v>500</v>
      </c>
      <c r="C7" s="10">
        <v>300</v>
      </c>
      <c r="D7" s="4">
        <v>8</v>
      </c>
      <c r="E7" s="4">
        <v>0</v>
      </c>
      <c r="F7" s="4">
        <f t="shared" si="0"/>
        <v>1125000000</v>
      </c>
      <c r="G7" s="4">
        <f t="shared" si="1"/>
        <v>3125000000</v>
      </c>
      <c r="H7" s="4">
        <f>12*'VERIFICHE GENERALI'!$B$2*'PIANO 2'!$G7/'VERIFICHE GENERALI'!$B$9^3</f>
        <v>43055.555555555555</v>
      </c>
      <c r="I7" s="4">
        <f>12*'VERIFICHE GENERALI'!$B$2*'PIANO 2'!F7/'VERIFICHE GENERALI'!$B$9^3</f>
        <v>15500</v>
      </c>
      <c r="J7" s="4">
        <f t="shared" si="2"/>
        <v>344444.44444444444</v>
      </c>
      <c r="K7" s="4">
        <f t="shared" si="3"/>
        <v>0</v>
      </c>
      <c r="L7" s="11" t="s">
        <v>9</v>
      </c>
      <c r="M7" s="3" t="s">
        <v>9</v>
      </c>
    </row>
    <row r="8" spans="1:14" s="2" customFormat="1" x14ac:dyDescent="0.25">
      <c r="A8" s="12">
        <v>4</v>
      </c>
      <c r="B8" s="10">
        <v>500</v>
      </c>
      <c r="C8" s="10">
        <v>300</v>
      </c>
      <c r="D8" s="4">
        <v>13.5</v>
      </c>
      <c r="E8" s="4">
        <v>0</v>
      </c>
      <c r="F8" s="4">
        <f t="shared" si="0"/>
        <v>1125000000</v>
      </c>
      <c r="G8" s="4">
        <f t="shared" si="1"/>
        <v>3125000000</v>
      </c>
      <c r="H8" s="4">
        <f>12*'VERIFICHE GENERALI'!$B$2*'PIANO 2'!$G8/'VERIFICHE GENERALI'!$B$9^3</f>
        <v>43055.555555555555</v>
      </c>
      <c r="I8" s="4">
        <f>12*'VERIFICHE GENERALI'!$B$2*'PIANO 2'!F8/'VERIFICHE GENERALI'!$B$9^3</f>
        <v>15500</v>
      </c>
      <c r="J8" s="4">
        <f t="shared" si="2"/>
        <v>581250</v>
      </c>
      <c r="K8" s="4">
        <f t="shared" si="3"/>
        <v>0</v>
      </c>
      <c r="L8" s="13">
        <f>17.5/2</f>
        <v>8.75</v>
      </c>
      <c r="M8" s="4">
        <f>13.5/2</f>
        <v>6.75</v>
      </c>
    </row>
    <row r="9" spans="1:14" s="2" customFormat="1" x14ac:dyDescent="0.25">
      <c r="A9" s="12">
        <v>5</v>
      </c>
      <c r="B9" s="10">
        <v>500</v>
      </c>
      <c r="C9" s="10">
        <v>300</v>
      </c>
      <c r="D9" s="4">
        <v>17.5</v>
      </c>
      <c r="E9" s="4">
        <v>0</v>
      </c>
      <c r="F9" s="4">
        <f t="shared" si="0"/>
        <v>1125000000</v>
      </c>
      <c r="G9" s="4">
        <f t="shared" si="1"/>
        <v>3125000000</v>
      </c>
      <c r="H9" s="4">
        <f>12*'VERIFICHE GENERALI'!$B$2*'PIANO 2'!$G9/'VERIFICHE GENERALI'!$B$9^3</f>
        <v>43055.555555555555</v>
      </c>
      <c r="I9" s="4">
        <f>12*'VERIFICHE GENERALI'!$B$2*'PIANO 2'!F9/'VERIFICHE GENERALI'!$B$9^3</f>
        <v>15500</v>
      </c>
      <c r="J9" s="4">
        <f t="shared" si="2"/>
        <v>753472.22222222225</v>
      </c>
      <c r="K9" s="4">
        <f t="shared" si="3"/>
        <v>0</v>
      </c>
    </row>
    <row r="10" spans="1:14" s="2" customFormat="1" x14ac:dyDescent="0.25">
      <c r="A10" s="12">
        <v>6</v>
      </c>
      <c r="B10" s="10">
        <v>300</v>
      </c>
      <c r="C10" s="10">
        <v>500</v>
      </c>
      <c r="D10" s="4">
        <v>0</v>
      </c>
      <c r="E10" s="4">
        <v>4</v>
      </c>
      <c r="F10" s="4">
        <f t="shared" si="0"/>
        <v>3125000000</v>
      </c>
      <c r="G10" s="4">
        <f t="shared" si="1"/>
        <v>1125000000</v>
      </c>
      <c r="H10" s="4">
        <f>12*'VERIFICHE GENERALI'!$B$2*'PIANO 2'!$G10/'VERIFICHE GENERALI'!$B$9^3</f>
        <v>15500</v>
      </c>
      <c r="I10" s="4">
        <f>12*'VERIFICHE GENERALI'!$B$2*'PIANO 2'!F10/'VERIFICHE GENERALI'!$B$9^3</f>
        <v>43055.555555555555</v>
      </c>
      <c r="J10" s="4">
        <f t="shared" si="2"/>
        <v>0</v>
      </c>
      <c r="K10" s="4">
        <f t="shared" si="3"/>
        <v>172222.22222222222</v>
      </c>
    </row>
    <row r="11" spans="1:14" s="2" customFormat="1" x14ac:dyDescent="0.25">
      <c r="A11" s="12">
        <v>7</v>
      </c>
      <c r="B11" s="10">
        <v>300</v>
      </c>
      <c r="C11" s="10">
        <v>500</v>
      </c>
      <c r="D11" s="4">
        <v>4</v>
      </c>
      <c r="E11" s="4">
        <v>4</v>
      </c>
      <c r="F11" s="4">
        <f t="shared" si="0"/>
        <v>3125000000</v>
      </c>
      <c r="G11" s="4">
        <f t="shared" si="1"/>
        <v>1125000000</v>
      </c>
      <c r="H11" s="4">
        <f>12*'VERIFICHE GENERALI'!$B$2*'PIANO 2'!$G11/'VERIFICHE GENERALI'!$B$9^3</f>
        <v>15500</v>
      </c>
      <c r="I11" s="4">
        <f>12*'VERIFICHE GENERALI'!$B$2*'PIANO 2'!F11/'VERIFICHE GENERALI'!$B$9^3</f>
        <v>43055.555555555555</v>
      </c>
      <c r="J11" s="4">
        <f t="shared" si="2"/>
        <v>62000</v>
      </c>
      <c r="K11" s="4">
        <f t="shared" si="3"/>
        <v>172222.22222222222</v>
      </c>
    </row>
    <row r="12" spans="1:14" s="2" customFormat="1" x14ac:dyDescent="0.25">
      <c r="A12" s="12">
        <v>8</v>
      </c>
      <c r="B12" s="10">
        <v>300</v>
      </c>
      <c r="C12" s="10">
        <v>500</v>
      </c>
      <c r="D12" s="4">
        <v>8</v>
      </c>
      <c r="E12" s="4">
        <v>4</v>
      </c>
      <c r="F12" s="4">
        <f t="shared" si="0"/>
        <v>3125000000</v>
      </c>
      <c r="G12" s="4">
        <f t="shared" si="1"/>
        <v>1125000000</v>
      </c>
      <c r="H12" s="4">
        <f>12*'VERIFICHE GENERALI'!$B$2*'PIANO 2'!$G12/'VERIFICHE GENERALI'!$B$9^3</f>
        <v>15500</v>
      </c>
      <c r="I12" s="4">
        <f>12*'VERIFICHE GENERALI'!$B$2*'PIANO 2'!F12/'VERIFICHE GENERALI'!$B$9^3</f>
        <v>43055.555555555555</v>
      </c>
      <c r="J12" s="4">
        <f t="shared" si="2"/>
        <v>124000</v>
      </c>
      <c r="K12" s="4">
        <f t="shared" si="3"/>
        <v>172222.22222222222</v>
      </c>
    </row>
    <row r="13" spans="1:14" s="2" customFormat="1" x14ac:dyDescent="0.25">
      <c r="A13" s="12">
        <v>9</v>
      </c>
      <c r="B13" s="10">
        <v>300</v>
      </c>
      <c r="C13" s="10">
        <v>500</v>
      </c>
      <c r="D13" s="4">
        <v>13.5</v>
      </c>
      <c r="E13" s="4">
        <v>4</v>
      </c>
      <c r="F13" s="4">
        <f t="shared" si="0"/>
        <v>3125000000</v>
      </c>
      <c r="G13" s="4">
        <f t="shared" si="1"/>
        <v>1125000000</v>
      </c>
      <c r="H13" s="4">
        <f>12*'VERIFICHE GENERALI'!$B$2*'PIANO 2'!$G13/'VERIFICHE GENERALI'!$B$9^3</f>
        <v>15500</v>
      </c>
      <c r="I13" s="4">
        <f>12*'VERIFICHE GENERALI'!$B$2*'PIANO 2'!F13/'VERIFICHE GENERALI'!$B$9^3</f>
        <v>43055.555555555555</v>
      </c>
      <c r="J13" s="4">
        <f t="shared" si="2"/>
        <v>209250</v>
      </c>
      <c r="K13" s="4">
        <f t="shared" si="3"/>
        <v>172222.22222222222</v>
      </c>
    </row>
    <row r="14" spans="1:14" s="2" customFormat="1" x14ac:dyDescent="0.25">
      <c r="A14" s="12">
        <v>10</v>
      </c>
      <c r="B14" s="10">
        <v>300</v>
      </c>
      <c r="C14" s="10">
        <v>500</v>
      </c>
      <c r="D14" s="4">
        <v>17.5</v>
      </c>
      <c r="E14" s="4">
        <v>4</v>
      </c>
      <c r="F14" s="4">
        <f t="shared" si="0"/>
        <v>3125000000</v>
      </c>
      <c r="G14" s="4">
        <f t="shared" si="1"/>
        <v>1125000000</v>
      </c>
      <c r="H14" s="4">
        <f>12*'VERIFICHE GENERALI'!$B$2*'PIANO 2'!$G14/'VERIFICHE GENERALI'!$B$9^3</f>
        <v>15500</v>
      </c>
      <c r="I14" s="4">
        <f>12*'VERIFICHE GENERALI'!$B$2*'PIANO 2'!F14/'VERIFICHE GENERALI'!$B$9^3</f>
        <v>43055.555555555555</v>
      </c>
      <c r="J14" s="4">
        <f t="shared" si="2"/>
        <v>271250</v>
      </c>
      <c r="K14" s="4">
        <f t="shared" si="3"/>
        <v>172222.22222222222</v>
      </c>
    </row>
    <row r="15" spans="1:14" s="2" customFormat="1" x14ac:dyDescent="0.25">
      <c r="A15" s="12">
        <v>11</v>
      </c>
      <c r="B15" s="10">
        <v>300</v>
      </c>
      <c r="C15" s="10">
        <v>500</v>
      </c>
      <c r="D15" s="4">
        <v>0</v>
      </c>
      <c r="E15" s="4">
        <v>9.5</v>
      </c>
      <c r="F15" s="4">
        <f t="shared" si="0"/>
        <v>3125000000</v>
      </c>
      <c r="G15" s="4">
        <f t="shared" si="1"/>
        <v>1125000000</v>
      </c>
      <c r="H15" s="4">
        <f>12*'VERIFICHE GENERALI'!$B$2*'PIANO 2'!$G15/'VERIFICHE GENERALI'!$B$9^3</f>
        <v>15500</v>
      </c>
      <c r="I15" s="4">
        <f>12*'VERIFICHE GENERALI'!$B$2*'PIANO 2'!F15/'VERIFICHE GENERALI'!$B$9^3</f>
        <v>43055.555555555555</v>
      </c>
      <c r="J15" s="4">
        <f t="shared" si="2"/>
        <v>0</v>
      </c>
      <c r="K15" s="4">
        <f t="shared" si="3"/>
        <v>409027.77777777775</v>
      </c>
    </row>
    <row r="16" spans="1:14" s="2" customFormat="1" x14ac:dyDescent="0.25">
      <c r="A16" s="12">
        <v>12</v>
      </c>
      <c r="B16" s="10">
        <v>300</v>
      </c>
      <c r="C16" s="10">
        <v>500</v>
      </c>
      <c r="D16" s="4">
        <v>4</v>
      </c>
      <c r="E16" s="4">
        <v>9.5</v>
      </c>
      <c r="F16" s="4">
        <f t="shared" si="0"/>
        <v>3125000000</v>
      </c>
      <c r="G16" s="4">
        <f t="shared" si="1"/>
        <v>1125000000</v>
      </c>
      <c r="H16" s="4">
        <f>12*'VERIFICHE GENERALI'!$B$2*'PIANO 2'!$G16/'VERIFICHE GENERALI'!$B$9^3</f>
        <v>15500</v>
      </c>
      <c r="I16" s="4">
        <f>12*'VERIFICHE GENERALI'!$B$2*'PIANO 2'!F16/'VERIFICHE GENERALI'!$B$9^3</f>
        <v>43055.555555555555</v>
      </c>
      <c r="J16" s="4">
        <f t="shared" si="2"/>
        <v>62000</v>
      </c>
      <c r="K16" s="4">
        <f t="shared" si="3"/>
        <v>409027.77777777775</v>
      </c>
    </row>
    <row r="17" spans="1:11" s="2" customFormat="1" x14ac:dyDescent="0.25">
      <c r="A17" s="12">
        <v>13</v>
      </c>
      <c r="B17" s="10">
        <v>300</v>
      </c>
      <c r="C17" s="10">
        <v>500</v>
      </c>
      <c r="D17" s="4">
        <v>8</v>
      </c>
      <c r="E17" s="4">
        <v>9.5</v>
      </c>
      <c r="F17" s="4">
        <f t="shared" si="0"/>
        <v>3125000000</v>
      </c>
      <c r="G17" s="4">
        <f t="shared" si="1"/>
        <v>1125000000</v>
      </c>
      <c r="H17" s="4">
        <f>12*'VERIFICHE GENERALI'!$B$2*'PIANO 2'!$G17/'VERIFICHE GENERALI'!$B$9^3</f>
        <v>15500</v>
      </c>
      <c r="I17" s="4">
        <f>12*'VERIFICHE GENERALI'!$B$2*'PIANO 2'!F17/'VERIFICHE GENERALI'!$B$9^3</f>
        <v>43055.555555555555</v>
      </c>
      <c r="J17" s="4">
        <f t="shared" si="2"/>
        <v>124000</v>
      </c>
      <c r="K17" s="4">
        <f t="shared" si="3"/>
        <v>409027.77777777775</v>
      </c>
    </row>
    <row r="18" spans="1:11" s="2" customFormat="1" x14ac:dyDescent="0.25">
      <c r="A18" s="12">
        <v>14</v>
      </c>
      <c r="B18" s="10">
        <v>300</v>
      </c>
      <c r="C18" s="10">
        <v>500</v>
      </c>
      <c r="D18" s="4">
        <v>13.5</v>
      </c>
      <c r="E18" s="4">
        <v>9.5</v>
      </c>
      <c r="F18" s="4">
        <f t="shared" si="0"/>
        <v>3125000000</v>
      </c>
      <c r="G18" s="4">
        <f t="shared" si="1"/>
        <v>1125000000</v>
      </c>
      <c r="H18" s="4">
        <f>12*'VERIFICHE GENERALI'!$B$2*'PIANO 2'!$G18/'VERIFICHE GENERALI'!$B$9^3</f>
        <v>15500</v>
      </c>
      <c r="I18" s="4">
        <f>12*'VERIFICHE GENERALI'!$B$2*'PIANO 2'!F18/'VERIFICHE GENERALI'!$B$9^3</f>
        <v>43055.555555555555</v>
      </c>
      <c r="J18" s="4">
        <f t="shared" si="2"/>
        <v>209250</v>
      </c>
      <c r="K18" s="4">
        <f t="shared" si="3"/>
        <v>409027.77777777775</v>
      </c>
    </row>
    <row r="19" spans="1:11" s="2" customFormat="1" x14ac:dyDescent="0.25">
      <c r="A19" s="12">
        <v>15</v>
      </c>
      <c r="B19" s="10">
        <v>300</v>
      </c>
      <c r="C19" s="10">
        <v>500</v>
      </c>
      <c r="D19" s="4">
        <v>17.5</v>
      </c>
      <c r="E19" s="4">
        <v>9.5</v>
      </c>
      <c r="F19" s="4">
        <f t="shared" si="0"/>
        <v>3125000000</v>
      </c>
      <c r="G19" s="4">
        <f t="shared" si="1"/>
        <v>1125000000</v>
      </c>
      <c r="H19" s="4">
        <f>12*'VERIFICHE GENERALI'!$B$2*'PIANO 2'!$G19/'VERIFICHE GENERALI'!$B$9^3</f>
        <v>15500</v>
      </c>
      <c r="I19" s="4">
        <f>12*'VERIFICHE GENERALI'!$B$2*'PIANO 2'!F19/'VERIFICHE GENERALI'!$B$9^3</f>
        <v>43055.555555555555</v>
      </c>
      <c r="J19" s="4">
        <f t="shared" si="2"/>
        <v>271250</v>
      </c>
      <c r="K19" s="4">
        <f t="shared" si="3"/>
        <v>409027.77777777775</v>
      </c>
    </row>
    <row r="20" spans="1:11" s="2" customFormat="1" x14ac:dyDescent="0.25">
      <c r="A20" s="12">
        <v>16</v>
      </c>
      <c r="B20" s="10">
        <v>500</v>
      </c>
      <c r="C20" s="10">
        <v>300</v>
      </c>
      <c r="D20" s="4">
        <v>0</v>
      </c>
      <c r="E20" s="4">
        <v>13.5</v>
      </c>
      <c r="F20" s="4">
        <f t="shared" si="0"/>
        <v>1125000000</v>
      </c>
      <c r="G20" s="4">
        <f t="shared" si="1"/>
        <v>3125000000</v>
      </c>
      <c r="H20" s="4">
        <f>12*'VERIFICHE GENERALI'!$B$2*'PIANO 2'!$G20/'VERIFICHE GENERALI'!$B$9^3</f>
        <v>43055.555555555555</v>
      </c>
      <c r="I20" s="4">
        <f>12*'VERIFICHE GENERALI'!$B$2*'PIANO 2'!F20/'VERIFICHE GENERALI'!$B$9^3</f>
        <v>15500</v>
      </c>
      <c r="J20" s="4">
        <f t="shared" si="2"/>
        <v>0</v>
      </c>
      <c r="K20" s="4">
        <f t="shared" si="3"/>
        <v>209250</v>
      </c>
    </row>
    <row r="21" spans="1:11" s="2" customFormat="1" x14ac:dyDescent="0.25">
      <c r="A21" s="12">
        <v>17</v>
      </c>
      <c r="B21" s="10">
        <v>500</v>
      </c>
      <c r="C21" s="10">
        <v>300</v>
      </c>
      <c r="D21" s="4">
        <v>4</v>
      </c>
      <c r="E21" s="4">
        <v>13.5</v>
      </c>
      <c r="F21" s="4">
        <f t="shared" si="0"/>
        <v>1125000000</v>
      </c>
      <c r="G21" s="4">
        <f t="shared" si="1"/>
        <v>3125000000</v>
      </c>
      <c r="H21" s="4">
        <f>12*'VERIFICHE GENERALI'!$B$2*'PIANO 2'!$G21/'VERIFICHE GENERALI'!$B$9^3</f>
        <v>43055.555555555555</v>
      </c>
      <c r="I21" s="4">
        <f>12*'VERIFICHE GENERALI'!$B$2*'PIANO 2'!F21/'VERIFICHE GENERALI'!$B$9^3</f>
        <v>15500</v>
      </c>
      <c r="J21" s="4">
        <f t="shared" si="2"/>
        <v>172222.22222222222</v>
      </c>
      <c r="K21" s="4">
        <f t="shared" si="3"/>
        <v>209250</v>
      </c>
    </row>
    <row r="22" spans="1:11" s="2" customFormat="1" x14ac:dyDescent="0.25">
      <c r="A22" s="12">
        <v>18</v>
      </c>
      <c r="B22" s="10">
        <v>500</v>
      </c>
      <c r="C22" s="10">
        <v>300</v>
      </c>
      <c r="D22" s="4">
        <v>8</v>
      </c>
      <c r="E22" s="4">
        <v>13.5</v>
      </c>
      <c r="F22" s="4">
        <f t="shared" si="0"/>
        <v>1125000000</v>
      </c>
      <c r="G22" s="4">
        <f t="shared" si="1"/>
        <v>3125000000</v>
      </c>
      <c r="H22" s="4">
        <f>12*'VERIFICHE GENERALI'!$B$2*'PIANO 2'!$G22/'VERIFICHE GENERALI'!$B$9^3</f>
        <v>43055.555555555555</v>
      </c>
      <c r="I22" s="4">
        <f>12*'VERIFICHE GENERALI'!$B$2*'PIANO 2'!F22/'VERIFICHE GENERALI'!$B$9^3</f>
        <v>15500</v>
      </c>
      <c r="J22" s="4">
        <f t="shared" si="2"/>
        <v>344444.44444444444</v>
      </c>
      <c r="K22" s="4">
        <f t="shared" si="3"/>
        <v>209250</v>
      </c>
    </row>
    <row r="23" spans="1:11" s="2" customFormat="1" x14ac:dyDescent="0.25">
      <c r="A23" s="12">
        <v>19</v>
      </c>
      <c r="B23" s="10">
        <v>500</v>
      </c>
      <c r="C23" s="10">
        <v>300</v>
      </c>
      <c r="D23" s="4">
        <v>13.5</v>
      </c>
      <c r="E23" s="4">
        <v>13.5</v>
      </c>
      <c r="F23" s="4">
        <f t="shared" si="0"/>
        <v>1125000000</v>
      </c>
      <c r="G23" s="4">
        <f t="shared" si="1"/>
        <v>3125000000</v>
      </c>
      <c r="H23" s="4">
        <f>12*'VERIFICHE GENERALI'!$B$2*'PIANO 2'!$G23/'VERIFICHE GENERALI'!$B$9^3</f>
        <v>43055.555555555555</v>
      </c>
      <c r="I23" s="4">
        <f>12*'VERIFICHE GENERALI'!$B$2*'PIANO 2'!F23/'VERIFICHE GENERALI'!$B$9^3</f>
        <v>15500</v>
      </c>
      <c r="J23" s="4">
        <f t="shared" si="2"/>
        <v>581250</v>
      </c>
      <c r="K23" s="4">
        <f t="shared" si="3"/>
        <v>209250</v>
      </c>
    </row>
    <row r="24" spans="1:11" s="2" customFormat="1" x14ac:dyDescent="0.25">
      <c r="A24" s="12">
        <v>20</v>
      </c>
      <c r="B24" s="10">
        <v>500</v>
      </c>
      <c r="C24" s="10">
        <v>300</v>
      </c>
      <c r="D24" s="4">
        <v>17.5</v>
      </c>
      <c r="E24" s="4">
        <v>13.5</v>
      </c>
      <c r="F24" s="4">
        <f t="shared" si="0"/>
        <v>1125000000</v>
      </c>
      <c r="G24" s="4">
        <f t="shared" si="1"/>
        <v>3125000000</v>
      </c>
      <c r="H24" s="4">
        <f>12*'VERIFICHE GENERALI'!$B$2*'PIANO 2'!$G24/'VERIFICHE GENERALI'!$B$9^3</f>
        <v>43055.555555555555</v>
      </c>
      <c r="I24" s="4">
        <f>12*'VERIFICHE GENERALI'!$B$2*'PIANO 2'!F24/'VERIFICHE GENERALI'!$B$9^3</f>
        <v>15500</v>
      </c>
      <c r="J24" s="4">
        <f t="shared" si="2"/>
        <v>753472.22222222225</v>
      </c>
      <c r="K24" s="4">
        <f t="shared" si="3"/>
        <v>209250</v>
      </c>
    </row>
    <row r="25" spans="1:11" s="2" customFormat="1" x14ac:dyDescent="0.25"/>
    <row r="26" spans="1:11" s="2" customFormat="1" x14ac:dyDescent="0.25"/>
    <row r="27" spans="1:11" s="2" customFormat="1" x14ac:dyDescent="0.25"/>
    <row r="28" spans="1:11" s="2" customFormat="1" x14ac:dyDescent="0.25"/>
    <row r="29" spans="1:11" s="2" customFormat="1" x14ac:dyDescent="0.25"/>
    <row r="30" spans="1:11" s="2" customFormat="1" x14ac:dyDescent="0.25"/>
    <row r="31" spans="1:11" s="2" customFormat="1" x14ac:dyDescent="0.25"/>
    <row r="32" spans="1:11" s="2" customFormat="1" x14ac:dyDescent="0.25"/>
    <row r="33" spans="1:13" s="2" customFormat="1" x14ac:dyDescent="0.25"/>
    <row r="34" spans="1:13" s="2" customFormat="1" x14ac:dyDescent="0.25"/>
    <row r="35" spans="1:13" s="2" customFormat="1" x14ac:dyDescent="0.25"/>
    <row r="36" spans="1:13" s="2" customFormat="1" x14ac:dyDescent="0.25"/>
    <row r="37" spans="1:13" s="2" customFormat="1" x14ac:dyDescent="0.25"/>
    <row r="38" spans="1:13" s="2" customFormat="1" x14ac:dyDescent="0.25"/>
    <row r="39" spans="1:13" s="2" customFormat="1" x14ac:dyDescent="0.25"/>
    <row r="40" spans="1:13" s="2" customFormat="1" x14ac:dyDescent="0.25"/>
    <row r="41" spans="1:13" s="2" customFormat="1" x14ac:dyDescent="0.25"/>
    <row r="42" spans="1:13" s="2" customFormat="1" x14ac:dyDescent="0.25"/>
    <row r="43" spans="1:13" s="2" customFormat="1" x14ac:dyDescent="0.25"/>
    <row r="44" spans="1:13" s="2" customFormat="1" ht="21" x14ac:dyDescent="0.35">
      <c r="A44" s="55" t="s">
        <v>80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3" s="2" customFormat="1" x14ac:dyDescent="0.25"/>
    <row r="46" spans="1:13" s="2" customFormat="1" x14ac:dyDescent="0.25">
      <c r="C46" s="15" t="s">
        <v>65</v>
      </c>
      <c r="D46" s="15" t="s">
        <v>55</v>
      </c>
      <c r="E46" s="15" t="s">
        <v>57</v>
      </c>
      <c r="F46" s="15" t="s">
        <v>61</v>
      </c>
      <c r="G46" s="15" t="s">
        <v>70</v>
      </c>
      <c r="H46" s="1"/>
      <c r="K46" s="9" t="s">
        <v>33</v>
      </c>
    </row>
    <row r="47" spans="1:13" s="2" customFormat="1" x14ac:dyDescent="0.25">
      <c r="C47" s="15" t="s">
        <v>68</v>
      </c>
      <c r="D47" s="15" t="s">
        <v>56</v>
      </c>
      <c r="E47" s="15" t="s">
        <v>22</v>
      </c>
      <c r="F47" s="15" t="s">
        <v>22</v>
      </c>
      <c r="G47" s="15" t="s">
        <v>71</v>
      </c>
      <c r="H47" s="1" t="s">
        <v>74</v>
      </c>
      <c r="K47" s="6" t="s">
        <v>78</v>
      </c>
      <c r="L47" s="19">
        <v>14.345499999999998</v>
      </c>
      <c r="M47" s="4" t="s">
        <v>54</v>
      </c>
    </row>
    <row r="48" spans="1:13" s="2" customFormat="1" x14ac:dyDescent="0.25">
      <c r="C48" s="12">
        <v>1</v>
      </c>
      <c r="D48" s="7">
        <f>2*2</f>
        <v>4</v>
      </c>
      <c r="E48" s="10">
        <f>(25*(B5*C5*'VERIFICHE GENERALI'!$B$9)/1000^3)*1.3+D48*$L$47+D48*$L$50+'PIANO 3'!E49+($L$51/$L$52)*D48</f>
        <v>276.80741111111109</v>
      </c>
      <c r="F48" s="10">
        <f>(0.65*'VERIFICHE GENERALI'!$B$11*B5*C5)/1000</f>
        <v>1657.5</v>
      </c>
      <c r="G48" s="4">
        <f>E48/F48</f>
        <v>0.16700296296296296</v>
      </c>
      <c r="H48" s="17" t="str">
        <f>IF(G48&lt;=1,"OK","NO")</f>
        <v>OK</v>
      </c>
      <c r="K48" s="4" t="s">
        <v>58</v>
      </c>
      <c r="L48" s="4">
        <f>'VERIFICHE GENERALI'!D19</f>
        <v>515.625</v>
      </c>
    </row>
    <row r="49" spans="3:12" s="2" customFormat="1" x14ac:dyDescent="0.25">
      <c r="C49" s="12">
        <v>2</v>
      </c>
      <c r="D49" s="7">
        <f>4*2</f>
        <v>8</v>
      </c>
      <c r="E49" s="10">
        <f>(25*(B6*C6*'VERIFICHE GENERALI'!$B$9)/1000^3)*1.3+D49*$L$47+D49*$L$50+'PIANO 3'!E50+($L$51/$L$52)*D49</f>
        <v>514.12732222222223</v>
      </c>
      <c r="F49" s="10">
        <f>(0.65*'VERIFICHE GENERALI'!$B$11*B6*C6)/1000</f>
        <v>1657.5</v>
      </c>
      <c r="G49" s="4">
        <f t="shared" ref="G49:G67" si="4">E49/F49</f>
        <v>0.31018239651416124</v>
      </c>
      <c r="H49" s="17" t="str">
        <f t="shared" ref="H49:H67" si="5">IF(G49&lt;=1,"OK","NO")</f>
        <v>OK</v>
      </c>
      <c r="K49" s="4" t="s">
        <v>59</v>
      </c>
      <c r="L49" s="4">
        <f>(L8*2)*(M8*2)</f>
        <v>236.25</v>
      </c>
    </row>
    <row r="50" spans="3:12" s="2" customFormat="1" x14ac:dyDescent="0.25">
      <c r="C50" s="12">
        <v>3</v>
      </c>
      <c r="D50" s="7">
        <f>4.75*2</f>
        <v>9.5</v>
      </c>
      <c r="E50" s="10">
        <f>(25*(B7*C7*'VERIFICHE GENERALI'!$B$9)/1000^3)*1.3+D50*$L$47+D50*$L$50+'PIANO 3'!E51+($L$51/$L$52)*D50</f>
        <v>603.12228888888876</v>
      </c>
      <c r="F50" s="10">
        <f>(0.65*'VERIFICHE GENERALI'!$B$11*B7*C7)/1000</f>
        <v>1657.5</v>
      </c>
      <c r="G50" s="4">
        <f t="shared" si="4"/>
        <v>0.36387468409586049</v>
      </c>
      <c r="H50" s="17" t="str">
        <f t="shared" si="5"/>
        <v>OK</v>
      </c>
      <c r="K50" s="4" t="s">
        <v>60</v>
      </c>
      <c r="L50" s="4">
        <f>L48/L49*1.3</f>
        <v>2.837301587301587</v>
      </c>
    </row>
    <row r="51" spans="3:12" s="2" customFormat="1" x14ac:dyDescent="0.25">
      <c r="C51" s="12">
        <v>4</v>
      </c>
      <c r="D51" s="7">
        <f>4.75*2</f>
        <v>9.5</v>
      </c>
      <c r="E51" s="10">
        <f>(25*(B8*C8*'VERIFICHE GENERALI'!$B$9)/1000^3)*1.3+D51*$L$47+D51*$L$50+'PIANO 3'!E52+($L$51/$L$52)*D51</f>
        <v>603.12228888888876</v>
      </c>
      <c r="F51" s="10">
        <f>(0.65*'VERIFICHE GENERALI'!$B$11*B8*C8)/1000</f>
        <v>1657.5</v>
      </c>
      <c r="G51" s="4">
        <f t="shared" si="4"/>
        <v>0.36387468409586049</v>
      </c>
      <c r="H51" s="17" t="str">
        <f t="shared" si="5"/>
        <v>OK</v>
      </c>
      <c r="K51" s="4" t="s">
        <v>72</v>
      </c>
      <c r="L51" s="4">
        <f>[1]TRAMEZZI!$I$17*(L8*4+M8*4)*1.3</f>
        <v>603.53279999999995</v>
      </c>
    </row>
    <row r="52" spans="3:12" s="2" customFormat="1" x14ac:dyDescent="0.25">
      <c r="C52" s="12">
        <v>5</v>
      </c>
      <c r="D52" s="7">
        <f>2*2</f>
        <v>4</v>
      </c>
      <c r="E52" s="10">
        <f>(25*(B9*C9*'VERIFICHE GENERALI'!$B$9)/1000^3)*1.3+D52*$L$47+D52*$L$50+'PIANO 3'!E53+($L$51/$L$52)*D52</f>
        <v>276.80741111111109</v>
      </c>
      <c r="F52" s="10">
        <f>(0.65*'VERIFICHE GENERALI'!$B$11*B9*C9)/1000</f>
        <v>1657.5</v>
      </c>
      <c r="G52" s="4">
        <f t="shared" si="4"/>
        <v>0.16700296296296296</v>
      </c>
      <c r="H52" s="17" t="str">
        <f t="shared" si="5"/>
        <v>OK</v>
      </c>
      <c r="K52" s="4" t="s">
        <v>73</v>
      </c>
      <c r="L52" s="4">
        <f>SUM(D48:D52,D63:D67)+D58+D53+D62+D57</f>
        <v>108</v>
      </c>
    </row>
    <row r="53" spans="3:12" s="2" customFormat="1" x14ac:dyDescent="0.25">
      <c r="C53" s="12">
        <v>6</v>
      </c>
      <c r="D53" s="7">
        <f>2*4.75</f>
        <v>9.5</v>
      </c>
      <c r="E53" s="10">
        <f>(25*(B10*C10*'VERIFICHE GENERALI'!$B$9)/1000^3)*1.3+D53*$L$47+D53*$L$50+'PIANO 3'!E54+($L$51/$L$52)*D53</f>
        <v>603.12228888888876</v>
      </c>
      <c r="F53" s="10">
        <f>(0.65*'VERIFICHE GENERALI'!$B$11*B10*C10)/1000</f>
        <v>1657.5</v>
      </c>
      <c r="G53" s="4">
        <f t="shared" si="4"/>
        <v>0.36387468409586049</v>
      </c>
      <c r="H53" s="17" t="str">
        <f t="shared" si="5"/>
        <v>OK</v>
      </c>
    </row>
    <row r="54" spans="3:12" s="2" customFormat="1" x14ac:dyDescent="0.25">
      <c r="C54" s="12">
        <v>7</v>
      </c>
      <c r="D54" s="7">
        <f>4*4.75</f>
        <v>19</v>
      </c>
      <c r="E54" s="10">
        <f>(25*(B11*C11*'VERIFICHE GENERALI'!$B$9)/1000^3)*1.3+D54*$L$47+D54*$L$50+'PIANO 3'!E55</f>
        <v>951.36544444444428</v>
      </c>
      <c r="F54" s="10">
        <f>(0.65*'VERIFICHE GENERALI'!$B$11*B11*C11)/1000</f>
        <v>1657.5</v>
      </c>
      <c r="G54" s="4">
        <f t="shared" si="4"/>
        <v>0.57397613541142944</v>
      </c>
      <c r="H54" s="17" t="str">
        <f t="shared" si="5"/>
        <v>OK</v>
      </c>
    </row>
    <row r="55" spans="3:12" s="2" customFormat="1" x14ac:dyDescent="0.25">
      <c r="C55" s="12">
        <v>8</v>
      </c>
      <c r="D55" s="7">
        <f>4.75*4.75</f>
        <v>22.5625</v>
      </c>
      <c r="E55" s="10">
        <f>(25*(B12*C12*'VERIFICHE GENERALI'!$B$9)/1000^3)*1.3+D55*$L$47+D55*$L$50+'PIANO 3'!E56</f>
        <v>1122.9120902777777</v>
      </c>
      <c r="F55" s="10">
        <f>(0.65*'VERIFICHE GENERALI'!$B$11*B12*C12)/1000</f>
        <v>1657.5</v>
      </c>
      <c r="G55" s="4">
        <f t="shared" si="4"/>
        <v>0.67747335763365168</v>
      </c>
      <c r="H55" s="17" t="str">
        <f t="shared" si="5"/>
        <v>OK</v>
      </c>
    </row>
    <row r="56" spans="3:12" s="2" customFormat="1" x14ac:dyDescent="0.25">
      <c r="C56" s="12">
        <v>9</v>
      </c>
      <c r="D56" s="7">
        <f>4.75*4.75</f>
        <v>22.5625</v>
      </c>
      <c r="E56" s="10">
        <f>(25*(B13*C13*'VERIFICHE GENERALI'!$B$9)/1000^3)*1.3+D56*$L$47+D56*$L$50+'PIANO 3'!E57</f>
        <v>1122.9120902777777</v>
      </c>
      <c r="F56" s="10">
        <f>(0.65*'VERIFICHE GENERALI'!$B$11*B13*C13)/1000</f>
        <v>1657.5</v>
      </c>
      <c r="G56" s="4">
        <f t="shared" si="4"/>
        <v>0.67747335763365168</v>
      </c>
      <c r="H56" s="17" t="str">
        <f t="shared" si="5"/>
        <v>OK</v>
      </c>
    </row>
    <row r="57" spans="3:12" s="2" customFormat="1" x14ac:dyDescent="0.25">
      <c r="C57" s="12">
        <v>10</v>
      </c>
      <c r="D57" s="7">
        <f>4.75*2</f>
        <v>9.5</v>
      </c>
      <c r="E57" s="10">
        <f>(25*(B14*C14*'VERIFICHE GENERALI'!$B$9)/1000^3)+D57*$L$47+D57*$L$50+'PIANO 3'!E58+($L$51/$L$52)*D57</f>
        <v>599.74728888888876</v>
      </c>
      <c r="F57" s="10">
        <f>(0.65*'VERIFICHE GENERALI'!$B$11*B14*C14)/1000</f>
        <v>1657.5</v>
      </c>
      <c r="G57" s="4">
        <f t="shared" si="4"/>
        <v>0.36183848500083787</v>
      </c>
      <c r="H57" s="17" t="str">
        <f t="shared" si="5"/>
        <v>OK</v>
      </c>
    </row>
    <row r="58" spans="3:12" s="2" customFormat="1" x14ac:dyDescent="0.25">
      <c r="C58" s="12">
        <v>11</v>
      </c>
      <c r="D58" s="7">
        <f>2*4.75</f>
        <v>9.5</v>
      </c>
      <c r="E58" s="10">
        <f>(25*(B15*C15*'VERIFICHE GENERALI'!$B$9)/1000^3)+D58*$L$47+D58*$L$50+'PIANO 3'!E59+($L$51/$L$52)*D58</f>
        <v>599.74728888888876</v>
      </c>
      <c r="F58" s="10">
        <f>(0.65*'VERIFICHE GENERALI'!$B$11*B15*C15)/1000</f>
        <v>1657.5</v>
      </c>
      <c r="G58" s="4">
        <f t="shared" si="4"/>
        <v>0.36183848500083787</v>
      </c>
      <c r="H58" s="17" t="str">
        <f t="shared" si="5"/>
        <v>OK</v>
      </c>
    </row>
    <row r="59" spans="3:12" s="2" customFormat="1" x14ac:dyDescent="0.25">
      <c r="C59" s="12">
        <v>12</v>
      </c>
      <c r="D59" s="7">
        <f>4*4.75</f>
        <v>19</v>
      </c>
      <c r="E59" s="10">
        <f>(25*(B16*C16*'VERIFICHE GENERALI'!$B$9)/1000^3)*1.3+D59*$L$47+D59*$L$50+'PIANO 3'!E60</f>
        <v>954.4029444444443</v>
      </c>
      <c r="F59" s="10">
        <f>(0.65*'VERIFICHE GENERALI'!$B$11*B16*C16)/1000</f>
        <v>1657.5</v>
      </c>
      <c r="G59" s="4">
        <f t="shared" si="4"/>
        <v>0.57580871459694982</v>
      </c>
      <c r="H59" s="17" t="str">
        <f t="shared" si="5"/>
        <v>OK</v>
      </c>
    </row>
    <row r="60" spans="3:12" s="2" customFormat="1" x14ac:dyDescent="0.25">
      <c r="C60" s="12">
        <v>13</v>
      </c>
      <c r="D60" s="7">
        <f>4.75*4.75</f>
        <v>22.5625</v>
      </c>
      <c r="E60" s="10">
        <f>(25*(B17*C17*'VERIFICHE GENERALI'!$B$9)/1000^3)+D60*$L$47+D60*$L$50+'PIANO 3'!E61</f>
        <v>1122.5745902777778</v>
      </c>
      <c r="F60" s="10">
        <f>(0.65*'VERIFICHE GENERALI'!$B$11*B17*C17)/1000</f>
        <v>1657.5</v>
      </c>
      <c r="G60" s="4">
        <f t="shared" si="4"/>
        <v>0.67726973772414956</v>
      </c>
      <c r="H60" s="17" t="str">
        <f t="shared" si="5"/>
        <v>OK</v>
      </c>
    </row>
    <row r="61" spans="3:12" s="2" customFormat="1" x14ac:dyDescent="0.25">
      <c r="C61" s="12">
        <v>14</v>
      </c>
      <c r="D61" s="7">
        <f>4.75*4.75</f>
        <v>22.5625</v>
      </c>
      <c r="E61" s="10">
        <f>(25*(B18*C18*'VERIFICHE GENERALI'!$B$9)/1000^3)+D61*$L$47+D61*$L$50+'PIANO 3'!E62</f>
        <v>1122.5745902777778</v>
      </c>
      <c r="F61" s="10">
        <f>(0.65*'VERIFICHE GENERALI'!$B$11*B18*C18)/1000</f>
        <v>1657.5</v>
      </c>
      <c r="G61" s="4">
        <f t="shared" si="4"/>
        <v>0.67726973772414956</v>
      </c>
      <c r="H61" s="17" t="str">
        <f t="shared" si="5"/>
        <v>OK</v>
      </c>
    </row>
    <row r="62" spans="3:12" s="2" customFormat="1" x14ac:dyDescent="0.25">
      <c r="C62" s="12">
        <v>15</v>
      </c>
      <c r="D62" s="7">
        <f>4.75*2</f>
        <v>9.5</v>
      </c>
      <c r="E62" s="10">
        <f>(25*(B19*C19*'VERIFICHE GENERALI'!$B$9)/1000^3)*1.3+D62*$L$47+D62*$L$50+'PIANO 3'!E63+($L$51/$L$52)*D62</f>
        <v>603.12228888888876</v>
      </c>
      <c r="F62" s="10">
        <f>(0.65*'VERIFICHE GENERALI'!$B$11*B19*C19)/1000</f>
        <v>1657.5</v>
      </c>
      <c r="G62" s="4">
        <f t="shared" si="4"/>
        <v>0.36387468409586049</v>
      </c>
      <c r="H62" s="17" t="str">
        <f t="shared" si="5"/>
        <v>OK</v>
      </c>
    </row>
    <row r="63" spans="3:12" s="2" customFormat="1" x14ac:dyDescent="0.25">
      <c r="C63" s="12">
        <v>16</v>
      </c>
      <c r="D63" s="7">
        <f>2*2</f>
        <v>4</v>
      </c>
      <c r="E63" s="10">
        <f>(25*(B20*C20*'VERIFICHE GENERALI'!$B$9)/1000^3)*1.3+D63*$L$47+D63*$L$50+'PIANO 3'!E64+($L$51/$L$52)*D63</f>
        <v>276.80741111111109</v>
      </c>
      <c r="F63" s="10">
        <f>(0.65*'VERIFICHE GENERALI'!$B$11*B20*C20)/1000</f>
        <v>1657.5</v>
      </c>
      <c r="G63" s="4">
        <f t="shared" si="4"/>
        <v>0.16700296296296296</v>
      </c>
      <c r="H63" s="17" t="str">
        <f t="shared" si="5"/>
        <v>OK</v>
      </c>
    </row>
    <row r="64" spans="3:12" s="2" customFormat="1" x14ac:dyDescent="0.25">
      <c r="C64" s="12">
        <v>17</v>
      </c>
      <c r="D64" s="7">
        <f>4*2</f>
        <v>8</v>
      </c>
      <c r="E64" s="10">
        <f>(25*(B21*C21*'VERIFICHE GENERALI'!$B$9)/1000^3)*1.3+D64*$L$47+D64*$L$50+'PIANO 3'!E65+($L$51/$L$52)*D64</f>
        <v>514.12732222222223</v>
      </c>
      <c r="F64" s="10">
        <f>(0.65*'VERIFICHE GENERALI'!$B$11*B21*C21)/1000</f>
        <v>1657.5</v>
      </c>
      <c r="G64" s="4">
        <f t="shared" si="4"/>
        <v>0.31018239651416124</v>
      </c>
      <c r="H64" s="17" t="str">
        <f t="shared" si="5"/>
        <v>OK</v>
      </c>
    </row>
    <row r="65" spans="3:8" s="2" customFormat="1" x14ac:dyDescent="0.25">
      <c r="C65" s="12">
        <v>18</v>
      </c>
      <c r="D65" s="7">
        <f>4.75*2</f>
        <v>9.5</v>
      </c>
      <c r="E65" s="10">
        <f>(25*(B22*C22*'VERIFICHE GENERALI'!$B$9)/1000^3)*1.3+D65*$L$47+D65*$L$50+'PIANO 3'!E66+($L$51/$L$52)*D65</f>
        <v>603.12228888888876</v>
      </c>
      <c r="F65" s="10">
        <f>(0.65*'VERIFICHE GENERALI'!$B$11*B22*C22)/1000</f>
        <v>1657.5</v>
      </c>
      <c r="G65" s="4">
        <f t="shared" si="4"/>
        <v>0.36387468409586049</v>
      </c>
      <c r="H65" s="17" t="str">
        <f t="shared" si="5"/>
        <v>OK</v>
      </c>
    </row>
    <row r="66" spans="3:8" s="2" customFormat="1" x14ac:dyDescent="0.25">
      <c r="C66" s="12">
        <v>19</v>
      </c>
      <c r="D66" s="7">
        <f>4.75*2</f>
        <v>9.5</v>
      </c>
      <c r="E66" s="10">
        <f>(25*(B23*C23*'VERIFICHE GENERALI'!$B$9)/1000^3)*1.3+D66*$L$47+D66*$L$50+'PIANO 3'!E67+($L$51/$L$52)*D66</f>
        <v>603.12228888888876</v>
      </c>
      <c r="F66" s="10">
        <f>(0.65*'VERIFICHE GENERALI'!$B$11*B23*C23)/1000</f>
        <v>1657.5</v>
      </c>
      <c r="G66" s="4">
        <f t="shared" si="4"/>
        <v>0.36387468409586049</v>
      </c>
      <c r="H66" s="17" t="str">
        <f t="shared" si="5"/>
        <v>OK</v>
      </c>
    </row>
    <row r="67" spans="3:8" s="2" customFormat="1" x14ac:dyDescent="0.25">
      <c r="C67" s="12">
        <v>20</v>
      </c>
      <c r="D67" s="7">
        <f>2*2</f>
        <v>4</v>
      </c>
      <c r="E67" s="10">
        <f>(25*(B24*C24*'VERIFICHE GENERALI'!$B$9)/1000^3)*1.3+D67*$L$47+D67*$L$50+'PIANO 3'!E68+($L$51/$L$52)*D67</f>
        <v>276.80741111111109</v>
      </c>
      <c r="F67" s="10">
        <f>(0.65*'VERIFICHE GENERALI'!$B$11*B24*C24)/1000</f>
        <v>1657.5</v>
      </c>
      <c r="G67" s="4">
        <f t="shared" si="4"/>
        <v>0.16700296296296296</v>
      </c>
      <c r="H67" s="17" t="str">
        <f t="shared" si="5"/>
        <v>OK</v>
      </c>
    </row>
    <row r="68" spans="3:8" s="2" customFormat="1" x14ac:dyDescent="0.25"/>
    <row r="69" spans="3:8" s="2" customFormat="1" x14ac:dyDescent="0.25"/>
    <row r="70" spans="3:8" s="2" customFormat="1" x14ac:dyDescent="0.25"/>
    <row r="71" spans="3:8" s="2" customFormat="1" x14ac:dyDescent="0.25"/>
    <row r="72" spans="3:8" s="2" customFormat="1" x14ac:dyDescent="0.25"/>
    <row r="73" spans="3:8" s="2" customFormat="1" x14ac:dyDescent="0.25"/>
    <row r="74" spans="3:8" s="2" customFormat="1" x14ac:dyDescent="0.25"/>
    <row r="75" spans="3:8" s="2" customFormat="1" x14ac:dyDescent="0.25"/>
    <row r="76" spans="3:8" s="2" customFormat="1" x14ac:dyDescent="0.25"/>
    <row r="77" spans="3:8" s="2" customFormat="1" x14ac:dyDescent="0.25"/>
    <row r="78" spans="3:8" s="2" customFormat="1" x14ac:dyDescent="0.25"/>
    <row r="79" spans="3:8" s="2" customFormat="1" x14ac:dyDescent="0.25"/>
    <row r="80" spans="3:8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</sheetData>
  <mergeCells count="2">
    <mergeCell ref="A44:K44"/>
    <mergeCell ref="A1:M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E8D4-E325-48A5-9C57-CBFC5E5EE9F2}">
  <dimension ref="A1:M273"/>
  <sheetViews>
    <sheetView topLeftCell="A37" zoomScale="85" zoomScaleNormal="85" workbookViewId="0">
      <selection activeCell="I46" sqref="I46"/>
    </sheetView>
  </sheetViews>
  <sheetFormatPr defaultRowHeight="15" x14ac:dyDescent="0.25"/>
  <cols>
    <col min="1" max="1" width="9.140625" style="1"/>
    <col min="2" max="2" width="16.42578125" style="1" customWidth="1"/>
    <col min="3" max="3" width="15.42578125" style="1" customWidth="1"/>
    <col min="4" max="4" width="15.28515625" style="1" customWidth="1"/>
    <col min="5" max="5" width="19" style="1" customWidth="1"/>
    <col min="6" max="6" width="16.5703125" style="1" customWidth="1"/>
    <col min="7" max="7" width="20.85546875" style="1" customWidth="1"/>
    <col min="8" max="8" width="19.140625" style="1" customWidth="1"/>
    <col min="9" max="9" width="11.5703125" style="1" bestFit="1" customWidth="1"/>
    <col min="10" max="10" width="18.140625" style="1" customWidth="1"/>
    <col min="11" max="11" width="27.85546875" style="1" customWidth="1"/>
    <col min="12" max="14" width="9.140625" style="1"/>
    <col min="15" max="15" width="27.7109375" style="1" customWidth="1"/>
    <col min="16" max="16" width="12.5703125" style="1" customWidth="1"/>
    <col min="17" max="17" width="11.7109375" style="1" customWidth="1"/>
    <col min="18" max="18" width="14.5703125" style="1" customWidth="1"/>
    <col min="19" max="19" width="14.140625" style="1" customWidth="1"/>
    <col min="20" max="20" width="16.140625" style="1" customWidth="1"/>
    <col min="21" max="16384" width="9.140625" style="1"/>
  </cols>
  <sheetData>
    <row r="1" spans="1:13" ht="21" x14ac:dyDescent="0.35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3" spans="1:13" s="2" customForma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10</v>
      </c>
      <c r="G3" s="3" t="s">
        <v>11</v>
      </c>
      <c r="H3" s="3" t="s">
        <v>34</v>
      </c>
      <c r="I3" s="3" t="s">
        <v>35</v>
      </c>
      <c r="J3" s="3" t="s">
        <v>45</v>
      </c>
      <c r="K3" s="3" t="s">
        <v>46</v>
      </c>
      <c r="L3" s="3" t="s">
        <v>53</v>
      </c>
      <c r="M3" s="3" t="s">
        <v>52</v>
      </c>
    </row>
    <row r="4" spans="1:13" s="2" customFormat="1" x14ac:dyDescent="0.25">
      <c r="A4" s="3" t="s">
        <v>1</v>
      </c>
      <c r="B4" s="3" t="s">
        <v>8</v>
      </c>
      <c r="C4" s="3" t="s">
        <v>8</v>
      </c>
      <c r="D4" s="3" t="s">
        <v>9</v>
      </c>
      <c r="E4" s="3" t="s">
        <v>9</v>
      </c>
      <c r="F4" s="3" t="s">
        <v>2</v>
      </c>
      <c r="G4" s="3" t="s">
        <v>2</v>
      </c>
      <c r="H4" s="3" t="s">
        <v>37</v>
      </c>
      <c r="I4" s="3" t="s">
        <v>37</v>
      </c>
      <c r="J4" s="3" t="s">
        <v>47</v>
      </c>
      <c r="K4" s="3" t="s">
        <v>47</v>
      </c>
      <c r="L4" s="3" t="s">
        <v>9</v>
      </c>
      <c r="M4" s="3" t="s">
        <v>9</v>
      </c>
    </row>
    <row r="5" spans="1:13" s="2" customFormat="1" x14ac:dyDescent="0.25">
      <c r="A5" s="12">
        <v>1</v>
      </c>
      <c r="B5" s="10">
        <v>450</v>
      </c>
      <c r="C5" s="10">
        <v>300</v>
      </c>
      <c r="D5" s="4">
        <v>0</v>
      </c>
      <c r="E5" s="4">
        <v>0</v>
      </c>
      <c r="F5" s="4">
        <f>B5*C5^3/12</f>
        <v>1012500000</v>
      </c>
      <c r="G5" s="4">
        <f>C5*B5^3/12</f>
        <v>2278125000</v>
      </c>
      <c r="H5" s="4">
        <f>12*'VERIFICHE GENERALI'!$B$2*'PIANO 3'!$G5/'VERIFICHE GENERALI'!$B$9^3</f>
        <v>31387.5</v>
      </c>
      <c r="I5" s="4">
        <f>12*'VERIFICHE GENERALI'!$B$2*'PIANO 3'!F5/'VERIFICHE GENERALI'!$B$9^3</f>
        <v>13950</v>
      </c>
      <c r="J5" s="4">
        <f>H5*D5</f>
        <v>0</v>
      </c>
      <c r="K5" s="4">
        <f>I5*E5</f>
        <v>0</v>
      </c>
      <c r="L5" s="4">
        <f>SUM(J5:J24)/SUM(H5:H24)</f>
        <v>8.6</v>
      </c>
      <c r="M5" s="4">
        <f>SUM(K5:K24)/SUM(I5:I24)</f>
        <v>6.75</v>
      </c>
    </row>
    <row r="6" spans="1:13" s="2" customFormat="1" x14ac:dyDescent="0.25">
      <c r="A6" s="12">
        <v>2</v>
      </c>
      <c r="B6" s="10">
        <v>450</v>
      </c>
      <c r="C6" s="10">
        <v>300</v>
      </c>
      <c r="D6" s="4">
        <v>4</v>
      </c>
      <c r="E6" s="4">
        <v>0</v>
      </c>
      <c r="F6" s="4">
        <f t="shared" ref="F6:F24" si="0">B6*C6^3/12</f>
        <v>1012500000</v>
      </c>
      <c r="G6" s="4">
        <f t="shared" ref="G6:G24" si="1">C6*B6^3/12</f>
        <v>2278125000</v>
      </c>
      <c r="H6" s="4">
        <f>12*'VERIFICHE GENERALI'!$B$2*'PIANO 3'!$G6/'VERIFICHE GENERALI'!$B$9^3</f>
        <v>31387.5</v>
      </c>
      <c r="I6" s="4">
        <f>12*'VERIFICHE GENERALI'!$B$2*'PIANO 3'!F6/'VERIFICHE GENERALI'!$B$9^3</f>
        <v>13950</v>
      </c>
      <c r="J6" s="4">
        <f t="shared" ref="J6:J24" si="2">H6*D6</f>
        <v>125550</v>
      </c>
      <c r="K6" s="4">
        <f t="shared" ref="K6:K24" si="3">I6*E6</f>
        <v>0</v>
      </c>
      <c r="L6" s="11" t="s">
        <v>49</v>
      </c>
      <c r="M6" s="3" t="s">
        <v>50</v>
      </c>
    </row>
    <row r="7" spans="1:13" s="2" customFormat="1" x14ac:dyDescent="0.25">
      <c r="A7" s="12">
        <v>3</v>
      </c>
      <c r="B7" s="10">
        <v>450</v>
      </c>
      <c r="C7" s="10">
        <v>300</v>
      </c>
      <c r="D7" s="4">
        <v>8</v>
      </c>
      <c r="E7" s="4">
        <v>0</v>
      </c>
      <c r="F7" s="4">
        <f t="shared" si="0"/>
        <v>1012500000</v>
      </c>
      <c r="G7" s="4">
        <f t="shared" si="1"/>
        <v>2278125000</v>
      </c>
      <c r="H7" s="4">
        <f>12*'VERIFICHE GENERALI'!$B$2*'PIANO 3'!$G7/'VERIFICHE GENERALI'!$B$9^3</f>
        <v>31387.5</v>
      </c>
      <c r="I7" s="4">
        <f>12*'VERIFICHE GENERALI'!$B$2*'PIANO 3'!F7/'VERIFICHE GENERALI'!$B$9^3</f>
        <v>13950</v>
      </c>
      <c r="J7" s="4">
        <f t="shared" si="2"/>
        <v>251100</v>
      </c>
      <c r="K7" s="4">
        <f t="shared" si="3"/>
        <v>0</v>
      </c>
      <c r="L7" s="11" t="s">
        <v>9</v>
      </c>
      <c r="M7" s="3" t="s">
        <v>9</v>
      </c>
    </row>
    <row r="8" spans="1:13" s="2" customFormat="1" x14ac:dyDescent="0.25">
      <c r="A8" s="12">
        <v>4</v>
      </c>
      <c r="B8" s="10">
        <v>450</v>
      </c>
      <c r="C8" s="10">
        <v>300</v>
      </c>
      <c r="D8" s="4">
        <v>13.5</v>
      </c>
      <c r="E8" s="4">
        <v>0</v>
      </c>
      <c r="F8" s="4">
        <f t="shared" si="0"/>
        <v>1012500000</v>
      </c>
      <c r="G8" s="4">
        <f t="shared" si="1"/>
        <v>2278125000</v>
      </c>
      <c r="H8" s="4">
        <f>12*'VERIFICHE GENERALI'!$B$2*'PIANO 3'!$G8/'VERIFICHE GENERALI'!$B$9^3</f>
        <v>31387.5</v>
      </c>
      <c r="I8" s="4">
        <f>12*'VERIFICHE GENERALI'!$B$2*'PIANO 3'!F8/'VERIFICHE GENERALI'!$B$9^3</f>
        <v>13950</v>
      </c>
      <c r="J8" s="4">
        <f t="shared" si="2"/>
        <v>423731.25</v>
      </c>
      <c r="K8" s="4">
        <f t="shared" si="3"/>
        <v>0</v>
      </c>
      <c r="L8" s="13">
        <f>17.5/2</f>
        <v>8.75</v>
      </c>
      <c r="M8" s="4">
        <f>13.5/2</f>
        <v>6.75</v>
      </c>
    </row>
    <row r="9" spans="1:13" s="2" customFormat="1" x14ac:dyDescent="0.25">
      <c r="A9" s="12">
        <v>5</v>
      </c>
      <c r="B9" s="10">
        <v>450</v>
      </c>
      <c r="C9" s="10">
        <v>300</v>
      </c>
      <c r="D9" s="4">
        <v>17.5</v>
      </c>
      <c r="E9" s="4">
        <v>0</v>
      </c>
      <c r="F9" s="4">
        <f t="shared" si="0"/>
        <v>1012500000</v>
      </c>
      <c r="G9" s="4">
        <f t="shared" si="1"/>
        <v>2278125000</v>
      </c>
      <c r="H9" s="4">
        <f>12*'VERIFICHE GENERALI'!$B$2*'PIANO 3'!$G9/'VERIFICHE GENERALI'!$B$9^3</f>
        <v>31387.5</v>
      </c>
      <c r="I9" s="4">
        <f>12*'VERIFICHE GENERALI'!$B$2*'PIANO 3'!F9/'VERIFICHE GENERALI'!$B$9^3</f>
        <v>13950</v>
      </c>
      <c r="J9" s="4">
        <f t="shared" si="2"/>
        <v>549281.25</v>
      </c>
      <c r="K9" s="4">
        <f t="shared" si="3"/>
        <v>0</v>
      </c>
    </row>
    <row r="10" spans="1:13" s="2" customFormat="1" x14ac:dyDescent="0.25">
      <c r="A10" s="12">
        <v>6</v>
      </c>
      <c r="B10" s="10">
        <v>300</v>
      </c>
      <c r="C10" s="10">
        <v>450</v>
      </c>
      <c r="D10" s="4">
        <v>0</v>
      </c>
      <c r="E10" s="4">
        <v>4</v>
      </c>
      <c r="F10" s="4">
        <f t="shared" si="0"/>
        <v>2278125000</v>
      </c>
      <c r="G10" s="4">
        <f t="shared" si="1"/>
        <v>1012500000</v>
      </c>
      <c r="H10" s="4">
        <f>12*'VERIFICHE GENERALI'!$B$2*'PIANO 3'!$G10/'VERIFICHE GENERALI'!$B$9^3</f>
        <v>13950</v>
      </c>
      <c r="I10" s="4">
        <f>12*'VERIFICHE GENERALI'!$B$2*'PIANO 3'!F10/'VERIFICHE GENERALI'!$B$9^3</f>
        <v>31387.5</v>
      </c>
      <c r="J10" s="4">
        <f t="shared" si="2"/>
        <v>0</v>
      </c>
      <c r="K10" s="4">
        <f t="shared" si="3"/>
        <v>125550</v>
      </c>
    </row>
    <row r="11" spans="1:13" s="2" customFormat="1" x14ac:dyDescent="0.25">
      <c r="A11" s="12">
        <v>7</v>
      </c>
      <c r="B11" s="10">
        <v>300</v>
      </c>
      <c r="C11" s="10">
        <v>450</v>
      </c>
      <c r="D11" s="4">
        <v>4</v>
      </c>
      <c r="E11" s="4">
        <v>4</v>
      </c>
      <c r="F11" s="4">
        <f t="shared" si="0"/>
        <v>2278125000</v>
      </c>
      <c r="G11" s="4">
        <f t="shared" si="1"/>
        <v>1012500000</v>
      </c>
      <c r="H11" s="4">
        <f>12*'VERIFICHE GENERALI'!$B$2*'PIANO 3'!$G11/'VERIFICHE GENERALI'!$B$9^3</f>
        <v>13950</v>
      </c>
      <c r="I11" s="4">
        <f>12*'VERIFICHE GENERALI'!$B$2*'PIANO 3'!F11/'VERIFICHE GENERALI'!$B$9^3</f>
        <v>31387.5</v>
      </c>
      <c r="J11" s="4">
        <f t="shared" si="2"/>
        <v>55800</v>
      </c>
      <c r="K11" s="4">
        <f t="shared" si="3"/>
        <v>125550</v>
      </c>
    </row>
    <row r="12" spans="1:13" s="2" customFormat="1" x14ac:dyDescent="0.25">
      <c r="A12" s="12">
        <v>8</v>
      </c>
      <c r="B12" s="10">
        <v>300</v>
      </c>
      <c r="C12" s="10">
        <v>450</v>
      </c>
      <c r="D12" s="4">
        <v>8</v>
      </c>
      <c r="E12" s="4">
        <v>4</v>
      </c>
      <c r="F12" s="4">
        <f t="shared" si="0"/>
        <v>2278125000</v>
      </c>
      <c r="G12" s="4">
        <f t="shared" si="1"/>
        <v>1012500000</v>
      </c>
      <c r="H12" s="4">
        <f>12*'VERIFICHE GENERALI'!$B$2*'PIANO 3'!$G12/'VERIFICHE GENERALI'!$B$9^3</f>
        <v>13950</v>
      </c>
      <c r="I12" s="4">
        <f>12*'VERIFICHE GENERALI'!$B$2*'PIANO 3'!F12/'VERIFICHE GENERALI'!$B$9^3</f>
        <v>31387.5</v>
      </c>
      <c r="J12" s="4">
        <f t="shared" si="2"/>
        <v>111600</v>
      </c>
      <c r="K12" s="4">
        <f t="shared" si="3"/>
        <v>125550</v>
      </c>
    </row>
    <row r="13" spans="1:13" s="2" customFormat="1" x14ac:dyDescent="0.25">
      <c r="A13" s="12">
        <v>9</v>
      </c>
      <c r="B13" s="10">
        <v>300</v>
      </c>
      <c r="C13" s="10">
        <v>450</v>
      </c>
      <c r="D13" s="4">
        <v>13.5</v>
      </c>
      <c r="E13" s="4">
        <v>4</v>
      </c>
      <c r="F13" s="4">
        <f t="shared" si="0"/>
        <v>2278125000</v>
      </c>
      <c r="G13" s="4">
        <f t="shared" si="1"/>
        <v>1012500000</v>
      </c>
      <c r="H13" s="4">
        <f>12*'VERIFICHE GENERALI'!$B$2*'PIANO 3'!$G13/'VERIFICHE GENERALI'!$B$9^3</f>
        <v>13950</v>
      </c>
      <c r="I13" s="4">
        <f>12*'VERIFICHE GENERALI'!$B$2*'PIANO 3'!F13/'VERIFICHE GENERALI'!$B$9^3</f>
        <v>31387.5</v>
      </c>
      <c r="J13" s="4">
        <f t="shared" si="2"/>
        <v>188325</v>
      </c>
      <c r="K13" s="4">
        <f t="shared" si="3"/>
        <v>125550</v>
      </c>
    </row>
    <row r="14" spans="1:13" s="2" customFormat="1" x14ac:dyDescent="0.25">
      <c r="A14" s="12">
        <v>10</v>
      </c>
      <c r="B14" s="10">
        <v>300</v>
      </c>
      <c r="C14" s="10">
        <v>450</v>
      </c>
      <c r="D14" s="4">
        <v>17.5</v>
      </c>
      <c r="E14" s="4">
        <v>4</v>
      </c>
      <c r="F14" s="4">
        <f t="shared" si="0"/>
        <v>2278125000</v>
      </c>
      <c r="G14" s="4">
        <f t="shared" si="1"/>
        <v>1012500000</v>
      </c>
      <c r="H14" s="4">
        <f>12*'VERIFICHE GENERALI'!$B$2*'PIANO 3'!$G14/'VERIFICHE GENERALI'!$B$9^3</f>
        <v>13950</v>
      </c>
      <c r="I14" s="4">
        <f>12*'VERIFICHE GENERALI'!$B$2*'PIANO 3'!F14/'VERIFICHE GENERALI'!$B$9^3</f>
        <v>31387.5</v>
      </c>
      <c r="J14" s="4">
        <f t="shared" si="2"/>
        <v>244125</v>
      </c>
      <c r="K14" s="4">
        <f t="shared" si="3"/>
        <v>125550</v>
      </c>
    </row>
    <row r="15" spans="1:13" s="2" customFormat="1" x14ac:dyDescent="0.25">
      <c r="A15" s="12">
        <v>11</v>
      </c>
      <c r="B15" s="10">
        <v>300</v>
      </c>
      <c r="C15" s="10">
        <v>450</v>
      </c>
      <c r="D15" s="4">
        <v>0</v>
      </c>
      <c r="E15" s="4">
        <v>9.5</v>
      </c>
      <c r="F15" s="4">
        <f t="shared" si="0"/>
        <v>2278125000</v>
      </c>
      <c r="G15" s="4">
        <f t="shared" si="1"/>
        <v>1012500000</v>
      </c>
      <c r="H15" s="4">
        <f>12*'VERIFICHE GENERALI'!$B$2*'PIANO 3'!$G15/'VERIFICHE GENERALI'!$B$9^3</f>
        <v>13950</v>
      </c>
      <c r="I15" s="4">
        <f>12*'VERIFICHE GENERALI'!$B$2*'PIANO 3'!F15/'VERIFICHE GENERALI'!$B$9^3</f>
        <v>31387.5</v>
      </c>
      <c r="J15" s="4">
        <f t="shared" si="2"/>
        <v>0</v>
      </c>
      <c r="K15" s="4">
        <f t="shared" si="3"/>
        <v>298181.25</v>
      </c>
    </row>
    <row r="16" spans="1:13" s="2" customFormat="1" x14ac:dyDescent="0.25">
      <c r="A16" s="12">
        <v>12</v>
      </c>
      <c r="B16" s="10">
        <v>300</v>
      </c>
      <c r="C16" s="10">
        <v>450</v>
      </c>
      <c r="D16" s="4">
        <v>4</v>
      </c>
      <c r="E16" s="4">
        <v>9.5</v>
      </c>
      <c r="F16" s="4">
        <f t="shared" si="0"/>
        <v>2278125000</v>
      </c>
      <c r="G16" s="4">
        <f t="shared" si="1"/>
        <v>1012500000</v>
      </c>
      <c r="H16" s="4">
        <f>12*'VERIFICHE GENERALI'!$B$2*'PIANO 3'!$G16/'VERIFICHE GENERALI'!$B$9^3</f>
        <v>13950</v>
      </c>
      <c r="I16" s="4">
        <f>12*'VERIFICHE GENERALI'!$B$2*'PIANO 3'!F16/'VERIFICHE GENERALI'!$B$9^3</f>
        <v>31387.5</v>
      </c>
      <c r="J16" s="4">
        <f t="shared" si="2"/>
        <v>55800</v>
      </c>
      <c r="K16" s="4">
        <f t="shared" si="3"/>
        <v>298181.25</v>
      </c>
    </row>
    <row r="17" spans="1:11" s="2" customFormat="1" x14ac:dyDescent="0.25">
      <c r="A17" s="12">
        <v>13</v>
      </c>
      <c r="B17" s="10">
        <v>300</v>
      </c>
      <c r="C17" s="10">
        <v>450</v>
      </c>
      <c r="D17" s="4">
        <v>8</v>
      </c>
      <c r="E17" s="4">
        <v>9.5</v>
      </c>
      <c r="F17" s="4">
        <f t="shared" si="0"/>
        <v>2278125000</v>
      </c>
      <c r="G17" s="4">
        <f t="shared" si="1"/>
        <v>1012500000</v>
      </c>
      <c r="H17" s="4">
        <f>12*'VERIFICHE GENERALI'!$B$2*'PIANO 3'!$G17/'VERIFICHE GENERALI'!$B$9^3</f>
        <v>13950</v>
      </c>
      <c r="I17" s="4">
        <f>12*'VERIFICHE GENERALI'!$B$2*'PIANO 3'!F17/'VERIFICHE GENERALI'!$B$9^3</f>
        <v>31387.5</v>
      </c>
      <c r="J17" s="4">
        <f t="shared" si="2"/>
        <v>111600</v>
      </c>
      <c r="K17" s="4">
        <f t="shared" si="3"/>
        <v>298181.25</v>
      </c>
    </row>
    <row r="18" spans="1:11" s="2" customFormat="1" x14ac:dyDescent="0.25">
      <c r="A18" s="12">
        <v>14</v>
      </c>
      <c r="B18" s="10">
        <v>300</v>
      </c>
      <c r="C18" s="10">
        <v>450</v>
      </c>
      <c r="D18" s="4">
        <v>13.5</v>
      </c>
      <c r="E18" s="4">
        <v>9.5</v>
      </c>
      <c r="F18" s="4">
        <f t="shared" si="0"/>
        <v>2278125000</v>
      </c>
      <c r="G18" s="4">
        <f t="shared" si="1"/>
        <v>1012500000</v>
      </c>
      <c r="H18" s="4">
        <f>12*'VERIFICHE GENERALI'!$B$2*'PIANO 3'!$G18/'VERIFICHE GENERALI'!$B$9^3</f>
        <v>13950</v>
      </c>
      <c r="I18" s="4">
        <f>12*'VERIFICHE GENERALI'!$B$2*'PIANO 3'!F18/'VERIFICHE GENERALI'!$B$9^3</f>
        <v>31387.5</v>
      </c>
      <c r="J18" s="4">
        <f t="shared" si="2"/>
        <v>188325</v>
      </c>
      <c r="K18" s="4">
        <f t="shared" si="3"/>
        <v>298181.25</v>
      </c>
    </row>
    <row r="19" spans="1:11" s="2" customFormat="1" x14ac:dyDescent="0.25">
      <c r="A19" s="12">
        <v>15</v>
      </c>
      <c r="B19" s="10">
        <v>300</v>
      </c>
      <c r="C19" s="10">
        <v>450</v>
      </c>
      <c r="D19" s="4">
        <v>17.5</v>
      </c>
      <c r="E19" s="4">
        <v>9.5</v>
      </c>
      <c r="F19" s="4">
        <f t="shared" si="0"/>
        <v>2278125000</v>
      </c>
      <c r="G19" s="4">
        <f t="shared" si="1"/>
        <v>1012500000</v>
      </c>
      <c r="H19" s="4">
        <f>12*'VERIFICHE GENERALI'!$B$2*'PIANO 3'!$G19/'VERIFICHE GENERALI'!$B$9^3</f>
        <v>13950</v>
      </c>
      <c r="I19" s="4">
        <f>12*'VERIFICHE GENERALI'!$B$2*'PIANO 3'!F19/'VERIFICHE GENERALI'!$B$9^3</f>
        <v>31387.5</v>
      </c>
      <c r="J19" s="4">
        <f t="shared" si="2"/>
        <v>244125</v>
      </c>
      <c r="K19" s="4">
        <f t="shared" si="3"/>
        <v>298181.25</v>
      </c>
    </row>
    <row r="20" spans="1:11" s="2" customFormat="1" x14ac:dyDescent="0.25">
      <c r="A20" s="12">
        <v>16</v>
      </c>
      <c r="B20" s="10">
        <v>450</v>
      </c>
      <c r="C20" s="10">
        <v>300</v>
      </c>
      <c r="D20" s="4">
        <v>0</v>
      </c>
      <c r="E20" s="4">
        <v>13.5</v>
      </c>
      <c r="F20" s="4">
        <f t="shared" si="0"/>
        <v>1012500000</v>
      </c>
      <c r="G20" s="4">
        <f t="shared" si="1"/>
        <v>2278125000</v>
      </c>
      <c r="H20" s="4">
        <f>12*'VERIFICHE GENERALI'!$B$2*'PIANO 3'!$G20/'VERIFICHE GENERALI'!$B$9^3</f>
        <v>31387.5</v>
      </c>
      <c r="I20" s="4">
        <f>12*'VERIFICHE GENERALI'!$B$2*'PIANO 3'!F20/'VERIFICHE GENERALI'!$B$9^3</f>
        <v>13950</v>
      </c>
      <c r="J20" s="4">
        <f t="shared" si="2"/>
        <v>0</v>
      </c>
      <c r="K20" s="4">
        <f t="shared" si="3"/>
        <v>188325</v>
      </c>
    </row>
    <row r="21" spans="1:11" s="2" customFormat="1" x14ac:dyDescent="0.25">
      <c r="A21" s="12">
        <v>17</v>
      </c>
      <c r="B21" s="10">
        <v>450</v>
      </c>
      <c r="C21" s="10">
        <v>300</v>
      </c>
      <c r="D21" s="4">
        <v>4</v>
      </c>
      <c r="E21" s="4">
        <v>13.5</v>
      </c>
      <c r="F21" s="4">
        <f t="shared" si="0"/>
        <v>1012500000</v>
      </c>
      <c r="G21" s="4">
        <f t="shared" si="1"/>
        <v>2278125000</v>
      </c>
      <c r="H21" s="4">
        <f>12*'VERIFICHE GENERALI'!$B$2*'PIANO 3'!$G21/'VERIFICHE GENERALI'!$B$9^3</f>
        <v>31387.5</v>
      </c>
      <c r="I21" s="4">
        <f>12*'VERIFICHE GENERALI'!$B$2*'PIANO 3'!F21/'VERIFICHE GENERALI'!$B$9^3</f>
        <v>13950</v>
      </c>
      <c r="J21" s="4">
        <f t="shared" si="2"/>
        <v>125550</v>
      </c>
      <c r="K21" s="4">
        <f t="shared" si="3"/>
        <v>188325</v>
      </c>
    </row>
    <row r="22" spans="1:11" s="2" customFormat="1" x14ac:dyDescent="0.25">
      <c r="A22" s="12">
        <v>18</v>
      </c>
      <c r="B22" s="10">
        <v>450</v>
      </c>
      <c r="C22" s="10">
        <v>300</v>
      </c>
      <c r="D22" s="4">
        <v>8</v>
      </c>
      <c r="E22" s="4">
        <v>13.5</v>
      </c>
      <c r="F22" s="4">
        <f t="shared" si="0"/>
        <v>1012500000</v>
      </c>
      <c r="G22" s="4">
        <f t="shared" si="1"/>
        <v>2278125000</v>
      </c>
      <c r="H22" s="4">
        <f>12*'VERIFICHE GENERALI'!$B$2*'PIANO 3'!$G22/'VERIFICHE GENERALI'!$B$9^3</f>
        <v>31387.5</v>
      </c>
      <c r="I22" s="4">
        <f>12*'VERIFICHE GENERALI'!$B$2*'PIANO 3'!F22/'VERIFICHE GENERALI'!$B$9^3</f>
        <v>13950</v>
      </c>
      <c r="J22" s="4">
        <f t="shared" si="2"/>
        <v>251100</v>
      </c>
      <c r="K22" s="4">
        <f t="shared" si="3"/>
        <v>188325</v>
      </c>
    </row>
    <row r="23" spans="1:11" s="2" customFormat="1" x14ac:dyDescent="0.25">
      <c r="A23" s="12">
        <v>19</v>
      </c>
      <c r="B23" s="10">
        <v>450</v>
      </c>
      <c r="C23" s="10">
        <v>300</v>
      </c>
      <c r="D23" s="4">
        <v>13.5</v>
      </c>
      <c r="E23" s="4">
        <v>13.5</v>
      </c>
      <c r="F23" s="4">
        <f t="shared" si="0"/>
        <v>1012500000</v>
      </c>
      <c r="G23" s="4">
        <f t="shared" si="1"/>
        <v>2278125000</v>
      </c>
      <c r="H23" s="4">
        <f>12*'VERIFICHE GENERALI'!$B$2*'PIANO 3'!$G23/'VERIFICHE GENERALI'!$B$9^3</f>
        <v>31387.5</v>
      </c>
      <c r="I23" s="4">
        <f>12*'VERIFICHE GENERALI'!$B$2*'PIANO 3'!F23/'VERIFICHE GENERALI'!$B$9^3</f>
        <v>13950</v>
      </c>
      <c r="J23" s="4">
        <f t="shared" si="2"/>
        <v>423731.25</v>
      </c>
      <c r="K23" s="4">
        <f t="shared" si="3"/>
        <v>188325</v>
      </c>
    </row>
    <row r="24" spans="1:11" s="2" customFormat="1" x14ac:dyDescent="0.25">
      <c r="A24" s="12">
        <v>20</v>
      </c>
      <c r="B24" s="10">
        <v>450</v>
      </c>
      <c r="C24" s="10">
        <v>300</v>
      </c>
      <c r="D24" s="4">
        <v>17.5</v>
      </c>
      <c r="E24" s="4">
        <v>13.5</v>
      </c>
      <c r="F24" s="4">
        <f t="shared" si="0"/>
        <v>1012500000</v>
      </c>
      <c r="G24" s="4">
        <f t="shared" si="1"/>
        <v>2278125000</v>
      </c>
      <c r="H24" s="4">
        <f>12*'VERIFICHE GENERALI'!$B$2*'PIANO 3'!$G24/'VERIFICHE GENERALI'!$B$9^3</f>
        <v>31387.5</v>
      </c>
      <c r="I24" s="4">
        <f>12*'VERIFICHE GENERALI'!$B$2*'PIANO 3'!F24/'VERIFICHE GENERALI'!$B$9^3</f>
        <v>13950</v>
      </c>
      <c r="J24" s="4">
        <f t="shared" si="2"/>
        <v>549281.25</v>
      </c>
      <c r="K24" s="4">
        <f t="shared" si="3"/>
        <v>188325</v>
      </c>
    </row>
    <row r="25" spans="1:11" s="2" customFormat="1" x14ac:dyDescent="0.25"/>
    <row r="26" spans="1:11" s="2" customFormat="1" x14ac:dyDescent="0.25"/>
    <row r="27" spans="1:11" s="2" customFormat="1" x14ac:dyDescent="0.25"/>
    <row r="28" spans="1:11" s="2" customFormat="1" x14ac:dyDescent="0.25"/>
    <row r="29" spans="1:11" s="2" customFormat="1" x14ac:dyDescent="0.25"/>
    <row r="30" spans="1:11" s="2" customFormat="1" x14ac:dyDescent="0.25"/>
    <row r="31" spans="1:11" s="2" customFormat="1" x14ac:dyDescent="0.25"/>
    <row r="32" spans="1:11" s="2" customFormat="1" x14ac:dyDescent="0.25"/>
    <row r="33" spans="1:11" s="2" customFormat="1" x14ac:dyDescent="0.25"/>
    <row r="34" spans="1:11" s="2" customFormat="1" x14ac:dyDescent="0.25"/>
    <row r="35" spans="1:11" s="2" customFormat="1" x14ac:dyDescent="0.25"/>
    <row r="36" spans="1:11" s="2" customFormat="1" x14ac:dyDescent="0.25"/>
    <row r="37" spans="1:11" s="2" customFormat="1" x14ac:dyDescent="0.25"/>
    <row r="38" spans="1:11" s="2" customFormat="1" x14ac:dyDescent="0.25"/>
    <row r="39" spans="1:11" s="2" customFormat="1" x14ac:dyDescent="0.25"/>
    <row r="40" spans="1:11" s="2" customFormat="1" x14ac:dyDescent="0.25"/>
    <row r="41" spans="1:11" s="2" customFormat="1" x14ac:dyDescent="0.25"/>
    <row r="42" spans="1:11" s="2" customFormat="1" x14ac:dyDescent="0.25"/>
    <row r="43" spans="1:11" s="2" customFormat="1" x14ac:dyDescent="0.25"/>
    <row r="44" spans="1:11" s="2" customFormat="1" ht="21" x14ac:dyDescent="0.35">
      <c r="A44" s="55" t="s">
        <v>80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1" s="2" customFormat="1" x14ac:dyDescent="0.25"/>
    <row r="46" spans="1:11" s="2" customFormat="1" x14ac:dyDescent="0.25"/>
    <row r="47" spans="1:11" s="2" customFormat="1" x14ac:dyDescent="0.25">
      <c r="C47" s="15" t="s">
        <v>66</v>
      </c>
      <c r="D47" s="15" t="s">
        <v>55</v>
      </c>
      <c r="E47" s="15" t="s">
        <v>57</v>
      </c>
      <c r="F47" s="15" t="s">
        <v>61</v>
      </c>
      <c r="G47" s="15" t="s">
        <v>70</v>
      </c>
      <c r="H47" s="1"/>
    </row>
    <row r="48" spans="1:11" s="2" customFormat="1" x14ac:dyDescent="0.25">
      <c r="C48" s="15" t="s">
        <v>68</v>
      </c>
      <c r="D48" s="15" t="s">
        <v>56</v>
      </c>
      <c r="E48" s="15" t="s">
        <v>22</v>
      </c>
      <c r="F48" s="15" t="s">
        <v>22</v>
      </c>
      <c r="G48" s="15" t="s">
        <v>71</v>
      </c>
      <c r="H48" s="1" t="s">
        <v>74</v>
      </c>
      <c r="K48" s="9" t="s">
        <v>33</v>
      </c>
    </row>
    <row r="49" spans="3:13" s="2" customFormat="1" x14ac:dyDescent="0.25">
      <c r="C49" s="12">
        <v>1</v>
      </c>
      <c r="D49" s="7">
        <f>2*2</f>
        <v>4</v>
      </c>
      <c r="E49" s="10">
        <f>(25*(B5*C5*'VERIFICHE GENERALI'!$B$9)/1000^3)*1.3+D49*$L$49+D49*$L$52+'PIANO 4'!E48+($L$53/$L$54)*D49</f>
        <v>171.09813809523808</v>
      </c>
      <c r="F49" s="10">
        <f>(0.65*'VERIFICHE GENERALI'!$B$11*B5*C5)/1000</f>
        <v>1491.75</v>
      </c>
      <c r="G49" s="4">
        <f>E49/F49</f>
        <v>0.11469625479821557</v>
      </c>
      <c r="H49" s="17" t="str">
        <f>IF(G49&lt;=1,"OK","NO")</f>
        <v>OK</v>
      </c>
      <c r="K49" s="6" t="s">
        <v>78</v>
      </c>
      <c r="L49" s="19">
        <v>14.345499999999998</v>
      </c>
      <c r="M49" s="4" t="s">
        <v>54</v>
      </c>
    </row>
    <row r="50" spans="3:13" s="2" customFormat="1" x14ac:dyDescent="0.25">
      <c r="C50" s="12">
        <v>2</v>
      </c>
      <c r="D50" s="7">
        <f>4*2</f>
        <v>8</v>
      </c>
      <c r="E50" s="10">
        <f>(25*(B6*C6*'VERIFICHE GENERALI'!$B$9)/1000^3)*1.3+D50*$L$49+D50*$L$52+'PIANO 4'!E49+($L$53/$L$54)*D50</f>
        <v>317.33377619047621</v>
      </c>
      <c r="F50" s="10">
        <f>(0.65*'VERIFICHE GENERALI'!$B$11*B6*C6)/1000</f>
        <v>1491.75</v>
      </c>
      <c r="G50" s="4">
        <f t="shared" ref="G50:G68" si="4">E50/F50</f>
        <v>0.21272584292976451</v>
      </c>
      <c r="H50" s="17" t="str">
        <f t="shared" ref="H50:H68" si="5">IF(G50&lt;=1,"OK","NO")</f>
        <v>OK</v>
      </c>
      <c r="K50" s="4" t="s">
        <v>58</v>
      </c>
      <c r="L50" s="4">
        <f>'VERIFICHE GENERALI'!D20</f>
        <v>515.625</v>
      </c>
    </row>
    <row r="51" spans="3:13" s="2" customFormat="1" x14ac:dyDescent="0.25">
      <c r="C51" s="12">
        <v>3</v>
      </c>
      <c r="D51" s="7">
        <f>4.75*2</f>
        <v>9.5</v>
      </c>
      <c r="E51" s="10">
        <f>(25*(B7*C7*'VERIFICHE GENERALI'!$B$9)/1000^3)*1.3+D51*$L$49+D51*$L$52+'PIANO 4'!E50+($L$53/$L$54)*D51</f>
        <v>372.17214047619046</v>
      </c>
      <c r="F51" s="10">
        <f>(0.65*'VERIFICHE GENERALI'!$B$11*B7*C7)/1000</f>
        <v>1491.75</v>
      </c>
      <c r="G51" s="4">
        <f t="shared" si="4"/>
        <v>0.24948693847909534</v>
      </c>
      <c r="H51" s="17" t="str">
        <f t="shared" si="5"/>
        <v>OK</v>
      </c>
      <c r="K51" s="4" t="s">
        <v>59</v>
      </c>
      <c r="L51" s="4">
        <f>(L8*2)*(M8*2)</f>
        <v>236.25</v>
      </c>
    </row>
    <row r="52" spans="3:13" s="2" customFormat="1" x14ac:dyDescent="0.25">
      <c r="C52" s="12">
        <v>4</v>
      </c>
      <c r="D52" s="7">
        <f>4.75*2</f>
        <v>9.5</v>
      </c>
      <c r="E52" s="10">
        <f>(25*(B8*C8*'VERIFICHE GENERALI'!$B$9)/1000^3)*1.3+D52*$L$49+D52*$L$52+'PIANO 4'!E51+($L$53/$L$54)*D52</f>
        <v>372.17214047619046</v>
      </c>
      <c r="F52" s="10">
        <f>(0.65*'VERIFICHE GENERALI'!$B$11*B8*C8)/1000</f>
        <v>1491.75</v>
      </c>
      <c r="G52" s="4">
        <f t="shared" si="4"/>
        <v>0.24948693847909534</v>
      </c>
      <c r="H52" s="17" t="str">
        <f t="shared" si="5"/>
        <v>OK</v>
      </c>
      <c r="K52" s="4" t="s">
        <v>60</v>
      </c>
      <c r="L52" s="4">
        <f>L50/L51*1.3</f>
        <v>2.837301587301587</v>
      </c>
    </row>
    <row r="53" spans="3:13" s="2" customFormat="1" x14ac:dyDescent="0.25">
      <c r="C53" s="12">
        <v>5</v>
      </c>
      <c r="D53" s="7">
        <f>2*2</f>
        <v>4</v>
      </c>
      <c r="E53" s="10">
        <f>(25*(B9*C9*'VERIFICHE GENERALI'!$B$9)/1000^3)*1.3+D53*$L$49+D53*$L$52+'PIANO 4'!E52+($L$53/$L$54)*D53</f>
        <v>171.09813809523808</v>
      </c>
      <c r="F53" s="10">
        <f>(0.65*'VERIFICHE GENERALI'!$B$11*B9*C9)/1000</f>
        <v>1491.75</v>
      </c>
      <c r="G53" s="4">
        <f t="shared" si="4"/>
        <v>0.11469625479821557</v>
      </c>
      <c r="H53" s="17" t="str">
        <f t="shared" si="5"/>
        <v>OK</v>
      </c>
      <c r="K53" s="4" t="s">
        <v>72</v>
      </c>
      <c r="L53" s="4">
        <f>[1]TRAMEZZI!$I$17*(L8*4+M8*4)*1.3</f>
        <v>603.53279999999995</v>
      </c>
    </row>
    <row r="54" spans="3:13" s="2" customFormat="1" x14ac:dyDescent="0.25">
      <c r="C54" s="12">
        <v>6</v>
      </c>
      <c r="D54" s="7">
        <f>2*4.75</f>
        <v>9.5</v>
      </c>
      <c r="E54" s="10">
        <f>(25*(B10*C10*'VERIFICHE GENERALI'!$B$9)/1000^3)*1.3+D54*$L$49+D54*$L$52+'PIANO 4'!E53+($L$53/$L$54)*D54</f>
        <v>372.17214047619046</v>
      </c>
      <c r="F54" s="10">
        <f>(0.65*'VERIFICHE GENERALI'!$B$11*B10*C10)/1000</f>
        <v>1491.75</v>
      </c>
      <c r="G54" s="4">
        <f t="shared" si="4"/>
        <v>0.24948693847909534</v>
      </c>
      <c r="H54" s="17" t="str">
        <f t="shared" si="5"/>
        <v>OK</v>
      </c>
      <c r="K54" s="4" t="s">
        <v>73</v>
      </c>
      <c r="L54" s="4">
        <f>SUM(D49:D53,D64:D68)+D59+D54+D63+D58</f>
        <v>108</v>
      </c>
    </row>
    <row r="55" spans="3:13" s="2" customFormat="1" x14ac:dyDescent="0.25">
      <c r="C55" s="18">
        <v>7</v>
      </c>
      <c r="D55" s="7">
        <f>4*4.75</f>
        <v>19</v>
      </c>
      <c r="E55" s="10">
        <f>(25*(B11*C11*'VERIFICHE GENERALI'!$B$9)/1000^3)+D55*$L$49+D55*$L$52+'PIANO 4'!E54</f>
        <v>610.2672142857142</v>
      </c>
      <c r="F55" s="10">
        <f>(0.65*'VERIFICHE GENERALI'!$B$11*B11*C11)/1000</f>
        <v>1491.75</v>
      </c>
      <c r="G55" s="4">
        <f t="shared" si="4"/>
        <v>0.40909483109483102</v>
      </c>
      <c r="H55" s="17" t="str">
        <f t="shared" si="5"/>
        <v>OK</v>
      </c>
    </row>
    <row r="56" spans="3:13" s="2" customFormat="1" x14ac:dyDescent="0.25">
      <c r="C56" s="18">
        <v>8</v>
      </c>
      <c r="D56" s="7">
        <f>4.75*4.75</f>
        <v>22.5625</v>
      </c>
      <c r="E56" s="10">
        <f>(25*(B12*C12*'VERIFICHE GENERALI'!$B$9)/1000^3)+D56*$L$49+D56*$L$52+'PIANO 4'!E55</f>
        <v>720.60012946428571</v>
      </c>
      <c r="F56" s="10">
        <f>(0.65*'VERIFICHE GENERALI'!$B$11*B12*C12)/1000</f>
        <v>1491.75</v>
      </c>
      <c r="G56" s="4">
        <f t="shared" si="4"/>
        <v>0.48305689925542866</v>
      </c>
      <c r="H56" s="17" t="str">
        <f t="shared" si="5"/>
        <v>OK</v>
      </c>
    </row>
    <row r="57" spans="3:13" s="2" customFormat="1" x14ac:dyDescent="0.25">
      <c r="C57" s="18">
        <v>9</v>
      </c>
      <c r="D57" s="7">
        <f>4.75*4.75</f>
        <v>22.5625</v>
      </c>
      <c r="E57" s="10">
        <f>(25*(B13*C13*'VERIFICHE GENERALI'!$B$9)/1000^3)+D57*$L$49+D57*$L$52+'PIANO 4'!E56</f>
        <v>720.60012946428571</v>
      </c>
      <c r="F57" s="10">
        <f>(0.65*'VERIFICHE GENERALI'!$B$11*B13*C13)/1000</f>
        <v>1491.75</v>
      </c>
      <c r="G57" s="4">
        <f t="shared" si="4"/>
        <v>0.48305689925542866</v>
      </c>
      <c r="H57" s="17" t="str">
        <f t="shared" si="5"/>
        <v>OK</v>
      </c>
    </row>
    <row r="58" spans="3:13" s="2" customFormat="1" x14ac:dyDescent="0.25">
      <c r="C58" s="12">
        <v>10</v>
      </c>
      <c r="D58" s="7">
        <f>4.75*2</f>
        <v>9.5</v>
      </c>
      <c r="E58" s="10">
        <f>(25*(B14*C14*'VERIFICHE GENERALI'!$B$9)/1000^3)*1.3+D58*$L$49+D58*$L$52+'PIANO 4'!E57+($L$53/$L$54)*D58</f>
        <v>372.17214047619046</v>
      </c>
      <c r="F58" s="10">
        <f>(0.65*'VERIFICHE GENERALI'!$B$11*B14*C14)/1000</f>
        <v>1491.75</v>
      </c>
      <c r="G58" s="4">
        <f t="shared" si="4"/>
        <v>0.24948693847909534</v>
      </c>
      <c r="H58" s="17" t="str">
        <f t="shared" si="5"/>
        <v>OK</v>
      </c>
    </row>
    <row r="59" spans="3:13" s="2" customFormat="1" x14ac:dyDescent="0.25">
      <c r="C59" s="12">
        <v>11</v>
      </c>
      <c r="D59" s="7">
        <f>2*4.75</f>
        <v>9.5</v>
      </c>
      <c r="E59" s="10">
        <f>(25*(B15*C15*'VERIFICHE GENERALI'!$B$9)/1000^3)*1.3+D59*$L$49+D59*$L$52+'PIANO 4'!E58+($L$53/$L$54)*D59</f>
        <v>372.17214047619046</v>
      </c>
      <c r="F59" s="10">
        <f>(0.65*'VERIFICHE GENERALI'!$B$11*B15*C15)/1000</f>
        <v>1491.75</v>
      </c>
      <c r="G59" s="4">
        <f t="shared" si="4"/>
        <v>0.24948693847909534</v>
      </c>
      <c r="H59" s="17" t="str">
        <f t="shared" si="5"/>
        <v>OK</v>
      </c>
    </row>
    <row r="60" spans="3:13" s="2" customFormat="1" x14ac:dyDescent="0.25">
      <c r="C60" s="18">
        <v>12</v>
      </c>
      <c r="D60" s="7">
        <f>4*4.75</f>
        <v>19</v>
      </c>
      <c r="E60" s="10">
        <f>(25*(B16*C16*'VERIFICHE GENERALI'!$B$9)/1000^3)*1.3+D60*$L$49+D60*$L$52+'PIANO 4'!E59</f>
        <v>613.30471428571423</v>
      </c>
      <c r="F60" s="10">
        <f>(0.65*'VERIFICHE GENERALI'!$B$11*B16*C16)/1000</f>
        <v>1491.75</v>
      </c>
      <c r="G60" s="4">
        <f t="shared" si="4"/>
        <v>0.4111310301898537</v>
      </c>
      <c r="H60" s="17" t="str">
        <f t="shared" si="5"/>
        <v>OK</v>
      </c>
    </row>
    <row r="61" spans="3:13" s="2" customFormat="1" x14ac:dyDescent="0.25">
      <c r="C61" s="18">
        <v>13</v>
      </c>
      <c r="D61" s="7">
        <f>4.75*4.75</f>
        <v>22.5625</v>
      </c>
      <c r="E61" s="10">
        <f>(25*(B17*C17*'VERIFICHE GENERALI'!$B$9)/1000^3)*1.3+D61*$L$49+D61*$L$52+'PIANO 4'!E60</f>
        <v>723.63762946428574</v>
      </c>
      <c r="F61" s="10">
        <f>(0.65*'VERIFICHE GENERALI'!$B$11*B17*C17)/1000</f>
        <v>1491.75</v>
      </c>
      <c r="G61" s="4">
        <f t="shared" si="4"/>
        <v>0.48509309835045128</v>
      </c>
      <c r="H61" s="17" t="str">
        <f t="shared" si="5"/>
        <v>OK</v>
      </c>
    </row>
    <row r="62" spans="3:13" s="2" customFormat="1" x14ac:dyDescent="0.25">
      <c r="C62" s="18">
        <v>14</v>
      </c>
      <c r="D62" s="7">
        <f>4.75*4.75</f>
        <v>22.5625</v>
      </c>
      <c r="E62" s="10">
        <f>(25*(B18*C18*'VERIFICHE GENERALI'!$B$9)/1000^3)*1.3+D62*$L$49+D62*$L$52+'PIANO 4'!E61</f>
        <v>723.63762946428574</v>
      </c>
      <c r="F62" s="10">
        <f>(0.65*'VERIFICHE GENERALI'!$B$11*B18*C18)/1000</f>
        <v>1491.75</v>
      </c>
      <c r="G62" s="4">
        <f t="shared" si="4"/>
        <v>0.48509309835045128</v>
      </c>
      <c r="H62" s="17" t="str">
        <f t="shared" si="5"/>
        <v>OK</v>
      </c>
    </row>
    <row r="63" spans="3:13" s="2" customFormat="1" x14ac:dyDescent="0.25">
      <c r="C63" s="12">
        <v>15</v>
      </c>
      <c r="D63" s="7">
        <f>4.75*2</f>
        <v>9.5</v>
      </c>
      <c r="E63" s="10">
        <f>(25*(B19*C19*'VERIFICHE GENERALI'!$B$9)/1000^3)*1.3+D63*$L$49+D63*$L$52+'PIANO 4'!E62+($L$53/$L$54)*D63</f>
        <v>372.17214047619046</v>
      </c>
      <c r="F63" s="10">
        <f>(0.65*'VERIFICHE GENERALI'!$B$11*B19*C19)/1000</f>
        <v>1491.75</v>
      </c>
      <c r="G63" s="4">
        <f t="shared" si="4"/>
        <v>0.24948693847909534</v>
      </c>
      <c r="H63" s="17" t="str">
        <f t="shared" si="5"/>
        <v>OK</v>
      </c>
    </row>
    <row r="64" spans="3:13" s="2" customFormat="1" x14ac:dyDescent="0.25">
      <c r="C64" s="12">
        <v>16</v>
      </c>
      <c r="D64" s="7">
        <f>2*2</f>
        <v>4</v>
      </c>
      <c r="E64" s="10">
        <f>(25*(B20*C20*'VERIFICHE GENERALI'!$B$9)/1000^3)*1.3+D64*$L$49+D64*$L$52+'PIANO 4'!E63+($L$53/$L$54)*D64</f>
        <v>171.09813809523808</v>
      </c>
      <c r="F64" s="10">
        <f>(0.65*'VERIFICHE GENERALI'!$B$11*B20*C20)/1000</f>
        <v>1491.75</v>
      </c>
      <c r="G64" s="4">
        <f t="shared" si="4"/>
        <v>0.11469625479821557</v>
      </c>
      <c r="H64" s="17" t="str">
        <f t="shared" si="5"/>
        <v>OK</v>
      </c>
    </row>
    <row r="65" spans="3:8" s="2" customFormat="1" x14ac:dyDescent="0.25">
      <c r="C65" s="12">
        <v>17</v>
      </c>
      <c r="D65" s="7">
        <f>4*2</f>
        <v>8</v>
      </c>
      <c r="E65" s="10">
        <f>(25*(B21*C21*'VERIFICHE GENERALI'!$B$9)/1000^3)*1.3+D65*$L$49+D65*$L$52+'PIANO 4'!E64+($L$53/$L$54)*D65</f>
        <v>317.33377619047621</v>
      </c>
      <c r="F65" s="10">
        <f>(0.65*'VERIFICHE GENERALI'!$B$11*B21*C21)/1000</f>
        <v>1491.75</v>
      </c>
      <c r="G65" s="4">
        <f t="shared" si="4"/>
        <v>0.21272584292976451</v>
      </c>
      <c r="H65" s="17" t="str">
        <f t="shared" si="5"/>
        <v>OK</v>
      </c>
    </row>
    <row r="66" spans="3:8" s="2" customFormat="1" x14ac:dyDescent="0.25">
      <c r="C66" s="12">
        <v>18</v>
      </c>
      <c r="D66" s="7">
        <f>4.75*2</f>
        <v>9.5</v>
      </c>
      <c r="E66" s="10">
        <f>(25*(B22*C22*'VERIFICHE GENERALI'!$B$9)/1000^3)*1.3+D66*$L$49+D66*$L$52+'PIANO 4'!E65+($L$53/$L$54)*D66</f>
        <v>372.17214047619046</v>
      </c>
      <c r="F66" s="10">
        <f>(0.65*'VERIFICHE GENERALI'!$B$11*B22*C22)/1000</f>
        <v>1491.75</v>
      </c>
      <c r="G66" s="4">
        <f t="shared" si="4"/>
        <v>0.24948693847909534</v>
      </c>
      <c r="H66" s="17" t="str">
        <f t="shared" si="5"/>
        <v>OK</v>
      </c>
    </row>
    <row r="67" spans="3:8" s="2" customFormat="1" x14ac:dyDescent="0.25">
      <c r="C67" s="12">
        <v>19</v>
      </c>
      <c r="D67" s="7">
        <f>4.75*2</f>
        <v>9.5</v>
      </c>
      <c r="E67" s="10">
        <f>(25*(B23*C23*'VERIFICHE GENERALI'!$B$9)/1000^3)*1.3+D67*$L$49+D67*$L$52+'PIANO 4'!E66+($L$53/$L$54)*D67</f>
        <v>372.17214047619046</v>
      </c>
      <c r="F67" s="10">
        <f>(0.65*'VERIFICHE GENERALI'!$B$11*B23*C23)/1000</f>
        <v>1491.75</v>
      </c>
      <c r="G67" s="4">
        <f t="shared" si="4"/>
        <v>0.24948693847909534</v>
      </c>
      <c r="H67" s="17" t="str">
        <f t="shared" si="5"/>
        <v>OK</v>
      </c>
    </row>
    <row r="68" spans="3:8" s="2" customFormat="1" x14ac:dyDescent="0.25">
      <c r="C68" s="12">
        <v>20</v>
      </c>
      <c r="D68" s="7">
        <f>2*2</f>
        <v>4</v>
      </c>
      <c r="E68" s="10">
        <f>(25*(B24*C24*'VERIFICHE GENERALI'!$B$9)/1000^3)*1.3+D68*$L$49+D68*$L$52+'PIANO 4'!E67+($L$53/$L$54)*D68</f>
        <v>171.09813809523808</v>
      </c>
      <c r="F68" s="10">
        <f>(0.65*'VERIFICHE GENERALI'!$B$11*B24*C24)/1000</f>
        <v>1491.75</v>
      </c>
      <c r="G68" s="4">
        <f t="shared" si="4"/>
        <v>0.11469625479821557</v>
      </c>
      <c r="H68" s="17" t="str">
        <f t="shared" si="5"/>
        <v>OK</v>
      </c>
    </row>
    <row r="69" spans="3:8" s="2" customFormat="1" x14ac:dyDescent="0.25"/>
    <row r="70" spans="3:8" s="2" customFormat="1" x14ac:dyDescent="0.25"/>
    <row r="71" spans="3:8" s="2" customFormat="1" x14ac:dyDescent="0.25"/>
    <row r="72" spans="3:8" s="2" customFormat="1" x14ac:dyDescent="0.25"/>
    <row r="73" spans="3:8" s="2" customFormat="1" x14ac:dyDescent="0.25"/>
    <row r="74" spans="3:8" s="2" customFormat="1" x14ac:dyDescent="0.25"/>
    <row r="75" spans="3:8" s="2" customFormat="1" x14ac:dyDescent="0.25"/>
    <row r="76" spans="3:8" s="2" customFormat="1" x14ac:dyDescent="0.25"/>
    <row r="77" spans="3:8" s="2" customFormat="1" x14ac:dyDescent="0.25"/>
    <row r="78" spans="3:8" s="2" customFormat="1" x14ac:dyDescent="0.25"/>
    <row r="79" spans="3:8" s="2" customFormat="1" x14ac:dyDescent="0.25"/>
    <row r="80" spans="3:8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</sheetData>
  <mergeCells count="2">
    <mergeCell ref="A44:K44"/>
    <mergeCell ref="A1:K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0228-1C7D-4F88-AA6E-1F14F353DCF3}">
  <dimension ref="A1:M273"/>
  <sheetViews>
    <sheetView showRuler="0" topLeftCell="A37" zoomScale="70" zoomScaleNormal="70" workbookViewId="0">
      <selection activeCell="J51" sqref="J51"/>
    </sheetView>
  </sheetViews>
  <sheetFormatPr defaultRowHeight="15" x14ac:dyDescent="0.25"/>
  <cols>
    <col min="1" max="1" width="9.140625" style="1"/>
    <col min="2" max="2" width="10.42578125" style="1" customWidth="1"/>
    <col min="3" max="3" width="14" style="1" customWidth="1"/>
    <col min="4" max="4" width="13.5703125" style="1" customWidth="1"/>
    <col min="5" max="5" width="16.7109375" style="1" customWidth="1"/>
    <col min="6" max="6" width="10.85546875" style="1" customWidth="1"/>
    <col min="7" max="7" width="14.85546875" style="1" customWidth="1"/>
    <col min="8" max="8" width="20.42578125" style="1" customWidth="1"/>
    <col min="9" max="9" width="11.5703125" style="1" bestFit="1" customWidth="1"/>
    <col min="10" max="10" width="20.85546875" style="1" customWidth="1"/>
    <col min="11" max="11" width="19.140625" style="1" customWidth="1"/>
    <col min="12" max="14" width="9.140625" style="1"/>
    <col min="15" max="15" width="19.5703125" style="1" customWidth="1"/>
    <col min="16" max="16" width="12.5703125" style="1" customWidth="1"/>
    <col min="17" max="17" width="13.42578125" style="1" customWidth="1"/>
    <col min="18" max="18" width="15.42578125" style="1" customWidth="1"/>
    <col min="19" max="19" width="11.85546875" style="1" customWidth="1"/>
    <col min="20" max="20" width="16.5703125" style="1" customWidth="1"/>
    <col min="21" max="16384" width="9.140625" style="1"/>
  </cols>
  <sheetData>
    <row r="1" spans="1:13" ht="20.25" customHeight="1" x14ac:dyDescent="0.35">
      <c r="A1" s="56" t="s">
        <v>79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3" spans="1:13" s="2" customForma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10</v>
      </c>
      <c r="G3" s="3" t="s">
        <v>11</v>
      </c>
      <c r="H3" s="3" t="s">
        <v>34</v>
      </c>
      <c r="I3" s="3" t="s">
        <v>35</v>
      </c>
      <c r="J3" s="3" t="s">
        <v>45</v>
      </c>
      <c r="K3" s="3" t="s">
        <v>46</v>
      </c>
      <c r="L3" s="11" t="s">
        <v>53</v>
      </c>
      <c r="M3" s="3" t="s">
        <v>52</v>
      </c>
    </row>
    <row r="4" spans="1:13" s="2" customFormat="1" x14ac:dyDescent="0.25">
      <c r="A4" s="3" t="s">
        <v>1</v>
      </c>
      <c r="B4" s="3" t="s">
        <v>8</v>
      </c>
      <c r="C4" s="3" t="s">
        <v>8</v>
      </c>
      <c r="D4" s="3" t="s">
        <v>9</v>
      </c>
      <c r="E4" s="3" t="s">
        <v>9</v>
      </c>
      <c r="F4" s="3" t="s">
        <v>2</v>
      </c>
      <c r="G4" s="3" t="s">
        <v>2</v>
      </c>
      <c r="H4" s="3" t="s">
        <v>37</v>
      </c>
      <c r="I4" s="3" t="s">
        <v>37</v>
      </c>
      <c r="J4" s="3" t="s">
        <v>47</v>
      </c>
      <c r="K4" s="3" t="s">
        <v>47</v>
      </c>
      <c r="L4" s="11" t="s">
        <v>9</v>
      </c>
      <c r="M4" s="3" t="s">
        <v>9</v>
      </c>
    </row>
    <row r="5" spans="1:13" s="2" customFormat="1" x14ac:dyDescent="0.25">
      <c r="A5" s="12">
        <v>1</v>
      </c>
      <c r="B5" s="10">
        <v>400</v>
      </c>
      <c r="C5" s="10">
        <v>300</v>
      </c>
      <c r="D5" s="4">
        <v>0</v>
      </c>
      <c r="E5" s="4">
        <v>0</v>
      </c>
      <c r="F5" s="4">
        <f>B5*C5^3/12</f>
        <v>900000000</v>
      </c>
      <c r="G5" s="4">
        <f>C5*B5^3/12</f>
        <v>1600000000</v>
      </c>
      <c r="H5" s="4">
        <f>12*'VERIFICHE GENERALI'!$B$2*'PIANO 4'!$G5/'VERIFICHE GENERALI'!$B$9^3</f>
        <v>22044.444444444445</v>
      </c>
      <c r="I5" s="4">
        <f>12*'VERIFICHE GENERALI'!$B$2*'PIANO 4'!F5/'VERIFICHE GENERALI'!$B$9^3</f>
        <v>12400</v>
      </c>
      <c r="J5" s="4">
        <f>H5*D5</f>
        <v>0</v>
      </c>
      <c r="K5" s="4">
        <f>I5*E5</f>
        <v>0</v>
      </c>
      <c r="L5" s="13">
        <f>SUM(J5:J24)/SUM(H5:H24)</f>
        <v>8.6000000000000014</v>
      </c>
      <c r="M5" s="4">
        <f>SUM(K5:K24)/SUM(I5:I24)</f>
        <v>6.7500000000000009</v>
      </c>
    </row>
    <row r="6" spans="1:13" s="2" customFormat="1" x14ac:dyDescent="0.25">
      <c r="A6" s="12">
        <v>2</v>
      </c>
      <c r="B6" s="10">
        <v>400</v>
      </c>
      <c r="C6" s="10">
        <v>300</v>
      </c>
      <c r="D6" s="4">
        <v>4</v>
      </c>
      <c r="E6" s="4">
        <v>0</v>
      </c>
      <c r="F6" s="4">
        <f t="shared" ref="F6:F24" si="0">B6*C6^3/12</f>
        <v>900000000</v>
      </c>
      <c r="G6" s="4">
        <f t="shared" ref="G6:G24" si="1">C6*B6^3/12</f>
        <v>1600000000</v>
      </c>
      <c r="H6" s="4">
        <f>12*'VERIFICHE GENERALI'!$B$2*'PIANO 4'!$G6/'VERIFICHE GENERALI'!$B$9^3</f>
        <v>22044.444444444445</v>
      </c>
      <c r="I6" s="4">
        <f>12*'VERIFICHE GENERALI'!$B$2*'PIANO 4'!F6/'VERIFICHE GENERALI'!$B$9^3</f>
        <v>12400</v>
      </c>
      <c r="J6" s="4">
        <f t="shared" ref="J6:K24" si="2">H6*D6</f>
        <v>88177.777777777781</v>
      </c>
      <c r="K6" s="4">
        <f t="shared" si="2"/>
        <v>0</v>
      </c>
      <c r="L6" s="11" t="s">
        <v>49</v>
      </c>
      <c r="M6" s="3" t="s">
        <v>50</v>
      </c>
    </row>
    <row r="7" spans="1:13" s="2" customFormat="1" x14ac:dyDescent="0.25">
      <c r="A7" s="12">
        <v>3</v>
      </c>
      <c r="B7" s="10">
        <v>400</v>
      </c>
      <c r="C7" s="10">
        <v>300</v>
      </c>
      <c r="D7" s="4">
        <v>8</v>
      </c>
      <c r="E7" s="4">
        <v>0</v>
      </c>
      <c r="F7" s="4">
        <f t="shared" si="0"/>
        <v>900000000</v>
      </c>
      <c r="G7" s="4">
        <f t="shared" si="1"/>
        <v>1600000000</v>
      </c>
      <c r="H7" s="4">
        <f>12*'VERIFICHE GENERALI'!$B$2*'PIANO 4'!$G7/'VERIFICHE GENERALI'!$B$9^3</f>
        <v>22044.444444444445</v>
      </c>
      <c r="I7" s="4">
        <f>12*'VERIFICHE GENERALI'!$B$2*'PIANO 4'!F7/'VERIFICHE GENERALI'!$B$9^3</f>
        <v>12400</v>
      </c>
      <c r="J7" s="4">
        <f t="shared" si="2"/>
        <v>176355.55555555556</v>
      </c>
      <c r="K7" s="4">
        <f t="shared" si="2"/>
        <v>0</v>
      </c>
      <c r="L7" s="11" t="s">
        <v>9</v>
      </c>
      <c r="M7" s="3" t="s">
        <v>9</v>
      </c>
    </row>
    <row r="8" spans="1:13" s="2" customFormat="1" x14ac:dyDescent="0.25">
      <c r="A8" s="12">
        <v>4</v>
      </c>
      <c r="B8" s="10">
        <v>400</v>
      </c>
      <c r="C8" s="10">
        <v>300</v>
      </c>
      <c r="D8" s="4">
        <v>13.5</v>
      </c>
      <c r="E8" s="4">
        <v>0</v>
      </c>
      <c r="F8" s="4">
        <f t="shared" si="0"/>
        <v>900000000</v>
      </c>
      <c r="G8" s="4">
        <f t="shared" si="1"/>
        <v>1600000000</v>
      </c>
      <c r="H8" s="4">
        <f>12*'VERIFICHE GENERALI'!$B$2*'PIANO 4'!$G8/'VERIFICHE GENERALI'!$B$9^3</f>
        <v>22044.444444444445</v>
      </c>
      <c r="I8" s="4">
        <f>12*'VERIFICHE GENERALI'!$B$2*'PIANO 4'!F8/'VERIFICHE GENERALI'!$B$9^3</f>
        <v>12400</v>
      </c>
      <c r="J8" s="4">
        <f t="shared" si="2"/>
        <v>297600</v>
      </c>
      <c r="K8" s="4">
        <f t="shared" si="2"/>
        <v>0</v>
      </c>
      <c r="L8" s="13">
        <f>17.5/2</f>
        <v>8.75</v>
      </c>
      <c r="M8" s="4">
        <f>13.5/2</f>
        <v>6.75</v>
      </c>
    </row>
    <row r="9" spans="1:13" s="2" customFormat="1" x14ac:dyDescent="0.25">
      <c r="A9" s="12">
        <v>5</v>
      </c>
      <c r="B9" s="10">
        <v>400</v>
      </c>
      <c r="C9" s="10">
        <v>300</v>
      </c>
      <c r="D9" s="4">
        <v>17.5</v>
      </c>
      <c r="E9" s="4">
        <v>0</v>
      </c>
      <c r="F9" s="4">
        <f t="shared" si="0"/>
        <v>900000000</v>
      </c>
      <c r="G9" s="4">
        <f t="shared" si="1"/>
        <v>1600000000</v>
      </c>
      <c r="H9" s="4">
        <f>12*'VERIFICHE GENERALI'!$B$2*'PIANO 4'!$G9/'VERIFICHE GENERALI'!$B$9^3</f>
        <v>22044.444444444445</v>
      </c>
      <c r="I9" s="4">
        <f>12*'VERIFICHE GENERALI'!$B$2*'PIANO 4'!F9/'VERIFICHE GENERALI'!$B$9^3</f>
        <v>12400</v>
      </c>
      <c r="J9" s="4">
        <f t="shared" si="2"/>
        <v>385777.77777777781</v>
      </c>
      <c r="K9" s="4">
        <f t="shared" si="2"/>
        <v>0</v>
      </c>
    </row>
    <row r="10" spans="1:13" s="2" customFormat="1" x14ac:dyDescent="0.25">
      <c r="A10" s="12">
        <v>6</v>
      </c>
      <c r="B10" s="10">
        <v>300</v>
      </c>
      <c r="C10" s="10">
        <v>400</v>
      </c>
      <c r="D10" s="4">
        <v>0</v>
      </c>
      <c r="E10" s="4">
        <v>4</v>
      </c>
      <c r="F10" s="4">
        <f t="shared" si="0"/>
        <v>1600000000</v>
      </c>
      <c r="G10" s="4">
        <f t="shared" si="1"/>
        <v>900000000</v>
      </c>
      <c r="H10" s="4">
        <f>12*'VERIFICHE GENERALI'!$B$2*'PIANO 4'!$G10/'VERIFICHE GENERALI'!$B$9^3</f>
        <v>12400</v>
      </c>
      <c r="I10" s="4">
        <f>12*'VERIFICHE GENERALI'!$B$2*'PIANO 4'!F10/'VERIFICHE GENERALI'!$B$9^3</f>
        <v>22044.444444444445</v>
      </c>
      <c r="J10" s="4">
        <f t="shared" si="2"/>
        <v>0</v>
      </c>
      <c r="K10" s="4">
        <f t="shared" si="2"/>
        <v>88177.777777777781</v>
      </c>
    </row>
    <row r="11" spans="1:13" s="2" customFormat="1" x14ac:dyDescent="0.25">
      <c r="A11" s="12">
        <v>7</v>
      </c>
      <c r="B11" s="10">
        <v>300</v>
      </c>
      <c r="C11" s="10">
        <v>400</v>
      </c>
      <c r="D11" s="4">
        <v>4</v>
      </c>
      <c r="E11" s="4">
        <v>4</v>
      </c>
      <c r="F11" s="4">
        <f t="shared" si="0"/>
        <v>1600000000</v>
      </c>
      <c r="G11" s="4">
        <f t="shared" si="1"/>
        <v>900000000</v>
      </c>
      <c r="H11" s="4">
        <f>12*'VERIFICHE GENERALI'!$B$2*'PIANO 4'!$G11/'VERIFICHE GENERALI'!$B$9^3</f>
        <v>12400</v>
      </c>
      <c r="I11" s="4">
        <f>12*'VERIFICHE GENERALI'!$B$2*'PIANO 4'!F11/'VERIFICHE GENERALI'!$B$9^3</f>
        <v>22044.444444444445</v>
      </c>
      <c r="J11" s="4">
        <f t="shared" si="2"/>
        <v>49600</v>
      </c>
      <c r="K11" s="4">
        <f t="shared" si="2"/>
        <v>88177.777777777781</v>
      </c>
    </row>
    <row r="12" spans="1:13" s="2" customFormat="1" x14ac:dyDescent="0.25">
      <c r="A12" s="12">
        <v>8</v>
      </c>
      <c r="B12" s="10">
        <v>300</v>
      </c>
      <c r="C12" s="10">
        <v>400</v>
      </c>
      <c r="D12" s="4">
        <v>8</v>
      </c>
      <c r="E12" s="4">
        <v>4</v>
      </c>
      <c r="F12" s="4">
        <f t="shared" si="0"/>
        <v>1600000000</v>
      </c>
      <c r="G12" s="4">
        <f t="shared" si="1"/>
        <v>900000000</v>
      </c>
      <c r="H12" s="4">
        <f>12*'VERIFICHE GENERALI'!$B$2*'PIANO 4'!$G12/'VERIFICHE GENERALI'!$B$9^3</f>
        <v>12400</v>
      </c>
      <c r="I12" s="4">
        <f>12*'VERIFICHE GENERALI'!$B$2*'PIANO 4'!F12/'VERIFICHE GENERALI'!$B$9^3</f>
        <v>22044.444444444445</v>
      </c>
      <c r="J12" s="4">
        <f t="shared" si="2"/>
        <v>99200</v>
      </c>
      <c r="K12" s="4">
        <f t="shared" si="2"/>
        <v>88177.777777777781</v>
      </c>
    </row>
    <row r="13" spans="1:13" s="2" customFormat="1" x14ac:dyDescent="0.25">
      <c r="A13" s="12">
        <v>9</v>
      </c>
      <c r="B13" s="10">
        <v>300</v>
      </c>
      <c r="C13" s="10">
        <v>400</v>
      </c>
      <c r="D13" s="4">
        <v>13.5</v>
      </c>
      <c r="E13" s="4">
        <v>4</v>
      </c>
      <c r="F13" s="4">
        <f t="shared" si="0"/>
        <v>1600000000</v>
      </c>
      <c r="G13" s="4">
        <f t="shared" si="1"/>
        <v>900000000</v>
      </c>
      <c r="H13" s="4">
        <f>12*'VERIFICHE GENERALI'!$B$2*'PIANO 4'!$G13/'VERIFICHE GENERALI'!$B$9^3</f>
        <v>12400</v>
      </c>
      <c r="I13" s="4">
        <f>12*'VERIFICHE GENERALI'!$B$2*'PIANO 4'!F13/'VERIFICHE GENERALI'!$B$9^3</f>
        <v>22044.444444444445</v>
      </c>
      <c r="J13" s="4">
        <f t="shared" si="2"/>
        <v>167400</v>
      </c>
      <c r="K13" s="4">
        <f t="shared" si="2"/>
        <v>88177.777777777781</v>
      </c>
    </row>
    <row r="14" spans="1:13" s="2" customFormat="1" x14ac:dyDescent="0.25">
      <c r="A14" s="12">
        <v>10</v>
      </c>
      <c r="B14" s="10">
        <v>300</v>
      </c>
      <c r="C14" s="10">
        <v>400</v>
      </c>
      <c r="D14" s="4">
        <v>17.5</v>
      </c>
      <c r="E14" s="4">
        <v>4</v>
      </c>
      <c r="F14" s="4">
        <f t="shared" si="0"/>
        <v>1600000000</v>
      </c>
      <c r="G14" s="4">
        <f t="shared" si="1"/>
        <v>900000000</v>
      </c>
      <c r="H14" s="4">
        <f>12*'VERIFICHE GENERALI'!$B$2*'PIANO 4'!$G14/'VERIFICHE GENERALI'!$B$9^3</f>
        <v>12400</v>
      </c>
      <c r="I14" s="4">
        <f>12*'VERIFICHE GENERALI'!$B$2*'PIANO 4'!F14/'VERIFICHE GENERALI'!$B$9^3</f>
        <v>22044.444444444445</v>
      </c>
      <c r="J14" s="4">
        <f t="shared" si="2"/>
        <v>217000</v>
      </c>
      <c r="K14" s="4">
        <f t="shared" si="2"/>
        <v>88177.777777777781</v>
      </c>
    </row>
    <row r="15" spans="1:13" s="2" customFormat="1" x14ac:dyDescent="0.25">
      <c r="A15" s="12">
        <v>11</v>
      </c>
      <c r="B15" s="10">
        <v>300</v>
      </c>
      <c r="C15" s="10">
        <v>400</v>
      </c>
      <c r="D15" s="4">
        <v>0</v>
      </c>
      <c r="E15" s="4">
        <v>9.5</v>
      </c>
      <c r="F15" s="4">
        <f t="shared" si="0"/>
        <v>1600000000</v>
      </c>
      <c r="G15" s="4">
        <f t="shared" si="1"/>
        <v>900000000</v>
      </c>
      <c r="H15" s="4">
        <f>12*'VERIFICHE GENERALI'!$B$2*'PIANO 4'!$G15/'VERIFICHE GENERALI'!$B$9^3</f>
        <v>12400</v>
      </c>
      <c r="I15" s="4">
        <f>12*'VERIFICHE GENERALI'!$B$2*'PIANO 4'!F15/'VERIFICHE GENERALI'!$B$9^3</f>
        <v>22044.444444444445</v>
      </c>
      <c r="J15" s="4">
        <f t="shared" si="2"/>
        <v>0</v>
      </c>
      <c r="K15" s="4">
        <f t="shared" si="2"/>
        <v>209422.22222222222</v>
      </c>
    </row>
    <row r="16" spans="1:13" s="2" customFormat="1" x14ac:dyDescent="0.25">
      <c r="A16" s="12">
        <v>12</v>
      </c>
      <c r="B16" s="10">
        <v>300</v>
      </c>
      <c r="C16" s="10">
        <v>400</v>
      </c>
      <c r="D16" s="4">
        <v>4</v>
      </c>
      <c r="E16" s="4">
        <v>9.5</v>
      </c>
      <c r="F16" s="4">
        <f t="shared" si="0"/>
        <v>1600000000</v>
      </c>
      <c r="G16" s="4">
        <f t="shared" si="1"/>
        <v>900000000</v>
      </c>
      <c r="H16" s="4">
        <f>12*'VERIFICHE GENERALI'!$B$2*'PIANO 4'!$G16/'VERIFICHE GENERALI'!$B$9^3</f>
        <v>12400</v>
      </c>
      <c r="I16" s="4">
        <f>12*'VERIFICHE GENERALI'!$B$2*'PIANO 4'!F16/'VERIFICHE GENERALI'!$B$9^3</f>
        <v>22044.444444444445</v>
      </c>
      <c r="J16" s="4">
        <f t="shared" si="2"/>
        <v>49600</v>
      </c>
      <c r="K16" s="4">
        <f t="shared" si="2"/>
        <v>209422.22222222222</v>
      </c>
    </row>
    <row r="17" spans="1:11" s="2" customFormat="1" x14ac:dyDescent="0.25">
      <c r="A17" s="12">
        <v>13</v>
      </c>
      <c r="B17" s="10">
        <v>300</v>
      </c>
      <c r="C17" s="10">
        <v>400</v>
      </c>
      <c r="D17" s="4">
        <v>8</v>
      </c>
      <c r="E17" s="4">
        <v>9.5</v>
      </c>
      <c r="F17" s="4">
        <f t="shared" si="0"/>
        <v>1600000000</v>
      </c>
      <c r="G17" s="4">
        <f t="shared" si="1"/>
        <v>900000000</v>
      </c>
      <c r="H17" s="4">
        <f>12*'VERIFICHE GENERALI'!$B$2*'PIANO 4'!$G17/'VERIFICHE GENERALI'!$B$9^3</f>
        <v>12400</v>
      </c>
      <c r="I17" s="4">
        <f>12*'VERIFICHE GENERALI'!$B$2*'PIANO 4'!F17/'VERIFICHE GENERALI'!$B$9^3</f>
        <v>22044.444444444445</v>
      </c>
      <c r="J17" s="4">
        <f t="shared" si="2"/>
        <v>99200</v>
      </c>
      <c r="K17" s="4">
        <f t="shared" si="2"/>
        <v>209422.22222222222</v>
      </c>
    </row>
    <row r="18" spans="1:11" s="2" customFormat="1" x14ac:dyDescent="0.25">
      <c r="A18" s="12">
        <v>14</v>
      </c>
      <c r="B18" s="10">
        <v>300</v>
      </c>
      <c r="C18" s="10">
        <v>400</v>
      </c>
      <c r="D18" s="4">
        <v>13.5</v>
      </c>
      <c r="E18" s="4">
        <v>9.5</v>
      </c>
      <c r="F18" s="4">
        <f t="shared" si="0"/>
        <v>1600000000</v>
      </c>
      <c r="G18" s="4">
        <f t="shared" si="1"/>
        <v>900000000</v>
      </c>
      <c r="H18" s="4">
        <f>12*'VERIFICHE GENERALI'!$B$2*'PIANO 4'!$G18/'VERIFICHE GENERALI'!$B$9^3</f>
        <v>12400</v>
      </c>
      <c r="I18" s="4">
        <f>12*'VERIFICHE GENERALI'!$B$2*'PIANO 4'!F18/'VERIFICHE GENERALI'!$B$9^3</f>
        <v>22044.444444444445</v>
      </c>
      <c r="J18" s="4">
        <f t="shared" si="2"/>
        <v>167400</v>
      </c>
      <c r="K18" s="4">
        <f t="shared" si="2"/>
        <v>209422.22222222222</v>
      </c>
    </row>
    <row r="19" spans="1:11" s="2" customFormat="1" x14ac:dyDescent="0.25">
      <c r="A19" s="12">
        <v>15</v>
      </c>
      <c r="B19" s="10">
        <v>300</v>
      </c>
      <c r="C19" s="10">
        <v>400</v>
      </c>
      <c r="D19" s="4">
        <v>17.5</v>
      </c>
      <c r="E19" s="4">
        <v>9.5</v>
      </c>
      <c r="F19" s="4">
        <f t="shared" si="0"/>
        <v>1600000000</v>
      </c>
      <c r="G19" s="4">
        <f t="shared" si="1"/>
        <v>900000000</v>
      </c>
      <c r="H19" s="4">
        <f>12*'VERIFICHE GENERALI'!$B$2*'PIANO 4'!$G19/'VERIFICHE GENERALI'!$B$9^3</f>
        <v>12400</v>
      </c>
      <c r="I19" s="4">
        <f>12*'VERIFICHE GENERALI'!$B$2*'PIANO 4'!F19/'VERIFICHE GENERALI'!$B$9^3</f>
        <v>22044.444444444445</v>
      </c>
      <c r="J19" s="4">
        <f t="shared" si="2"/>
        <v>217000</v>
      </c>
      <c r="K19" s="4">
        <f t="shared" si="2"/>
        <v>209422.22222222222</v>
      </c>
    </row>
    <row r="20" spans="1:11" s="2" customFormat="1" x14ac:dyDescent="0.25">
      <c r="A20" s="12">
        <v>16</v>
      </c>
      <c r="B20" s="10">
        <v>400</v>
      </c>
      <c r="C20" s="10">
        <v>300</v>
      </c>
      <c r="D20" s="4">
        <v>0</v>
      </c>
      <c r="E20" s="4">
        <v>13.5</v>
      </c>
      <c r="F20" s="4">
        <f t="shared" si="0"/>
        <v>900000000</v>
      </c>
      <c r="G20" s="4">
        <f t="shared" si="1"/>
        <v>1600000000</v>
      </c>
      <c r="H20" s="4">
        <f>12*'VERIFICHE GENERALI'!$B$2*'PIANO 4'!$G20/'VERIFICHE GENERALI'!$B$9^3</f>
        <v>22044.444444444445</v>
      </c>
      <c r="I20" s="4">
        <f>12*'VERIFICHE GENERALI'!$B$2*'PIANO 4'!F20/'VERIFICHE GENERALI'!$B$9^3</f>
        <v>12400</v>
      </c>
      <c r="J20" s="4">
        <f t="shared" si="2"/>
        <v>0</v>
      </c>
      <c r="K20" s="4">
        <f t="shared" si="2"/>
        <v>167400</v>
      </c>
    </row>
    <row r="21" spans="1:11" s="2" customFormat="1" x14ac:dyDescent="0.25">
      <c r="A21" s="12">
        <v>17</v>
      </c>
      <c r="B21" s="10">
        <v>400</v>
      </c>
      <c r="C21" s="10">
        <v>300</v>
      </c>
      <c r="D21" s="4">
        <v>4</v>
      </c>
      <c r="E21" s="4">
        <v>13.5</v>
      </c>
      <c r="F21" s="4">
        <f t="shared" si="0"/>
        <v>900000000</v>
      </c>
      <c r="G21" s="4">
        <f t="shared" si="1"/>
        <v>1600000000</v>
      </c>
      <c r="H21" s="4">
        <f>12*'VERIFICHE GENERALI'!$B$2*'PIANO 4'!$G21/'VERIFICHE GENERALI'!$B$9^3</f>
        <v>22044.444444444445</v>
      </c>
      <c r="I21" s="4">
        <f>12*'VERIFICHE GENERALI'!$B$2*'PIANO 4'!F21/'VERIFICHE GENERALI'!$B$9^3</f>
        <v>12400</v>
      </c>
      <c r="J21" s="4">
        <f t="shared" si="2"/>
        <v>88177.777777777781</v>
      </c>
      <c r="K21" s="4">
        <f t="shared" si="2"/>
        <v>167400</v>
      </c>
    </row>
    <row r="22" spans="1:11" s="2" customFormat="1" x14ac:dyDescent="0.25">
      <c r="A22" s="12">
        <v>18</v>
      </c>
      <c r="B22" s="10">
        <v>400</v>
      </c>
      <c r="C22" s="10">
        <v>300</v>
      </c>
      <c r="D22" s="4">
        <v>8</v>
      </c>
      <c r="E22" s="4">
        <v>13.5</v>
      </c>
      <c r="F22" s="4">
        <f t="shared" si="0"/>
        <v>900000000</v>
      </c>
      <c r="G22" s="4">
        <f t="shared" si="1"/>
        <v>1600000000</v>
      </c>
      <c r="H22" s="4">
        <f>12*'VERIFICHE GENERALI'!$B$2*'PIANO 4'!$G22/'VERIFICHE GENERALI'!$B$9^3</f>
        <v>22044.444444444445</v>
      </c>
      <c r="I22" s="4">
        <f>12*'VERIFICHE GENERALI'!$B$2*'PIANO 4'!F22/'VERIFICHE GENERALI'!$B$9^3</f>
        <v>12400</v>
      </c>
      <c r="J22" s="4">
        <f t="shared" si="2"/>
        <v>176355.55555555556</v>
      </c>
      <c r="K22" s="4">
        <f t="shared" si="2"/>
        <v>167400</v>
      </c>
    </row>
    <row r="23" spans="1:11" s="2" customFormat="1" x14ac:dyDescent="0.25">
      <c r="A23" s="12">
        <v>19</v>
      </c>
      <c r="B23" s="10">
        <v>400</v>
      </c>
      <c r="C23" s="10">
        <v>300</v>
      </c>
      <c r="D23" s="4">
        <v>13.5</v>
      </c>
      <c r="E23" s="4">
        <v>13.5</v>
      </c>
      <c r="F23" s="4">
        <f t="shared" si="0"/>
        <v>900000000</v>
      </c>
      <c r="G23" s="4">
        <f t="shared" si="1"/>
        <v>1600000000</v>
      </c>
      <c r="H23" s="4">
        <f>12*'VERIFICHE GENERALI'!$B$2*'PIANO 4'!$G23/'VERIFICHE GENERALI'!$B$9^3</f>
        <v>22044.444444444445</v>
      </c>
      <c r="I23" s="4">
        <f>12*'VERIFICHE GENERALI'!$B$2*'PIANO 4'!F23/'VERIFICHE GENERALI'!$B$9^3</f>
        <v>12400</v>
      </c>
      <c r="J23" s="4">
        <f t="shared" si="2"/>
        <v>297600</v>
      </c>
      <c r="K23" s="4">
        <f t="shared" si="2"/>
        <v>167400</v>
      </c>
    </row>
    <row r="24" spans="1:11" s="2" customFormat="1" x14ac:dyDescent="0.25">
      <c r="A24" s="12">
        <v>20</v>
      </c>
      <c r="B24" s="10">
        <v>400</v>
      </c>
      <c r="C24" s="10">
        <v>300</v>
      </c>
      <c r="D24" s="4">
        <v>17.5</v>
      </c>
      <c r="E24" s="4">
        <v>13.5</v>
      </c>
      <c r="F24" s="4">
        <f t="shared" si="0"/>
        <v>900000000</v>
      </c>
      <c r="G24" s="4">
        <f t="shared" si="1"/>
        <v>1600000000</v>
      </c>
      <c r="H24" s="4">
        <f>12*'VERIFICHE GENERALI'!$B$2*'PIANO 4'!$G24/'VERIFICHE GENERALI'!$B$9^3</f>
        <v>22044.444444444445</v>
      </c>
      <c r="I24" s="4">
        <f>12*'VERIFICHE GENERALI'!$B$2*'PIANO 4'!F24/'VERIFICHE GENERALI'!$B$9^3</f>
        <v>12400</v>
      </c>
      <c r="J24" s="4">
        <f t="shared" si="2"/>
        <v>385777.77777777781</v>
      </c>
      <c r="K24" s="4">
        <f t="shared" si="2"/>
        <v>167400</v>
      </c>
    </row>
    <row r="25" spans="1:11" s="2" customFormat="1" x14ac:dyDescent="0.25"/>
    <row r="26" spans="1:11" s="2" customFormat="1" x14ac:dyDescent="0.25"/>
    <row r="27" spans="1:11" s="2" customFormat="1" x14ac:dyDescent="0.25"/>
    <row r="28" spans="1:11" s="2" customFormat="1" x14ac:dyDescent="0.25"/>
    <row r="29" spans="1:11" s="2" customFormat="1" x14ac:dyDescent="0.25"/>
    <row r="30" spans="1:11" s="2" customFormat="1" x14ac:dyDescent="0.25"/>
    <row r="31" spans="1:11" s="2" customFormat="1" x14ac:dyDescent="0.25"/>
    <row r="32" spans="1:11" s="2" customFormat="1" x14ac:dyDescent="0.25"/>
    <row r="33" spans="1:12" s="2" customFormat="1" x14ac:dyDescent="0.25"/>
    <row r="34" spans="1:12" s="2" customFormat="1" x14ac:dyDescent="0.25"/>
    <row r="35" spans="1:12" s="2" customFormat="1" x14ac:dyDescent="0.25"/>
    <row r="36" spans="1:12" s="2" customFormat="1" x14ac:dyDescent="0.25"/>
    <row r="37" spans="1:12" s="2" customFormat="1" x14ac:dyDescent="0.25"/>
    <row r="38" spans="1:12" s="2" customFormat="1" x14ac:dyDescent="0.25"/>
    <row r="39" spans="1:12" s="2" customFormat="1" x14ac:dyDescent="0.25"/>
    <row r="40" spans="1:12" s="2" customFormat="1" x14ac:dyDescent="0.25"/>
    <row r="41" spans="1:12" s="2" customFormat="1" x14ac:dyDescent="0.25"/>
    <row r="42" spans="1:12" s="2" customFormat="1" x14ac:dyDescent="0.25"/>
    <row r="43" spans="1:12" s="2" customFormat="1" x14ac:dyDescent="0.25"/>
    <row r="44" spans="1:12" s="2" customFormat="1" ht="21" x14ac:dyDescent="0.35">
      <c r="A44" s="55" t="s">
        <v>80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2" s="2" customFormat="1" x14ac:dyDescent="0.25"/>
    <row r="46" spans="1:12" s="2" customFormat="1" x14ac:dyDescent="0.25">
      <c r="C46" s="15" t="s">
        <v>67</v>
      </c>
      <c r="D46" s="15" t="s">
        <v>55</v>
      </c>
      <c r="E46" s="15" t="s">
        <v>57</v>
      </c>
      <c r="F46" s="15" t="s">
        <v>61</v>
      </c>
      <c r="G46" s="15" t="s">
        <v>70</v>
      </c>
      <c r="H46" s="1"/>
      <c r="J46" s="9" t="s">
        <v>33</v>
      </c>
    </row>
    <row r="47" spans="1:12" s="2" customFormat="1" x14ac:dyDescent="0.25">
      <c r="C47" s="15" t="s">
        <v>68</v>
      </c>
      <c r="D47" s="15" t="s">
        <v>56</v>
      </c>
      <c r="E47" s="15" t="s">
        <v>22</v>
      </c>
      <c r="F47" s="15" t="s">
        <v>22</v>
      </c>
      <c r="G47" s="15" t="s">
        <v>71</v>
      </c>
      <c r="H47" s="1" t="s">
        <v>74</v>
      </c>
      <c r="J47" s="6" t="s">
        <v>78</v>
      </c>
      <c r="K47" s="19">
        <v>11.518000000000001</v>
      </c>
      <c r="L47" s="4" t="s">
        <v>54</v>
      </c>
    </row>
    <row r="48" spans="1:12" s="2" customFormat="1" x14ac:dyDescent="0.25">
      <c r="C48" s="12">
        <v>1</v>
      </c>
      <c r="D48" s="7">
        <f>2*2</f>
        <v>4</v>
      </c>
      <c r="E48" s="10">
        <f>(25*(B5*C5*'VERIFICHE GENERALI'!$B$9)/1000^3)*1.3+D48*$K$47+$K$50*D48</f>
        <v>66.851365079365081</v>
      </c>
      <c r="F48" s="10">
        <f>(0.65*'VERIFICHE GENERALI'!$B$11*B5*C5)/1000</f>
        <v>1326</v>
      </c>
      <c r="G48" s="4">
        <f>E48/F48</f>
        <v>5.0415810768751949E-2</v>
      </c>
      <c r="H48" s="24" t="str">
        <f>IF(G48&lt;=1,"OK","NO")</f>
        <v>OK</v>
      </c>
      <c r="J48" s="4" t="s">
        <v>58</v>
      </c>
      <c r="K48" s="4">
        <f>'VERIFICHE GENERALI'!D21</f>
        <v>412.5</v>
      </c>
    </row>
    <row r="49" spans="3:11" s="2" customFormat="1" x14ac:dyDescent="0.25">
      <c r="C49" s="12">
        <v>2</v>
      </c>
      <c r="D49" s="7">
        <f>4*2</f>
        <v>8</v>
      </c>
      <c r="E49" s="10">
        <f>(25*(B6*C6*'VERIFICHE GENERALI'!$B$9)/1000^3)*1.3+D49*$K$47+$K$50*D49</f>
        <v>122.00273015873017</v>
      </c>
      <c r="F49" s="10">
        <f>(0.65*'VERIFICHE GENERALI'!$B$11*B6*C6)/1000</f>
        <v>1326</v>
      </c>
      <c r="G49" s="4">
        <f t="shared" ref="G49:G67" si="3">E49/F49</f>
        <v>9.2008092125739196E-2</v>
      </c>
      <c r="H49" s="24" t="str">
        <f t="shared" ref="H49:H67" si="4">IF(G49&lt;=1,"OK","NO")</f>
        <v>OK</v>
      </c>
      <c r="J49" s="4" t="s">
        <v>59</v>
      </c>
      <c r="K49" s="4">
        <f>(L8*2)*(M8*2)</f>
        <v>236.25</v>
      </c>
    </row>
    <row r="50" spans="3:11" s="2" customFormat="1" x14ac:dyDescent="0.25">
      <c r="C50" s="12">
        <v>3</v>
      </c>
      <c r="D50" s="7">
        <f>4.75*2</f>
        <v>9.5</v>
      </c>
      <c r="E50" s="10">
        <f>(25*(B7*C7*'VERIFICHE GENERALI'!$B$9)/1000^3)*1.3+D50*$K$47+$K$50*D50</f>
        <v>142.68449206349209</v>
      </c>
      <c r="F50" s="10">
        <f>(0.65*'VERIFICHE GENERALI'!$B$11*B7*C7)/1000</f>
        <v>1326</v>
      </c>
      <c r="G50" s="4">
        <f t="shared" si="3"/>
        <v>0.10760519763460942</v>
      </c>
      <c r="H50" s="24" t="str">
        <f t="shared" si="4"/>
        <v>OK</v>
      </c>
      <c r="J50" s="4" t="s">
        <v>60</v>
      </c>
      <c r="K50" s="4">
        <f>K48/K49*1.3</f>
        <v>2.2698412698412698</v>
      </c>
    </row>
    <row r="51" spans="3:11" s="2" customFormat="1" x14ac:dyDescent="0.25">
      <c r="C51" s="12">
        <v>4</v>
      </c>
      <c r="D51" s="7">
        <f>4.75*2</f>
        <v>9.5</v>
      </c>
      <c r="E51" s="10">
        <f>(25*(B8*C8*'VERIFICHE GENERALI'!$B$9)/1000^3)*1.3+D51*$K$47+$K$50*D51</f>
        <v>142.68449206349209</v>
      </c>
      <c r="F51" s="10">
        <f>(0.65*'VERIFICHE GENERALI'!$B$11*B8*C8)/1000</f>
        <v>1326</v>
      </c>
      <c r="G51" s="4">
        <f t="shared" si="3"/>
        <v>0.10760519763460942</v>
      </c>
      <c r="H51" s="24" t="str">
        <f t="shared" si="4"/>
        <v>OK</v>
      </c>
    </row>
    <row r="52" spans="3:11" s="2" customFormat="1" x14ac:dyDescent="0.25">
      <c r="C52" s="12">
        <v>5</v>
      </c>
      <c r="D52" s="7">
        <f>2*2</f>
        <v>4</v>
      </c>
      <c r="E52" s="10">
        <f>(25*(B9*C9*'VERIFICHE GENERALI'!$B$9)/1000^3)*1.3+D52*$K$47+$K$50*D52</f>
        <v>66.851365079365081</v>
      </c>
      <c r="F52" s="10">
        <f>(0.65*'VERIFICHE GENERALI'!$B$11*B9*C9)/1000</f>
        <v>1326</v>
      </c>
      <c r="G52" s="4">
        <f t="shared" si="3"/>
        <v>5.0415810768751949E-2</v>
      </c>
      <c r="H52" s="24" t="str">
        <f t="shared" si="4"/>
        <v>OK</v>
      </c>
    </row>
    <row r="53" spans="3:11" s="2" customFormat="1" x14ac:dyDescent="0.25">
      <c r="C53" s="12">
        <v>6</v>
      </c>
      <c r="D53" s="7">
        <f>2*4.75</f>
        <v>9.5</v>
      </c>
      <c r="E53" s="10">
        <f>(25*(B10*C10*'VERIFICHE GENERALI'!$B$9)/1000^3)*1.3+D53*$K$47+$K$50*D53</f>
        <v>142.68449206349209</v>
      </c>
      <c r="F53" s="10">
        <f>(0.65*'VERIFICHE GENERALI'!$B$11*B10*C10)/1000</f>
        <v>1326</v>
      </c>
      <c r="G53" s="4">
        <f t="shared" si="3"/>
        <v>0.10760519763460942</v>
      </c>
      <c r="H53" s="24" t="str">
        <f t="shared" si="4"/>
        <v>OK</v>
      </c>
    </row>
    <row r="54" spans="3:11" s="2" customFormat="1" x14ac:dyDescent="0.25">
      <c r="C54" s="18">
        <v>7</v>
      </c>
      <c r="D54" s="7">
        <f>4*4.75</f>
        <v>19</v>
      </c>
      <c r="E54" s="10">
        <f>(25*(B11*C11*'VERIFICHE GENERALI'!$B$9)/1000^3)*1.3+D54*$K$47+$K$50*D54</f>
        <v>273.66898412698413</v>
      </c>
      <c r="F54" s="10">
        <f>(0.65*'VERIFICHE GENERALI'!$B$11*B11*C11)/1000</f>
        <v>1326</v>
      </c>
      <c r="G54" s="4">
        <f t="shared" si="3"/>
        <v>0.20638686585745408</v>
      </c>
      <c r="H54" s="24" t="str">
        <f t="shared" si="4"/>
        <v>OK</v>
      </c>
    </row>
    <row r="55" spans="3:11" s="2" customFormat="1" x14ac:dyDescent="0.25">
      <c r="C55" s="18">
        <v>8</v>
      </c>
      <c r="D55" s="7">
        <f>4.75*4.75</f>
        <v>22.5625</v>
      </c>
      <c r="E55" s="10">
        <f>(25*(B12*C12*'VERIFICHE GENERALI'!$B$9)/1000^3)*1.3+D55*$K$47+$K$50*D55</f>
        <v>322.78816865079369</v>
      </c>
      <c r="F55" s="10">
        <f>(0.65*'VERIFICHE GENERALI'!$B$11*B12*C12)/1000</f>
        <v>1326</v>
      </c>
      <c r="G55" s="4">
        <f t="shared" si="3"/>
        <v>0.2434299914410209</v>
      </c>
      <c r="H55" s="24" t="str">
        <f t="shared" si="4"/>
        <v>OK</v>
      </c>
    </row>
    <row r="56" spans="3:11" s="2" customFormat="1" x14ac:dyDescent="0.25">
      <c r="C56" s="18">
        <v>9</v>
      </c>
      <c r="D56" s="7">
        <f>4.75*4.75</f>
        <v>22.5625</v>
      </c>
      <c r="E56" s="10">
        <f>(25*(B13*C13*'VERIFICHE GENERALI'!$B$9)/1000^3)*1.3+D56*$K$47+$K$50*D56</f>
        <v>322.78816865079369</v>
      </c>
      <c r="F56" s="10">
        <f>(0.65*'VERIFICHE GENERALI'!$B$11*B13*C13)/1000</f>
        <v>1326</v>
      </c>
      <c r="G56" s="4">
        <f t="shared" si="3"/>
        <v>0.2434299914410209</v>
      </c>
      <c r="H56" s="24" t="str">
        <f t="shared" si="4"/>
        <v>OK</v>
      </c>
    </row>
    <row r="57" spans="3:11" s="2" customFormat="1" x14ac:dyDescent="0.25">
      <c r="C57" s="12">
        <v>10</v>
      </c>
      <c r="D57" s="7">
        <f>4.75*2</f>
        <v>9.5</v>
      </c>
      <c r="E57" s="10">
        <f>(25*(B14*C14*'VERIFICHE GENERALI'!$B$9)/1000^3)*1.3+D57*$K$47+$K$50*D57</f>
        <v>142.68449206349209</v>
      </c>
      <c r="F57" s="10">
        <f>(0.65*'VERIFICHE GENERALI'!$B$11*B14*C14)/1000</f>
        <v>1326</v>
      </c>
      <c r="G57" s="4">
        <f t="shared" si="3"/>
        <v>0.10760519763460942</v>
      </c>
      <c r="H57" s="24" t="str">
        <f t="shared" si="4"/>
        <v>OK</v>
      </c>
    </row>
    <row r="58" spans="3:11" s="2" customFormat="1" x14ac:dyDescent="0.25">
      <c r="C58" s="12">
        <v>11</v>
      </c>
      <c r="D58" s="7">
        <f>2*4.75</f>
        <v>9.5</v>
      </c>
      <c r="E58" s="10">
        <f>(25*(B15*C15*'VERIFICHE GENERALI'!$B$9)/1000^3)*1.3+D58*$K$47+$K$50*D58</f>
        <v>142.68449206349209</v>
      </c>
      <c r="F58" s="10">
        <f>(0.65*'VERIFICHE GENERALI'!$B$11*B15*C15)/1000</f>
        <v>1326</v>
      </c>
      <c r="G58" s="4">
        <f t="shared" si="3"/>
        <v>0.10760519763460942</v>
      </c>
      <c r="H58" s="24" t="str">
        <f t="shared" si="4"/>
        <v>OK</v>
      </c>
    </row>
    <row r="59" spans="3:11" s="2" customFormat="1" x14ac:dyDescent="0.25">
      <c r="C59" s="18">
        <v>12</v>
      </c>
      <c r="D59" s="7">
        <f>4*4.75</f>
        <v>19</v>
      </c>
      <c r="E59" s="10">
        <f>(25*(B16*C16*'VERIFICHE GENERALI'!$B$9)/1000^3)*1.3+D59*$K$47+$K$50*D59</f>
        <v>273.66898412698413</v>
      </c>
      <c r="F59" s="10">
        <f>(0.65*'VERIFICHE GENERALI'!$B$11*B16*C16)/1000</f>
        <v>1326</v>
      </c>
      <c r="G59" s="4">
        <f t="shared" si="3"/>
        <v>0.20638686585745408</v>
      </c>
      <c r="H59" s="24" t="str">
        <f t="shared" si="4"/>
        <v>OK</v>
      </c>
    </row>
    <row r="60" spans="3:11" s="2" customFormat="1" x14ac:dyDescent="0.25">
      <c r="C60" s="18">
        <v>13</v>
      </c>
      <c r="D60" s="7">
        <f>4.75*4.75</f>
        <v>22.5625</v>
      </c>
      <c r="E60" s="10">
        <f>(25*(B17*C17*'VERIFICHE GENERALI'!$B$9)/1000^3)*1.3+D60*$K$47+$K$50*D60</f>
        <v>322.78816865079369</v>
      </c>
      <c r="F60" s="10">
        <f>(0.65*'VERIFICHE GENERALI'!$B$11*B17*C17)/1000</f>
        <v>1326</v>
      </c>
      <c r="G60" s="4">
        <f t="shared" si="3"/>
        <v>0.2434299914410209</v>
      </c>
      <c r="H60" s="24" t="str">
        <f t="shared" si="4"/>
        <v>OK</v>
      </c>
    </row>
    <row r="61" spans="3:11" s="2" customFormat="1" x14ac:dyDescent="0.25">
      <c r="C61" s="18">
        <v>14</v>
      </c>
      <c r="D61" s="7">
        <f>4.75*4.75</f>
        <v>22.5625</v>
      </c>
      <c r="E61" s="10">
        <f>(25*(B18*C18*'VERIFICHE GENERALI'!$B$9)/1000^3)*1.3+D61*$K$47+$K$50*D61</f>
        <v>322.78816865079369</v>
      </c>
      <c r="F61" s="10">
        <f>(0.65*'VERIFICHE GENERALI'!$B$11*B18*C18)/1000</f>
        <v>1326</v>
      </c>
      <c r="G61" s="4">
        <f t="shared" si="3"/>
        <v>0.2434299914410209</v>
      </c>
      <c r="H61" s="24" t="str">
        <f t="shared" si="4"/>
        <v>OK</v>
      </c>
    </row>
    <row r="62" spans="3:11" s="2" customFormat="1" x14ac:dyDescent="0.25">
      <c r="C62" s="12">
        <v>15</v>
      </c>
      <c r="D62" s="7">
        <f>4.75*2</f>
        <v>9.5</v>
      </c>
      <c r="E62" s="10">
        <f>(25*(B19*C19*'VERIFICHE GENERALI'!$B$9)/1000^3)*1.3+D62*$K$47+$K$50*D62</f>
        <v>142.68449206349209</v>
      </c>
      <c r="F62" s="10">
        <f>(0.65*'VERIFICHE GENERALI'!$B$11*B19*C19)/1000</f>
        <v>1326</v>
      </c>
      <c r="G62" s="4">
        <f t="shared" si="3"/>
        <v>0.10760519763460942</v>
      </c>
      <c r="H62" s="24" t="str">
        <f t="shared" si="4"/>
        <v>OK</v>
      </c>
    </row>
    <row r="63" spans="3:11" s="2" customFormat="1" x14ac:dyDescent="0.25">
      <c r="C63" s="12">
        <v>16</v>
      </c>
      <c r="D63" s="7">
        <f>2*2</f>
        <v>4</v>
      </c>
      <c r="E63" s="10">
        <f>(25*(B20*C20*'VERIFICHE GENERALI'!$B$9)/1000^3)*1.3+D63*$K$47+$K$50*D63</f>
        <v>66.851365079365081</v>
      </c>
      <c r="F63" s="10">
        <f>(0.65*'VERIFICHE GENERALI'!$B$11*B20*C20)/1000</f>
        <v>1326</v>
      </c>
      <c r="G63" s="4">
        <f t="shared" si="3"/>
        <v>5.0415810768751949E-2</v>
      </c>
      <c r="H63" s="24" t="str">
        <f t="shared" si="4"/>
        <v>OK</v>
      </c>
    </row>
    <row r="64" spans="3:11" s="2" customFormat="1" x14ac:dyDescent="0.25">
      <c r="C64" s="12">
        <v>17</v>
      </c>
      <c r="D64" s="7">
        <f>4*2</f>
        <v>8</v>
      </c>
      <c r="E64" s="10">
        <f>(25*(B21*C21*'VERIFICHE GENERALI'!$B$9)/1000^3)*1.3+D64*$K$47+$K$50*D64</f>
        <v>122.00273015873017</v>
      </c>
      <c r="F64" s="10">
        <f>(0.65*'VERIFICHE GENERALI'!$B$11*B21*C21)/1000</f>
        <v>1326</v>
      </c>
      <c r="G64" s="4">
        <f t="shared" si="3"/>
        <v>9.2008092125739196E-2</v>
      </c>
      <c r="H64" s="24" t="str">
        <f t="shared" si="4"/>
        <v>OK</v>
      </c>
    </row>
    <row r="65" spans="3:8" s="2" customFormat="1" x14ac:dyDescent="0.25">
      <c r="C65" s="12">
        <v>18</v>
      </c>
      <c r="D65" s="7">
        <f>4.75*2</f>
        <v>9.5</v>
      </c>
      <c r="E65" s="10">
        <f>(25*(B22*C22*'VERIFICHE GENERALI'!$B$9)/1000^3)*1.3+D65*$K$47+$K$50*D65</f>
        <v>142.68449206349209</v>
      </c>
      <c r="F65" s="10">
        <f>(0.65*'VERIFICHE GENERALI'!$B$11*B22*C22)/1000</f>
        <v>1326</v>
      </c>
      <c r="G65" s="4">
        <f t="shared" si="3"/>
        <v>0.10760519763460942</v>
      </c>
      <c r="H65" s="24" t="str">
        <f t="shared" si="4"/>
        <v>OK</v>
      </c>
    </row>
    <row r="66" spans="3:8" s="2" customFormat="1" x14ac:dyDescent="0.25">
      <c r="C66" s="12">
        <v>19</v>
      </c>
      <c r="D66" s="7">
        <f>4.75*2</f>
        <v>9.5</v>
      </c>
      <c r="E66" s="10">
        <f>(25*(B23*C23*'VERIFICHE GENERALI'!$B$9)/1000^3)*1.3+D66*$K$47+$K$50*D66</f>
        <v>142.68449206349209</v>
      </c>
      <c r="F66" s="10">
        <f>(0.65*'VERIFICHE GENERALI'!$B$11*B23*C23)/1000</f>
        <v>1326</v>
      </c>
      <c r="G66" s="4">
        <f t="shared" si="3"/>
        <v>0.10760519763460942</v>
      </c>
      <c r="H66" s="24" t="str">
        <f t="shared" si="4"/>
        <v>OK</v>
      </c>
    </row>
    <row r="67" spans="3:8" s="2" customFormat="1" x14ac:dyDescent="0.25">
      <c r="C67" s="12">
        <v>20</v>
      </c>
      <c r="D67" s="7">
        <f>2*2</f>
        <v>4</v>
      </c>
      <c r="E67" s="10">
        <f>(25*(B24*C24*'VERIFICHE GENERALI'!$B$9)/1000^3)*1.3+D67*$K$47+$K$50*D67</f>
        <v>66.851365079365081</v>
      </c>
      <c r="F67" s="10">
        <f>(0.65*'VERIFICHE GENERALI'!$B$11*B24*C24)/1000</f>
        <v>1326</v>
      </c>
      <c r="G67" s="4">
        <f t="shared" si="3"/>
        <v>5.0415810768751949E-2</v>
      </c>
      <c r="H67" s="24" t="str">
        <f t="shared" si="4"/>
        <v>OK</v>
      </c>
    </row>
    <row r="68" spans="3:8" s="2" customFormat="1" x14ac:dyDescent="0.25"/>
    <row r="69" spans="3:8" s="2" customFormat="1" x14ac:dyDescent="0.25"/>
    <row r="70" spans="3:8" s="2" customFormat="1" x14ac:dyDescent="0.25"/>
    <row r="71" spans="3:8" s="2" customFormat="1" x14ac:dyDescent="0.25"/>
    <row r="72" spans="3:8" s="2" customFormat="1" x14ac:dyDescent="0.25"/>
    <row r="73" spans="3:8" s="2" customFormat="1" x14ac:dyDescent="0.25"/>
    <row r="74" spans="3:8" s="2" customFormat="1" x14ac:dyDescent="0.25"/>
    <row r="75" spans="3:8" s="2" customFormat="1" x14ac:dyDescent="0.25"/>
    <row r="76" spans="3:8" s="2" customFormat="1" x14ac:dyDescent="0.25"/>
    <row r="77" spans="3:8" s="2" customFormat="1" x14ac:dyDescent="0.25"/>
    <row r="78" spans="3:8" s="2" customFormat="1" x14ac:dyDescent="0.25"/>
    <row r="79" spans="3:8" s="2" customFormat="1" x14ac:dyDescent="0.25"/>
    <row r="80" spans="3:8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</sheetData>
  <mergeCells count="2">
    <mergeCell ref="A44:K44"/>
    <mergeCell ref="A1:M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VERIFICHE GENERALI (SAP)</vt:lpstr>
      <vt:lpstr>VERIFICHE GENERALI</vt:lpstr>
      <vt:lpstr>PIANO 1</vt:lpstr>
      <vt:lpstr>PIANO 2</vt:lpstr>
      <vt:lpstr>PIANO 3</vt:lpstr>
      <vt:lpstr>PIANO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2020-01-14T15:03:18Z</cp:lastPrinted>
  <dcterms:created xsi:type="dcterms:W3CDTF">2019-10-01T07:13:25Z</dcterms:created>
  <dcterms:modified xsi:type="dcterms:W3CDTF">2020-01-14T23:53:12Z</dcterms:modified>
</cp:coreProperties>
</file>