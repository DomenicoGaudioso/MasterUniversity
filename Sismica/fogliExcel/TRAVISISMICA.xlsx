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6D62FBEB-F276-4A81-B01A-EB03AB2F2F55}" xr6:coauthVersionLast="44" xr6:coauthVersionMax="44" xr10:uidLastSave="{00000000-0000-0000-0000-000000000000}"/>
  <bookViews>
    <workbookView xWindow="-120" yWindow="-120" windowWidth="20730" windowHeight="11160" firstSheet="2" activeTab="2" xr2:uid="{5C729E94-648D-4175-93E8-C1BFE7E1DB32}"/>
  </bookViews>
  <sheets>
    <sheet name="SLU" sheetId="2" r:id="rId1"/>
    <sheet name="TAGLIO SLV (trave spessore) " sheetId="9" r:id="rId2"/>
    <sheet name="TAGLIO SLV (trave esterna)" sheetId="8" r:id="rId3"/>
    <sheet name="TAGLIO SLV (P1-P2) " sheetId="5" r:id="rId4"/>
    <sheet name="TAGLIO SLV (P3)" sheetId="6" r:id="rId5"/>
    <sheet name="TAGLIO SLV (copertura)" sheetId="4" r:id="rId6"/>
    <sheet name="SLV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85" i="8" l="1"/>
  <c r="T94" i="8"/>
  <c r="T95" i="8"/>
  <c r="T96" i="8"/>
  <c r="T97" i="8"/>
  <c r="T98" i="8"/>
  <c r="T85" i="8"/>
  <c r="AA85" i="8" l="1"/>
  <c r="T92" i="8"/>
  <c r="U94" i="8"/>
  <c r="U95" i="8"/>
  <c r="U96" i="8"/>
  <c r="U97" i="8"/>
  <c r="U98" i="8"/>
  <c r="U85" i="8"/>
  <c r="V85" i="8" s="1"/>
  <c r="Q94" i="8"/>
  <c r="Q95" i="8"/>
  <c r="Q96" i="8"/>
  <c r="Q97" i="8"/>
  <c r="Q98" i="8"/>
  <c r="Q85" i="8"/>
  <c r="V95" i="8" l="1"/>
  <c r="W95" i="8"/>
  <c r="V98" i="8"/>
  <c r="W98" i="8"/>
  <c r="X98" i="8" s="1"/>
  <c r="V94" i="8"/>
  <c r="X94" i="8" s="1"/>
  <c r="W94" i="8"/>
  <c r="V97" i="8"/>
  <c r="W97" i="8"/>
  <c r="X97" i="8" s="1"/>
  <c r="V96" i="8"/>
  <c r="W96" i="8"/>
  <c r="X96" i="8" s="1"/>
  <c r="X95" i="8"/>
  <c r="Z85" i="8"/>
  <c r="L40" i="8"/>
  <c r="O40" i="8" s="1"/>
  <c r="P40" i="8" s="1"/>
  <c r="G40" i="8"/>
  <c r="O39" i="8"/>
  <c r="P39" i="8" s="1"/>
  <c r="L39" i="8"/>
  <c r="G39" i="8"/>
  <c r="M39" i="8" s="1"/>
  <c r="N39" i="8" s="1"/>
  <c r="L38" i="8"/>
  <c r="O38" i="8" s="1"/>
  <c r="P38" i="8" s="1"/>
  <c r="G38" i="8"/>
  <c r="L37" i="8"/>
  <c r="O37" i="8" s="1"/>
  <c r="P37" i="8" s="1"/>
  <c r="G37" i="8"/>
  <c r="Q37" i="8" s="1"/>
  <c r="L36" i="8"/>
  <c r="O36" i="8" s="1"/>
  <c r="P36" i="8" s="1"/>
  <c r="G36" i="8"/>
  <c r="O35" i="8"/>
  <c r="P35" i="8" s="1"/>
  <c r="M35" i="8"/>
  <c r="N35" i="8" s="1"/>
  <c r="L35" i="8"/>
  <c r="G35" i="8"/>
  <c r="Q35" i="8" s="1"/>
  <c r="M34" i="8"/>
  <c r="N34" i="8" s="1"/>
  <c r="L34" i="8"/>
  <c r="O34" i="8" s="1"/>
  <c r="P34" i="8" s="1"/>
  <c r="G34" i="8"/>
  <c r="L33" i="8"/>
  <c r="O33" i="8" s="1"/>
  <c r="P33" i="8" s="1"/>
  <c r="G33" i="8"/>
  <c r="Q39" i="8" l="1"/>
  <c r="Q36" i="8"/>
  <c r="Q40" i="8"/>
  <c r="Q38" i="8"/>
  <c r="Q33" i="8"/>
  <c r="Q34" i="8"/>
  <c r="M38" i="8"/>
  <c r="N38" i="8" s="1"/>
  <c r="M33" i="8"/>
  <c r="N33" i="8" s="1"/>
  <c r="M37" i="8"/>
  <c r="N37" i="8" s="1"/>
  <c r="M36" i="8"/>
  <c r="N36" i="8" s="1"/>
  <c r="M40" i="8"/>
  <c r="N40" i="8" s="1"/>
  <c r="D62" i="9" l="1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51" i="5"/>
  <c r="C51" i="5"/>
  <c r="D50" i="5"/>
  <c r="C50" i="5"/>
  <c r="D49" i="5"/>
  <c r="C49" i="5"/>
  <c r="D48" i="5"/>
  <c r="C48" i="5"/>
  <c r="D47" i="5"/>
  <c r="C47" i="5"/>
  <c r="D46" i="5"/>
  <c r="C46" i="5"/>
  <c r="D43" i="5"/>
  <c r="C43" i="5"/>
  <c r="D42" i="5"/>
  <c r="C42" i="5"/>
  <c r="D41" i="5"/>
  <c r="C41" i="5"/>
  <c r="D40" i="5"/>
  <c r="C40" i="5"/>
  <c r="D39" i="5"/>
  <c r="C39" i="5"/>
  <c r="D38" i="5"/>
  <c r="C38" i="5"/>
  <c r="D35" i="5"/>
  <c r="C35" i="5"/>
  <c r="D34" i="5"/>
  <c r="C34" i="5"/>
  <c r="D33" i="5"/>
  <c r="C33" i="5"/>
  <c r="D32" i="5"/>
  <c r="C32" i="5"/>
  <c r="D31" i="5"/>
  <c r="C31" i="5"/>
  <c r="D30" i="5"/>
  <c r="C30" i="5"/>
  <c r="C88" i="5"/>
  <c r="D88" i="5"/>
  <c r="C89" i="5"/>
  <c r="D89" i="5"/>
  <c r="C90" i="5"/>
  <c r="D90" i="5"/>
  <c r="C91" i="5"/>
  <c r="D91" i="5"/>
  <c r="C92" i="5"/>
  <c r="D92" i="5"/>
  <c r="C93" i="5"/>
  <c r="D93" i="5"/>
  <c r="D51" i="6"/>
  <c r="C51" i="6"/>
  <c r="D50" i="6"/>
  <c r="C50" i="6"/>
  <c r="D49" i="6"/>
  <c r="C49" i="6"/>
  <c r="D48" i="6"/>
  <c r="C48" i="6"/>
  <c r="D47" i="6"/>
  <c r="C47" i="6"/>
  <c r="D46" i="6"/>
  <c r="C46" i="6"/>
  <c r="D43" i="6"/>
  <c r="C43" i="6"/>
  <c r="D42" i="6"/>
  <c r="C42" i="6"/>
  <c r="D41" i="6"/>
  <c r="C41" i="6"/>
  <c r="D40" i="6"/>
  <c r="C40" i="6"/>
  <c r="D39" i="6"/>
  <c r="C39" i="6"/>
  <c r="D38" i="6"/>
  <c r="C38" i="6"/>
  <c r="D35" i="6"/>
  <c r="C35" i="6"/>
  <c r="D34" i="6"/>
  <c r="C34" i="6"/>
  <c r="D33" i="6"/>
  <c r="C33" i="6"/>
  <c r="D32" i="6"/>
  <c r="C32" i="6"/>
  <c r="D31" i="6"/>
  <c r="D30" i="6"/>
  <c r="C31" i="6"/>
  <c r="C30" i="6"/>
  <c r="X5" i="9" l="1"/>
  <c r="X14" i="9" s="1"/>
  <c r="B102" i="9"/>
  <c r="N98" i="9"/>
  <c r="C98" i="9"/>
  <c r="N97" i="9"/>
  <c r="C97" i="9"/>
  <c r="N96" i="9"/>
  <c r="C96" i="9"/>
  <c r="N95" i="9"/>
  <c r="C95" i="9"/>
  <c r="C94" i="9"/>
  <c r="C93" i="9"/>
  <c r="C92" i="9"/>
  <c r="C91" i="9"/>
  <c r="N88" i="9"/>
  <c r="C88" i="9"/>
  <c r="N87" i="9"/>
  <c r="C87" i="9"/>
  <c r="C86" i="9"/>
  <c r="C85" i="9"/>
  <c r="N84" i="9"/>
  <c r="C84" i="9"/>
  <c r="N83" i="9"/>
  <c r="C83" i="9"/>
  <c r="N82" i="9"/>
  <c r="C82" i="9"/>
  <c r="N81" i="9"/>
  <c r="C81" i="9"/>
  <c r="N80" i="9"/>
  <c r="N79" i="9"/>
  <c r="C78" i="9"/>
  <c r="C77" i="9"/>
  <c r="N76" i="9"/>
  <c r="C76" i="9"/>
  <c r="N75" i="9"/>
  <c r="C75" i="9"/>
  <c r="N74" i="9"/>
  <c r="C74" i="9"/>
  <c r="N73" i="9"/>
  <c r="C73" i="9"/>
  <c r="N72" i="9"/>
  <c r="C72" i="9"/>
  <c r="N71" i="9"/>
  <c r="L71" i="9"/>
  <c r="C71" i="9"/>
  <c r="E62" i="9"/>
  <c r="E61" i="9"/>
  <c r="E60" i="9"/>
  <c r="E59" i="9"/>
  <c r="E58" i="9"/>
  <c r="E57" i="9"/>
  <c r="E56" i="9"/>
  <c r="E55" i="9"/>
  <c r="E52" i="9"/>
  <c r="E51" i="9"/>
  <c r="E50" i="9"/>
  <c r="E49" i="9"/>
  <c r="E48" i="9"/>
  <c r="E47" i="9"/>
  <c r="E46" i="9"/>
  <c r="E45" i="9"/>
  <c r="E42" i="9"/>
  <c r="E41" i="9"/>
  <c r="E40" i="9"/>
  <c r="E39" i="9"/>
  <c r="E38" i="9"/>
  <c r="E37" i="9"/>
  <c r="E36" i="9"/>
  <c r="E35" i="9"/>
  <c r="L30" i="9"/>
  <c r="O30" i="9" s="1"/>
  <c r="G30" i="9"/>
  <c r="M30" i="9" s="1"/>
  <c r="L29" i="9"/>
  <c r="O29" i="9" s="1"/>
  <c r="G29" i="9"/>
  <c r="C132" i="9" s="1"/>
  <c r="L28" i="9"/>
  <c r="O28" i="9" s="1"/>
  <c r="G28" i="9"/>
  <c r="C131" i="9" s="1"/>
  <c r="L27" i="9"/>
  <c r="O27" i="9" s="1"/>
  <c r="G27" i="9"/>
  <c r="M27" i="9" s="1"/>
  <c r="L26" i="9"/>
  <c r="D129" i="9" s="1"/>
  <c r="G26" i="9"/>
  <c r="M26" i="9" s="1"/>
  <c r="L25" i="9"/>
  <c r="D128" i="9" s="1"/>
  <c r="G25" i="9"/>
  <c r="C128" i="9" s="1"/>
  <c r="L24" i="9"/>
  <c r="O24" i="9" s="1"/>
  <c r="G24" i="9"/>
  <c r="C127" i="9" s="1"/>
  <c r="L23" i="9"/>
  <c r="O23" i="9" s="1"/>
  <c r="G23" i="9"/>
  <c r="M23" i="9" s="1"/>
  <c r="L20" i="9"/>
  <c r="D123" i="9" s="1"/>
  <c r="G20" i="9"/>
  <c r="M20" i="9" s="1"/>
  <c r="L19" i="9"/>
  <c r="D122" i="9" s="1"/>
  <c r="G19" i="9"/>
  <c r="C122" i="9" s="1"/>
  <c r="L18" i="9"/>
  <c r="O18" i="9" s="1"/>
  <c r="G18" i="9"/>
  <c r="C121" i="9" s="1"/>
  <c r="L17" i="9"/>
  <c r="O17" i="9" s="1"/>
  <c r="G17" i="9"/>
  <c r="M17" i="9" s="1"/>
  <c r="L16" i="9"/>
  <c r="D119" i="9" s="1"/>
  <c r="G16" i="9"/>
  <c r="C119" i="9" s="1"/>
  <c r="L15" i="9"/>
  <c r="D118" i="9" s="1"/>
  <c r="G15" i="9"/>
  <c r="C118" i="9" s="1"/>
  <c r="X15" i="9"/>
  <c r="L14" i="9"/>
  <c r="O14" i="9" s="1"/>
  <c r="G14" i="9"/>
  <c r="C117" i="9" s="1"/>
  <c r="L13" i="9"/>
  <c r="O13" i="9" s="1"/>
  <c r="G13" i="9"/>
  <c r="M13" i="9" s="1"/>
  <c r="L10" i="9"/>
  <c r="D113" i="9" s="1"/>
  <c r="G10" i="9"/>
  <c r="C113" i="9" s="1"/>
  <c r="L9" i="9"/>
  <c r="D112" i="9" s="1"/>
  <c r="G9" i="9"/>
  <c r="C112" i="9" s="1"/>
  <c r="L8" i="9"/>
  <c r="O8" i="9" s="1"/>
  <c r="G8" i="9"/>
  <c r="C111" i="9" s="1"/>
  <c r="L7" i="9"/>
  <c r="D110" i="9" s="1"/>
  <c r="G7" i="9"/>
  <c r="C110" i="9" s="1"/>
  <c r="L6" i="9"/>
  <c r="D109" i="9" s="1"/>
  <c r="G6" i="9"/>
  <c r="C109" i="9" s="1"/>
  <c r="X6" i="9"/>
  <c r="X9" i="9" s="1"/>
  <c r="L5" i="9"/>
  <c r="D108" i="9" s="1"/>
  <c r="G5" i="9"/>
  <c r="M5" i="9" s="1"/>
  <c r="L4" i="9"/>
  <c r="D107" i="9" s="1"/>
  <c r="G4" i="9"/>
  <c r="C107" i="9" s="1"/>
  <c r="L3" i="9"/>
  <c r="D106" i="9" s="1"/>
  <c r="G3" i="9"/>
  <c r="M3" i="9" s="1"/>
  <c r="C112" i="8"/>
  <c r="C111" i="8"/>
  <c r="C110" i="8"/>
  <c r="C109" i="8"/>
  <c r="C108" i="8"/>
  <c r="C107" i="8"/>
  <c r="C106" i="8"/>
  <c r="C105" i="8"/>
  <c r="C102" i="8"/>
  <c r="C101" i="8"/>
  <c r="C100" i="8"/>
  <c r="C99" i="8"/>
  <c r="C98" i="8"/>
  <c r="C97" i="8"/>
  <c r="C96" i="8"/>
  <c r="C95" i="8"/>
  <c r="C92" i="8"/>
  <c r="C91" i="8"/>
  <c r="E76" i="8"/>
  <c r="E75" i="8"/>
  <c r="E74" i="8"/>
  <c r="E73" i="8"/>
  <c r="E72" i="8"/>
  <c r="E71" i="8"/>
  <c r="E70" i="8"/>
  <c r="E69" i="8"/>
  <c r="E66" i="8"/>
  <c r="E65" i="8"/>
  <c r="E64" i="8"/>
  <c r="E63" i="8"/>
  <c r="E62" i="8"/>
  <c r="E61" i="8"/>
  <c r="E60" i="8"/>
  <c r="E59" i="8"/>
  <c r="E56" i="8"/>
  <c r="E55" i="8"/>
  <c r="E54" i="8"/>
  <c r="E53" i="8"/>
  <c r="E52" i="8"/>
  <c r="E51" i="8"/>
  <c r="L30" i="8"/>
  <c r="G30" i="8"/>
  <c r="L29" i="8"/>
  <c r="G29" i="8"/>
  <c r="L28" i="8"/>
  <c r="G28" i="8"/>
  <c r="L27" i="8"/>
  <c r="O27" i="8" s="1"/>
  <c r="G27" i="8"/>
  <c r="L26" i="8"/>
  <c r="G26" i="8"/>
  <c r="L25" i="8"/>
  <c r="G25" i="8"/>
  <c r="L24" i="8"/>
  <c r="G24" i="8"/>
  <c r="L23" i="8"/>
  <c r="O23" i="8" s="1"/>
  <c r="G23" i="8"/>
  <c r="C140" i="8" s="1"/>
  <c r="L20" i="8"/>
  <c r="G20" i="8"/>
  <c r="L19" i="8"/>
  <c r="G19" i="8"/>
  <c r="C136" i="8" s="1"/>
  <c r="L18" i="8"/>
  <c r="G18" i="8"/>
  <c r="L17" i="8"/>
  <c r="G17" i="8"/>
  <c r="L16" i="8"/>
  <c r="D133" i="8" s="1"/>
  <c r="G16" i="8"/>
  <c r="L15" i="8"/>
  <c r="G15" i="8"/>
  <c r="L14" i="8"/>
  <c r="G14" i="8"/>
  <c r="L13" i="8"/>
  <c r="O13" i="8" s="1"/>
  <c r="G13" i="8"/>
  <c r="M13" i="8" s="1"/>
  <c r="L10" i="8"/>
  <c r="G10" i="8"/>
  <c r="L9" i="8"/>
  <c r="G9" i="8"/>
  <c r="B116" i="8"/>
  <c r="N112" i="8"/>
  <c r="N111" i="8"/>
  <c r="N110" i="8"/>
  <c r="N109" i="8"/>
  <c r="N102" i="8"/>
  <c r="N101" i="8"/>
  <c r="N98" i="8"/>
  <c r="N97" i="8"/>
  <c r="N96" i="8"/>
  <c r="N95" i="8"/>
  <c r="N94" i="8"/>
  <c r="N93" i="8"/>
  <c r="N90" i="8"/>
  <c r="C90" i="8"/>
  <c r="N89" i="8"/>
  <c r="C89" i="8"/>
  <c r="N88" i="8"/>
  <c r="C88" i="8"/>
  <c r="N87" i="8"/>
  <c r="C87" i="8"/>
  <c r="N86" i="8"/>
  <c r="C86" i="8"/>
  <c r="N85" i="8"/>
  <c r="L85" i="8"/>
  <c r="C85" i="8"/>
  <c r="E50" i="8"/>
  <c r="E49" i="8"/>
  <c r="AN23" i="8"/>
  <c r="AN21" i="8"/>
  <c r="AN19" i="8"/>
  <c r="AN15" i="8"/>
  <c r="AI14" i="8"/>
  <c r="AN13" i="8"/>
  <c r="AN11" i="8"/>
  <c r="L8" i="8"/>
  <c r="G8" i="8"/>
  <c r="AN7" i="8"/>
  <c r="L7" i="8"/>
  <c r="G7" i="8"/>
  <c r="L6" i="8"/>
  <c r="G6" i="8"/>
  <c r="AN5" i="8"/>
  <c r="AI5" i="8"/>
  <c r="AI7" i="8" s="1"/>
  <c r="AI9" i="8" s="1"/>
  <c r="L5" i="8"/>
  <c r="G5" i="8"/>
  <c r="L4" i="8"/>
  <c r="G4" i="8"/>
  <c r="AN3" i="8"/>
  <c r="AI13" i="8" s="1"/>
  <c r="AI3" i="8"/>
  <c r="V3" i="8"/>
  <c r="L3" i="8"/>
  <c r="G3" i="8"/>
  <c r="M3" i="8" s="1"/>
  <c r="N59" i="6"/>
  <c r="B84" i="6"/>
  <c r="N80" i="6"/>
  <c r="C80" i="6"/>
  <c r="N79" i="6"/>
  <c r="C79" i="6"/>
  <c r="N78" i="6"/>
  <c r="C78" i="6"/>
  <c r="N77" i="6"/>
  <c r="C77" i="6"/>
  <c r="N76" i="6"/>
  <c r="C76" i="6"/>
  <c r="N75" i="6"/>
  <c r="C75" i="6"/>
  <c r="N72" i="6"/>
  <c r="C72" i="6"/>
  <c r="N71" i="6"/>
  <c r="C71" i="6"/>
  <c r="N70" i="6"/>
  <c r="C70" i="6"/>
  <c r="N69" i="6"/>
  <c r="C69" i="6"/>
  <c r="N68" i="6"/>
  <c r="C68" i="6"/>
  <c r="N67" i="6"/>
  <c r="C67" i="6"/>
  <c r="N64" i="6"/>
  <c r="C64" i="6"/>
  <c r="N63" i="6"/>
  <c r="C63" i="6"/>
  <c r="N62" i="6"/>
  <c r="C62" i="6"/>
  <c r="N61" i="6"/>
  <c r="C61" i="6"/>
  <c r="N60" i="6"/>
  <c r="C60" i="6"/>
  <c r="L59" i="6"/>
  <c r="C59" i="6"/>
  <c r="E51" i="6"/>
  <c r="E50" i="6"/>
  <c r="E49" i="6"/>
  <c r="E48" i="6"/>
  <c r="E47" i="6"/>
  <c r="E46" i="6"/>
  <c r="E43" i="6"/>
  <c r="E42" i="6"/>
  <c r="E41" i="6"/>
  <c r="E40" i="6"/>
  <c r="E39" i="6"/>
  <c r="E38" i="6"/>
  <c r="E35" i="6"/>
  <c r="E34" i="6"/>
  <c r="E33" i="6"/>
  <c r="E32" i="6"/>
  <c r="E31" i="6"/>
  <c r="E30" i="6"/>
  <c r="L24" i="6"/>
  <c r="G24" i="6"/>
  <c r="C109" i="6" s="1"/>
  <c r="AN23" i="6"/>
  <c r="L23" i="6"/>
  <c r="G23" i="6"/>
  <c r="C108" i="6" s="1"/>
  <c r="L22" i="6"/>
  <c r="D107" i="6" s="1"/>
  <c r="G22" i="6"/>
  <c r="AN21" i="6"/>
  <c r="L21" i="6"/>
  <c r="D106" i="6" s="1"/>
  <c r="G21" i="6"/>
  <c r="M21" i="6" s="1"/>
  <c r="L20" i="6"/>
  <c r="D105" i="6" s="1"/>
  <c r="G20" i="6"/>
  <c r="C105" i="6" s="1"/>
  <c r="AN19" i="6"/>
  <c r="L19" i="6"/>
  <c r="D104" i="6" s="1"/>
  <c r="G19" i="6"/>
  <c r="M19" i="6" s="1"/>
  <c r="N19" i="6" s="1"/>
  <c r="L16" i="6"/>
  <c r="D101" i="6" s="1"/>
  <c r="G16" i="6"/>
  <c r="M16" i="6" s="1"/>
  <c r="AN15" i="6"/>
  <c r="L15" i="6"/>
  <c r="D100" i="6" s="1"/>
  <c r="G15" i="6"/>
  <c r="C100" i="6" s="1"/>
  <c r="AI14" i="6"/>
  <c r="L14" i="6"/>
  <c r="D99" i="6" s="1"/>
  <c r="G14" i="6"/>
  <c r="C99" i="6" s="1"/>
  <c r="AN13" i="6"/>
  <c r="L13" i="6"/>
  <c r="G13" i="6"/>
  <c r="C98" i="6" s="1"/>
  <c r="O12" i="6"/>
  <c r="P12" i="6" s="1"/>
  <c r="L12" i="6"/>
  <c r="D97" i="6" s="1"/>
  <c r="G12" i="6"/>
  <c r="AN11" i="6"/>
  <c r="L11" i="6"/>
  <c r="G11" i="6"/>
  <c r="M11" i="6" s="1"/>
  <c r="AI8" i="6"/>
  <c r="O8" i="6"/>
  <c r="L8" i="6"/>
  <c r="D93" i="6" s="1"/>
  <c r="G8" i="6"/>
  <c r="AN7" i="6"/>
  <c r="AI7" i="6"/>
  <c r="AI9" i="6" s="1"/>
  <c r="AI11" i="6" s="1"/>
  <c r="T7" i="6"/>
  <c r="L7" i="6"/>
  <c r="U7" i="6" s="1"/>
  <c r="G7" i="6"/>
  <c r="AI6" i="6"/>
  <c r="T6" i="6"/>
  <c r="L6" i="6"/>
  <c r="O6" i="6" s="1"/>
  <c r="P6" i="6" s="1"/>
  <c r="G6" i="6"/>
  <c r="AN5" i="6"/>
  <c r="AI5" i="6"/>
  <c r="O5" i="6"/>
  <c r="P5" i="6" s="1"/>
  <c r="L5" i="6"/>
  <c r="G5" i="6"/>
  <c r="T4" i="6"/>
  <c r="L4" i="6"/>
  <c r="O4" i="6" s="1"/>
  <c r="P4" i="6" s="1"/>
  <c r="G4" i="6"/>
  <c r="C89" i="6" s="1"/>
  <c r="AN3" i="6"/>
  <c r="AI13" i="6" s="1"/>
  <c r="AI3" i="6"/>
  <c r="G76" i="6" s="1"/>
  <c r="AF3" i="6"/>
  <c r="AE3" i="6"/>
  <c r="V3" i="6"/>
  <c r="T3" i="6"/>
  <c r="L3" i="6"/>
  <c r="O3" i="6" s="1"/>
  <c r="P3" i="6" s="1"/>
  <c r="G3" i="6"/>
  <c r="D140" i="8" l="1"/>
  <c r="G111" i="8"/>
  <c r="G96" i="8"/>
  <c r="G100" i="8"/>
  <c r="G106" i="8"/>
  <c r="G110" i="8"/>
  <c r="F127" i="8"/>
  <c r="AF3" i="8"/>
  <c r="T8" i="8"/>
  <c r="G95" i="8"/>
  <c r="G99" i="8"/>
  <c r="G105" i="8"/>
  <c r="G109" i="8"/>
  <c r="C130" i="8"/>
  <c r="G92" i="8"/>
  <c r="G98" i="8"/>
  <c r="G102" i="8"/>
  <c r="G108" i="8"/>
  <c r="G112" i="8"/>
  <c r="D130" i="8"/>
  <c r="G91" i="8"/>
  <c r="G97" i="8"/>
  <c r="G101" i="8"/>
  <c r="G107" i="8"/>
  <c r="F130" i="8"/>
  <c r="O24" i="8"/>
  <c r="C122" i="8"/>
  <c r="O15" i="8"/>
  <c r="P15" i="8" s="1"/>
  <c r="O17" i="8"/>
  <c r="O6" i="8"/>
  <c r="C125" i="8"/>
  <c r="O28" i="8"/>
  <c r="O30" i="8"/>
  <c r="C131" i="8"/>
  <c r="D132" i="8"/>
  <c r="C137" i="8"/>
  <c r="C144" i="8"/>
  <c r="D145" i="8"/>
  <c r="O4" i="8"/>
  <c r="O7" i="8"/>
  <c r="P7" i="8" s="1"/>
  <c r="M9" i="8"/>
  <c r="O29" i="8"/>
  <c r="O9" i="8"/>
  <c r="O26" i="8"/>
  <c r="C121" i="8"/>
  <c r="O8" i="8"/>
  <c r="O10" i="8"/>
  <c r="O14" i="8"/>
  <c r="P14" i="8" s="1"/>
  <c r="O16" i="8"/>
  <c r="O18" i="8"/>
  <c r="O20" i="8"/>
  <c r="O25" i="8"/>
  <c r="P25" i="8" s="1"/>
  <c r="M29" i="8"/>
  <c r="D131" i="8"/>
  <c r="C135" i="8"/>
  <c r="D136" i="8"/>
  <c r="E136" i="8" s="1"/>
  <c r="D137" i="8"/>
  <c r="C142" i="8"/>
  <c r="C143" i="8"/>
  <c r="D144" i="8"/>
  <c r="C126" i="8"/>
  <c r="C127" i="8"/>
  <c r="C134" i="8"/>
  <c r="D135" i="8"/>
  <c r="C141" i="8"/>
  <c r="D142" i="8"/>
  <c r="D143" i="8"/>
  <c r="C146" i="8"/>
  <c r="C147" i="8"/>
  <c r="D126" i="8"/>
  <c r="D127" i="8"/>
  <c r="C132" i="8"/>
  <c r="C133" i="8"/>
  <c r="E133" i="8" s="1"/>
  <c r="D134" i="8"/>
  <c r="E140" i="8"/>
  <c r="D141" i="8"/>
  <c r="C145" i="8"/>
  <c r="E145" i="8" s="1"/>
  <c r="D146" i="8"/>
  <c r="D147" i="8"/>
  <c r="M7" i="9"/>
  <c r="O7" i="9"/>
  <c r="O3" i="9"/>
  <c r="M10" i="9"/>
  <c r="M6" i="9"/>
  <c r="M14" i="9"/>
  <c r="M18" i="9"/>
  <c r="M24" i="9"/>
  <c r="M28" i="9"/>
  <c r="O10" i="9"/>
  <c r="O6" i="9"/>
  <c r="M9" i="9"/>
  <c r="M15" i="9"/>
  <c r="M19" i="9"/>
  <c r="M25" i="9"/>
  <c r="M29" i="9"/>
  <c r="O9" i="9"/>
  <c r="O5" i="9"/>
  <c r="O15" i="9"/>
  <c r="O19" i="9"/>
  <c r="O25" i="9"/>
  <c r="E118" i="9"/>
  <c r="E122" i="9"/>
  <c r="M8" i="9"/>
  <c r="M4" i="9"/>
  <c r="M16" i="9"/>
  <c r="O4" i="9"/>
  <c r="O16" i="9"/>
  <c r="O20" i="9"/>
  <c r="O26" i="9"/>
  <c r="E112" i="9"/>
  <c r="E128" i="9"/>
  <c r="E110" i="9"/>
  <c r="G71" i="9"/>
  <c r="X7" i="9"/>
  <c r="X8" i="9"/>
  <c r="X10" i="9" s="1"/>
  <c r="X11" i="9" s="1"/>
  <c r="U3" i="9"/>
  <c r="T3" i="9"/>
  <c r="P17" i="9" s="1"/>
  <c r="C108" i="9"/>
  <c r="E108" i="9" s="1"/>
  <c r="C133" i="9"/>
  <c r="C116" i="9"/>
  <c r="F123" i="9"/>
  <c r="C120" i="9"/>
  <c r="D121" i="9"/>
  <c r="E121" i="9" s="1"/>
  <c r="C129" i="9"/>
  <c r="E129" i="9" s="1"/>
  <c r="D130" i="9"/>
  <c r="E107" i="9"/>
  <c r="E109" i="9"/>
  <c r="D116" i="9"/>
  <c r="E119" i="9"/>
  <c r="D120" i="9"/>
  <c r="G84" i="9"/>
  <c r="G96" i="9"/>
  <c r="E113" i="9"/>
  <c r="D117" i="9"/>
  <c r="E117" i="9" s="1"/>
  <c r="C123" i="9"/>
  <c r="E123" i="9" s="1"/>
  <c r="D132" i="9"/>
  <c r="E132" i="9" s="1"/>
  <c r="C106" i="9"/>
  <c r="E106" i="9" s="1"/>
  <c r="C126" i="9"/>
  <c r="G97" i="9"/>
  <c r="G94" i="9"/>
  <c r="G92" i="9"/>
  <c r="G87" i="9"/>
  <c r="G85" i="9"/>
  <c r="G81" i="9"/>
  <c r="G78" i="9"/>
  <c r="G98" i="9"/>
  <c r="G88" i="9"/>
  <c r="G82" i="9"/>
  <c r="G95" i="9"/>
  <c r="G93" i="9"/>
  <c r="G91" i="9"/>
  <c r="G86" i="9"/>
  <c r="G83" i="9"/>
  <c r="G77" i="9"/>
  <c r="G76" i="9"/>
  <c r="G75" i="9"/>
  <c r="G74" i="9"/>
  <c r="G73" i="9"/>
  <c r="G72" i="9"/>
  <c r="D111" i="9"/>
  <c r="E111" i="9" s="1"/>
  <c r="D126" i="9"/>
  <c r="D127" i="9"/>
  <c r="E127" i="9" s="1"/>
  <c r="D131" i="9"/>
  <c r="E131" i="9" s="1"/>
  <c r="C130" i="9"/>
  <c r="D133" i="9"/>
  <c r="M25" i="8"/>
  <c r="M24" i="8"/>
  <c r="M28" i="8"/>
  <c r="N28" i="8" s="1"/>
  <c r="M23" i="8"/>
  <c r="M27" i="8"/>
  <c r="N27" i="8" s="1"/>
  <c r="M26" i="8"/>
  <c r="M30" i="8"/>
  <c r="AE3" i="8"/>
  <c r="N13" i="8" s="1"/>
  <c r="P6" i="8"/>
  <c r="AI8" i="8"/>
  <c r="AI6" i="8"/>
  <c r="F143" i="8" s="1"/>
  <c r="P13" i="8"/>
  <c r="Q20" i="8"/>
  <c r="C66" i="8" s="1"/>
  <c r="T3" i="8"/>
  <c r="T4" i="8"/>
  <c r="P20" i="8"/>
  <c r="Q14" i="8"/>
  <c r="D60" i="8" s="1"/>
  <c r="D125" i="8"/>
  <c r="Q17" i="8"/>
  <c r="C63" i="8" s="1"/>
  <c r="Q9" i="8"/>
  <c r="D55" i="8" s="1"/>
  <c r="O19" i="8"/>
  <c r="P19" i="8" s="1"/>
  <c r="M8" i="8"/>
  <c r="N8" i="8" s="1"/>
  <c r="Q16" i="8"/>
  <c r="D62" i="8" s="1"/>
  <c r="M17" i="8"/>
  <c r="Q19" i="8"/>
  <c r="C65" i="8" s="1"/>
  <c r="M15" i="8"/>
  <c r="N15" i="8" s="1"/>
  <c r="Q15" i="8"/>
  <c r="C61" i="8" s="1"/>
  <c r="M19" i="8"/>
  <c r="M14" i="8"/>
  <c r="N14" i="8" s="1"/>
  <c r="M18" i="8"/>
  <c r="N18" i="8" s="1"/>
  <c r="M16" i="8"/>
  <c r="N16" i="8" s="1"/>
  <c r="M20" i="8"/>
  <c r="M10" i="8"/>
  <c r="N10" i="8" s="1"/>
  <c r="AI11" i="8"/>
  <c r="AI10" i="8"/>
  <c r="C123" i="8"/>
  <c r="U6" i="8"/>
  <c r="C120" i="8"/>
  <c r="O3" i="8"/>
  <c r="P3" i="8" s="1"/>
  <c r="M5" i="8"/>
  <c r="Q5" i="8"/>
  <c r="C51" i="8" s="1"/>
  <c r="D123" i="8"/>
  <c r="D124" i="8"/>
  <c r="F122" i="8"/>
  <c r="F125" i="8"/>
  <c r="F121" i="8"/>
  <c r="F120" i="8"/>
  <c r="R95" i="8"/>
  <c r="D122" i="8"/>
  <c r="C124" i="8"/>
  <c r="D120" i="8"/>
  <c r="G90" i="8"/>
  <c r="G89" i="8"/>
  <c r="G88" i="8"/>
  <c r="G87" i="8"/>
  <c r="G86" i="8"/>
  <c r="G85" i="8"/>
  <c r="M4" i="8"/>
  <c r="Q4" i="8"/>
  <c r="D50" i="8" s="1"/>
  <c r="T5" i="8"/>
  <c r="M6" i="8"/>
  <c r="N6" i="8" s="1"/>
  <c r="M7" i="8"/>
  <c r="N7" i="8" s="1"/>
  <c r="Q7" i="8"/>
  <c r="D53" i="8" s="1"/>
  <c r="R96" i="8"/>
  <c r="U4" i="8"/>
  <c r="U7" i="8"/>
  <c r="Q3" i="8"/>
  <c r="O5" i="8"/>
  <c r="U5" i="8"/>
  <c r="T6" i="8"/>
  <c r="F90" i="8"/>
  <c r="F88" i="8"/>
  <c r="F87" i="8"/>
  <c r="F86" i="8"/>
  <c r="T7" i="8"/>
  <c r="Q8" i="8"/>
  <c r="D54" i="8" s="1"/>
  <c r="R85" i="8"/>
  <c r="D121" i="8"/>
  <c r="M20" i="6"/>
  <c r="O21" i="6"/>
  <c r="P21" i="6" s="1"/>
  <c r="O22" i="6"/>
  <c r="P22" i="6" s="1"/>
  <c r="O14" i="6"/>
  <c r="P14" i="6" s="1"/>
  <c r="O15" i="6"/>
  <c r="O16" i="6"/>
  <c r="P16" i="6" s="1"/>
  <c r="Q3" i="6"/>
  <c r="M13" i="6"/>
  <c r="N13" i="6" s="1"/>
  <c r="M15" i="6"/>
  <c r="N15" i="6" s="1"/>
  <c r="C96" i="6"/>
  <c r="M3" i="6"/>
  <c r="N3" i="6" s="1"/>
  <c r="F80" i="6"/>
  <c r="F76" i="6"/>
  <c r="H76" i="6" s="1"/>
  <c r="F70" i="6"/>
  <c r="Q20" i="6"/>
  <c r="Q19" i="6"/>
  <c r="Q13" i="6"/>
  <c r="Q11" i="6"/>
  <c r="F77" i="6"/>
  <c r="F71" i="6"/>
  <c r="H71" i="6" s="1"/>
  <c r="F67" i="6"/>
  <c r="F64" i="6"/>
  <c r="F63" i="6"/>
  <c r="F62" i="6"/>
  <c r="F61" i="6"/>
  <c r="F60" i="6"/>
  <c r="Q22" i="6"/>
  <c r="Q21" i="6"/>
  <c r="F78" i="6"/>
  <c r="F72" i="6"/>
  <c r="F68" i="6"/>
  <c r="F59" i="6"/>
  <c r="Q24" i="6"/>
  <c r="Q23" i="6"/>
  <c r="Q8" i="6"/>
  <c r="U8" i="6"/>
  <c r="Q60" i="6"/>
  <c r="R60" i="6" s="1"/>
  <c r="Q64" i="6"/>
  <c r="R64" i="6" s="1"/>
  <c r="C90" i="6"/>
  <c r="F101" i="6"/>
  <c r="N21" i="6"/>
  <c r="N16" i="6"/>
  <c r="U4" i="6"/>
  <c r="D90" i="6"/>
  <c r="C91" i="6"/>
  <c r="E91" i="6" s="1"/>
  <c r="U6" i="6"/>
  <c r="C92" i="6"/>
  <c r="O7" i="6"/>
  <c r="P7" i="6" s="1"/>
  <c r="AI10" i="6"/>
  <c r="N11" i="6"/>
  <c r="C97" i="6"/>
  <c r="E97" i="6" s="1"/>
  <c r="Q12" i="6"/>
  <c r="E99" i="6"/>
  <c r="G99" i="6" s="1"/>
  <c r="Q14" i="6"/>
  <c r="Q16" i="6"/>
  <c r="N20" i="6"/>
  <c r="Q61" i="6"/>
  <c r="R61" i="6" s="1"/>
  <c r="F69" i="6"/>
  <c r="G70" i="6"/>
  <c r="F107" i="6"/>
  <c r="D91" i="6"/>
  <c r="D92" i="6"/>
  <c r="C93" i="6"/>
  <c r="E93" i="6" s="1"/>
  <c r="M8" i="6"/>
  <c r="N8" i="6" s="1"/>
  <c r="P8" i="6"/>
  <c r="F106" i="6"/>
  <c r="P15" i="6"/>
  <c r="E105" i="6"/>
  <c r="M22" i="6"/>
  <c r="N22" i="6" s="1"/>
  <c r="C107" i="6"/>
  <c r="E107" i="6" s="1"/>
  <c r="G107" i="6" s="1"/>
  <c r="D108" i="6"/>
  <c r="E108" i="6" s="1"/>
  <c r="G108" i="6" s="1"/>
  <c r="O23" i="6"/>
  <c r="P23" i="6" s="1"/>
  <c r="O24" i="6"/>
  <c r="P24" i="6" s="1"/>
  <c r="Q62" i="6"/>
  <c r="R62" i="6" s="1"/>
  <c r="F75" i="6"/>
  <c r="F91" i="6"/>
  <c r="E100" i="6"/>
  <c r="U5" i="6"/>
  <c r="C88" i="6"/>
  <c r="E88" i="6" s="1"/>
  <c r="U3" i="6"/>
  <c r="M5" i="6"/>
  <c r="Q5" i="6"/>
  <c r="D88" i="6"/>
  <c r="G77" i="6"/>
  <c r="G71" i="6"/>
  <c r="G67" i="6"/>
  <c r="G64" i="6"/>
  <c r="G63" i="6"/>
  <c r="G62" i="6"/>
  <c r="G61" i="6"/>
  <c r="G60" i="6"/>
  <c r="G78" i="6"/>
  <c r="G72" i="6"/>
  <c r="G68" i="6"/>
  <c r="G59" i="6"/>
  <c r="G79" i="6"/>
  <c r="G75" i="6"/>
  <c r="G69" i="6"/>
  <c r="M4" i="6"/>
  <c r="N4" i="6" s="1"/>
  <c r="Q4" i="6"/>
  <c r="N5" i="6"/>
  <c r="T5" i="6"/>
  <c r="M6" i="6"/>
  <c r="N6" i="6" s="1"/>
  <c r="Q6" i="6"/>
  <c r="M7" i="6"/>
  <c r="N7" i="6" s="1"/>
  <c r="Q7" i="6"/>
  <c r="T8" i="6"/>
  <c r="D96" i="6"/>
  <c r="E96" i="6" s="1"/>
  <c r="G96" i="6" s="1"/>
  <c r="O11" i="6"/>
  <c r="P11" i="6" s="1"/>
  <c r="M12" i="6"/>
  <c r="N12" i="6" s="1"/>
  <c r="D98" i="6"/>
  <c r="E98" i="6" s="1"/>
  <c r="O13" i="6"/>
  <c r="P13" i="6" s="1"/>
  <c r="M14" i="6"/>
  <c r="N14" i="6" s="1"/>
  <c r="Q15" i="6"/>
  <c r="Q59" i="6"/>
  <c r="R59" i="6" s="1"/>
  <c r="Q63" i="6"/>
  <c r="R63" i="6" s="1"/>
  <c r="F79" i="6"/>
  <c r="H79" i="6" s="1"/>
  <c r="G80" i="6"/>
  <c r="D89" i="6"/>
  <c r="E89" i="6" s="1"/>
  <c r="G89" i="6" s="1"/>
  <c r="F97" i="6"/>
  <c r="C106" i="6"/>
  <c r="E106" i="6" s="1"/>
  <c r="G106" i="6" s="1"/>
  <c r="D109" i="6"/>
  <c r="E109" i="6" s="1"/>
  <c r="G109" i="6" s="1"/>
  <c r="O19" i="6"/>
  <c r="P19" i="6" s="1"/>
  <c r="O20" i="6"/>
  <c r="P20" i="6" s="1"/>
  <c r="M23" i="6"/>
  <c r="N23" i="6" s="1"/>
  <c r="M24" i="6"/>
  <c r="N24" i="6" s="1"/>
  <c r="H48" i="6"/>
  <c r="F88" i="6"/>
  <c r="F92" i="6"/>
  <c r="F98" i="6"/>
  <c r="C101" i="6"/>
  <c r="E101" i="6" s="1"/>
  <c r="G101" i="6" s="1"/>
  <c r="F104" i="6"/>
  <c r="F108" i="6"/>
  <c r="F89" i="6"/>
  <c r="F93" i="6"/>
  <c r="F99" i="6"/>
  <c r="C104" i="6"/>
  <c r="E104" i="6" s="1"/>
  <c r="G104" i="6" s="1"/>
  <c r="F105" i="6"/>
  <c r="F109" i="6"/>
  <c r="F90" i="6"/>
  <c r="F96" i="6"/>
  <c r="F100" i="6"/>
  <c r="E122" i="8" l="1"/>
  <c r="Q24" i="8"/>
  <c r="C70" i="8" s="1"/>
  <c r="P9" i="8"/>
  <c r="P4" i="8"/>
  <c r="F141" i="8"/>
  <c r="F144" i="8"/>
  <c r="P27" i="8"/>
  <c r="Q27" i="8"/>
  <c r="C73" i="8" s="1"/>
  <c r="P29" i="8"/>
  <c r="F137" i="8"/>
  <c r="F132" i="8"/>
  <c r="F147" i="8"/>
  <c r="N26" i="8"/>
  <c r="N24" i="8"/>
  <c r="E141" i="8"/>
  <c r="F134" i="8"/>
  <c r="E130" i="8"/>
  <c r="G130" i="8" s="1"/>
  <c r="E125" i="8"/>
  <c r="F110" i="8"/>
  <c r="H110" i="8" s="1"/>
  <c r="F106" i="8"/>
  <c r="H106" i="8" s="1"/>
  <c r="F100" i="8"/>
  <c r="H100" i="8" s="1"/>
  <c r="F96" i="8"/>
  <c r="H96" i="8" s="1"/>
  <c r="F111" i="8"/>
  <c r="H111" i="8" s="1"/>
  <c r="F107" i="8"/>
  <c r="H107" i="8" s="1"/>
  <c r="F101" i="8"/>
  <c r="H101" i="8" s="1"/>
  <c r="F97" i="8"/>
  <c r="H97" i="8" s="1"/>
  <c r="F91" i="8"/>
  <c r="H91" i="8" s="1"/>
  <c r="F112" i="8"/>
  <c r="H112" i="8" s="1"/>
  <c r="F108" i="8"/>
  <c r="H108" i="8" s="1"/>
  <c r="F102" i="8"/>
  <c r="H102" i="8" s="1"/>
  <c r="F98" i="8"/>
  <c r="H98" i="8" s="1"/>
  <c r="F92" i="8"/>
  <c r="H92" i="8" s="1"/>
  <c r="F109" i="8"/>
  <c r="H109" i="8" s="1"/>
  <c r="F105" i="8"/>
  <c r="H105" i="8" s="1"/>
  <c r="F99" i="8"/>
  <c r="H99" i="8" s="1"/>
  <c r="F95" i="8"/>
  <c r="H95" i="8" s="1"/>
  <c r="Q23" i="8"/>
  <c r="D69" i="8" s="1"/>
  <c r="Q29" i="8"/>
  <c r="D75" i="8" s="1"/>
  <c r="Q28" i="8"/>
  <c r="D74" i="8" s="1"/>
  <c r="G140" i="8"/>
  <c r="P10" i="8"/>
  <c r="Q30" i="8"/>
  <c r="C76" i="8" s="1"/>
  <c r="P30" i="8"/>
  <c r="P24" i="8"/>
  <c r="F126" i="8"/>
  <c r="F133" i="8"/>
  <c r="G133" i="8" s="1"/>
  <c r="F140" i="8"/>
  <c r="F135" i="8"/>
  <c r="F146" i="8"/>
  <c r="R97" i="8"/>
  <c r="F85" i="8"/>
  <c r="F89" i="8"/>
  <c r="P5" i="8"/>
  <c r="F123" i="8"/>
  <c r="Q6" i="8"/>
  <c r="D52" i="8" s="1"/>
  <c r="N4" i="8"/>
  <c r="F124" i="8"/>
  <c r="U8" i="8"/>
  <c r="N5" i="8"/>
  <c r="N20" i="8"/>
  <c r="N19" i="8"/>
  <c r="N17" i="8"/>
  <c r="Q10" i="8"/>
  <c r="C56" i="8" s="1"/>
  <c r="Q18" i="8"/>
  <c r="D64" i="8" s="1"/>
  <c r="N30" i="8"/>
  <c r="N23" i="8"/>
  <c r="N25" i="8"/>
  <c r="Q25" i="8"/>
  <c r="N29" i="8"/>
  <c r="P18" i="8"/>
  <c r="P8" i="8"/>
  <c r="P26" i="8"/>
  <c r="Q26" i="8"/>
  <c r="C72" i="8" s="1"/>
  <c r="P28" i="8"/>
  <c r="P17" i="8"/>
  <c r="F142" i="8"/>
  <c r="F145" i="8"/>
  <c r="G145" i="8" s="1"/>
  <c r="F136" i="8"/>
  <c r="G136" i="8" s="1"/>
  <c r="F131" i="8"/>
  <c r="P23" i="8"/>
  <c r="E147" i="8"/>
  <c r="G147" i="8" s="1"/>
  <c r="E126" i="8"/>
  <c r="E142" i="8"/>
  <c r="G142" i="8" s="1"/>
  <c r="C54" i="8"/>
  <c r="G65" i="8"/>
  <c r="C75" i="8"/>
  <c r="E132" i="8"/>
  <c r="G132" i="8" s="1"/>
  <c r="E146" i="8"/>
  <c r="G146" i="8" s="1"/>
  <c r="D51" i="8"/>
  <c r="D65" i="8"/>
  <c r="C50" i="8"/>
  <c r="D66" i="8"/>
  <c r="E134" i="8"/>
  <c r="G134" i="8" s="1"/>
  <c r="D63" i="8"/>
  <c r="H63" i="8" s="1"/>
  <c r="H54" i="8"/>
  <c r="C60" i="8"/>
  <c r="C49" i="8"/>
  <c r="D49" i="8"/>
  <c r="H50" i="8" s="1"/>
  <c r="C55" i="8"/>
  <c r="E137" i="8"/>
  <c r="G137" i="8" s="1"/>
  <c r="D70" i="8"/>
  <c r="E121" i="8"/>
  <c r="G121" i="8" s="1"/>
  <c r="C62" i="8"/>
  <c r="C53" i="8"/>
  <c r="E131" i="8"/>
  <c r="G131" i="8" s="1"/>
  <c r="D61" i="8"/>
  <c r="E127" i="8"/>
  <c r="G127" i="8" s="1"/>
  <c r="E143" i="8"/>
  <c r="G143" i="8" s="1"/>
  <c r="E135" i="8"/>
  <c r="G135" i="8" s="1"/>
  <c r="D73" i="8"/>
  <c r="E144" i="8"/>
  <c r="G144" i="8" s="1"/>
  <c r="Q73" i="9"/>
  <c r="T73" i="9" s="1"/>
  <c r="Q8" i="9"/>
  <c r="F116" i="9"/>
  <c r="Q18" i="9"/>
  <c r="Q6" i="9"/>
  <c r="F117" i="9"/>
  <c r="G117" i="9" s="1"/>
  <c r="N29" i="9"/>
  <c r="N9" i="9"/>
  <c r="N23" i="9"/>
  <c r="N25" i="9"/>
  <c r="N16" i="9"/>
  <c r="P15" i="9"/>
  <c r="P7" i="9"/>
  <c r="Q7" i="9"/>
  <c r="X12" i="9"/>
  <c r="F112" i="9"/>
  <c r="G112" i="9" s="1"/>
  <c r="F130" i="9"/>
  <c r="F92" i="9"/>
  <c r="H92" i="9" s="1"/>
  <c r="Q74" i="9"/>
  <c r="F107" i="9"/>
  <c r="G107" i="9" s="1"/>
  <c r="F109" i="9"/>
  <c r="Q13" i="9"/>
  <c r="F76" i="9"/>
  <c r="H76" i="9" s="1"/>
  <c r="F94" i="9"/>
  <c r="H94" i="9" s="1"/>
  <c r="Q24" i="9"/>
  <c r="F118" i="9"/>
  <c r="G118" i="9" s="1"/>
  <c r="F129" i="9"/>
  <c r="G129" i="9" s="1"/>
  <c r="Q27" i="9"/>
  <c r="Q17" i="9"/>
  <c r="Q16" i="9"/>
  <c r="F88" i="9"/>
  <c r="H88" i="9" s="1"/>
  <c r="F78" i="9"/>
  <c r="H78" i="9" s="1"/>
  <c r="F84" i="9"/>
  <c r="H84" i="9" s="1"/>
  <c r="G123" i="9"/>
  <c r="Q20" i="9"/>
  <c r="F127" i="9"/>
  <c r="G127" i="9" s="1"/>
  <c r="F132" i="9"/>
  <c r="G132" i="9" s="1"/>
  <c r="F110" i="9"/>
  <c r="G110" i="9" s="1"/>
  <c r="Q10" i="9"/>
  <c r="F95" i="9"/>
  <c r="F75" i="9"/>
  <c r="Q25" i="9"/>
  <c r="F98" i="9"/>
  <c r="H98" i="9" s="1"/>
  <c r="F81" i="9"/>
  <c r="H81" i="9" s="1"/>
  <c r="F96" i="9"/>
  <c r="H96" i="9" s="1"/>
  <c r="P29" i="9"/>
  <c r="P3" i="9"/>
  <c r="P24" i="9"/>
  <c r="N15" i="9"/>
  <c r="N4" i="9"/>
  <c r="N27" i="9"/>
  <c r="N18" i="9"/>
  <c r="N28" i="9"/>
  <c r="N20" i="9"/>
  <c r="P4" i="9"/>
  <c r="E116" i="9"/>
  <c r="N30" i="9"/>
  <c r="P23" i="9"/>
  <c r="P14" i="9"/>
  <c r="P26" i="9"/>
  <c r="P20" i="9"/>
  <c r="N14" i="9"/>
  <c r="N7" i="9"/>
  <c r="P25" i="9"/>
  <c r="N19" i="9"/>
  <c r="P16" i="9"/>
  <c r="N8" i="9"/>
  <c r="P6" i="9"/>
  <c r="H40" i="9"/>
  <c r="P18" i="9"/>
  <c r="N17" i="9"/>
  <c r="F111" i="9"/>
  <c r="G111" i="9" s="1"/>
  <c r="F121" i="9"/>
  <c r="G121" i="9" s="1"/>
  <c r="F122" i="9"/>
  <c r="G122" i="9" s="1"/>
  <c r="F113" i="9"/>
  <c r="F133" i="9"/>
  <c r="F120" i="9"/>
  <c r="E133" i="9"/>
  <c r="G133" i="9" s="1"/>
  <c r="F73" i="9"/>
  <c r="H73" i="9" s="1"/>
  <c r="F74" i="9"/>
  <c r="F77" i="9"/>
  <c r="H77" i="9" s="1"/>
  <c r="Q26" i="9"/>
  <c r="F86" i="9"/>
  <c r="H86" i="9" s="1"/>
  <c r="Q14" i="9"/>
  <c r="Q29" i="9"/>
  <c r="F91" i="9"/>
  <c r="H91" i="9" s="1"/>
  <c r="Q71" i="9"/>
  <c r="Q75" i="9"/>
  <c r="F85" i="9"/>
  <c r="H85" i="9" s="1"/>
  <c r="F97" i="9"/>
  <c r="H97" i="9" s="1"/>
  <c r="N5" i="9"/>
  <c r="Q23" i="9"/>
  <c r="P13" i="9"/>
  <c r="P5" i="9"/>
  <c r="N3" i="9"/>
  <c r="P19" i="9"/>
  <c r="P30" i="9"/>
  <c r="Q3" i="9"/>
  <c r="Q9" i="9"/>
  <c r="E130" i="9"/>
  <c r="N26" i="9"/>
  <c r="N13" i="9"/>
  <c r="N6" i="9"/>
  <c r="N24" i="9"/>
  <c r="N10" i="9"/>
  <c r="G109" i="9"/>
  <c r="P27" i="9"/>
  <c r="F131" i="9"/>
  <c r="G131" i="9" s="1"/>
  <c r="F108" i="9"/>
  <c r="G108" i="9" s="1"/>
  <c r="F128" i="9"/>
  <c r="G128" i="9" s="1"/>
  <c r="F119" i="9"/>
  <c r="G119" i="9" s="1"/>
  <c r="F106" i="9"/>
  <c r="G106" i="9" s="1"/>
  <c r="F126" i="9"/>
  <c r="Q28" i="9"/>
  <c r="F93" i="9"/>
  <c r="H93" i="9" s="1"/>
  <c r="F83" i="9"/>
  <c r="H83" i="9" s="1"/>
  <c r="Q5" i="9"/>
  <c r="Q30" i="9"/>
  <c r="Q4" i="9"/>
  <c r="Q15" i="9"/>
  <c r="F72" i="9"/>
  <c r="H72" i="9" s="1"/>
  <c r="F82" i="9"/>
  <c r="H82" i="9" s="1"/>
  <c r="Q72" i="9"/>
  <c r="U72" i="9" s="1"/>
  <c r="Q76" i="9"/>
  <c r="U76" i="9" s="1"/>
  <c r="F87" i="9"/>
  <c r="H87" i="9" s="1"/>
  <c r="F71" i="9"/>
  <c r="H71" i="9" s="1"/>
  <c r="Q19" i="9"/>
  <c r="P10" i="9"/>
  <c r="P9" i="9"/>
  <c r="P28" i="9"/>
  <c r="P8" i="9"/>
  <c r="H95" i="9"/>
  <c r="H74" i="9"/>
  <c r="H75" i="9"/>
  <c r="E126" i="9"/>
  <c r="G113" i="9"/>
  <c r="E120" i="9"/>
  <c r="G66" i="8"/>
  <c r="H53" i="8"/>
  <c r="N3" i="8"/>
  <c r="G122" i="8"/>
  <c r="P16" i="8"/>
  <c r="Q13" i="8"/>
  <c r="N9" i="8"/>
  <c r="U3" i="8"/>
  <c r="X3" i="8" s="1"/>
  <c r="H88" i="8"/>
  <c r="H86" i="8"/>
  <c r="E124" i="8"/>
  <c r="H89" i="8"/>
  <c r="H85" i="8"/>
  <c r="H90" i="8"/>
  <c r="H87" i="8"/>
  <c r="G125" i="8"/>
  <c r="E120" i="8"/>
  <c r="G120" i="8" s="1"/>
  <c r="E123" i="8"/>
  <c r="U61" i="6"/>
  <c r="T63" i="6"/>
  <c r="U64" i="6"/>
  <c r="T61" i="6"/>
  <c r="V61" i="6" s="1"/>
  <c r="U60" i="6"/>
  <c r="U62" i="6"/>
  <c r="T59" i="6"/>
  <c r="G49" i="6"/>
  <c r="H38" i="6"/>
  <c r="G35" i="6"/>
  <c r="H31" i="6"/>
  <c r="G30" i="6"/>
  <c r="H42" i="6"/>
  <c r="H43" i="6"/>
  <c r="G33" i="6"/>
  <c r="G32" i="6"/>
  <c r="H50" i="6"/>
  <c r="H51" i="6"/>
  <c r="H34" i="6"/>
  <c r="H35" i="6"/>
  <c r="G47" i="6"/>
  <c r="G46" i="6"/>
  <c r="H75" i="6"/>
  <c r="H72" i="6"/>
  <c r="H80" i="6"/>
  <c r="W3" i="6"/>
  <c r="X3" i="6"/>
  <c r="G93" i="6"/>
  <c r="H69" i="6"/>
  <c r="H40" i="6"/>
  <c r="E92" i="6"/>
  <c r="G92" i="6" s="1"/>
  <c r="G48" i="6"/>
  <c r="I77" i="6" s="1"/>
  <c r="H78" i="6"/>
  <c r="H60" i="6"/>
  <c r="H62" i="6"/>
  <c r="H64" i="6"/>
  <c r="H77" i="6"/>
  <c r="G41" i="6"/>
  <c r="H30" i="6"/>
  <c r="G39" i="6"/>
  <c r="U59" i="6"/>
  <c r="U63" i="6"/>
  <c r="V63" i="6" s="1"/>
  <c r="G31" i="6"/>
  <c r="I60" i="6" s="1"/>
  <c r="G38" i="6"/>
  <c r="G100" i="6"/>
  <c r="E90" i="6"/>
  <c r="G90" i="6" s="1"/>
  <c r="G40" i="6"/>
  <c r="H59" i="6"/>
  <c r="T60" i="6"/>
  <c r="V60" i="6" s="1"/>
  <c r="T62" i="6"/>
  <c r="V62" i="6" s="1"/>
  <c r="T64" i="6"/>
  <c r="V64" i="6" s="1"/>
  <c r="H70" i="6"/>
  <c r="G98" i="6"/>
  <c r="G88" i="6"/>
  <c r="H49" i="6"/>
  <c r="I78" i="6" s="1"/>
  <c r="H39" i="6"/>
  <c r="G105" i="6"/>
  <c r="G97" i="6"/>
  <c r="G91" i="6"/>
  <c r="H68" i="6"/>
  <c r="H61" i="6"/>
  <c r="H63" i="6"/>
  <c r="H67" i="6"/>
  <c r="V59" i="6" l="1"/>
  <c r="D56" i="8"/>
  <c r="H56" i="8" s="1"/>
  <c r="G55" i="8"/>
  <c r="C52" i="8"/>
  <c r="G52" i="8" s="1"/>
  <c r="G53" i="8"/>
  <c r="I89" i="8" s="1"/>
  <c r="J89" i="8" s="1"/>
  <c r="D72" i="8"/>
  <c r="H64" i="8"/>
  <c r="C69" i="8"/>
  <c r="G70" i="8" s="1"/>
  <c r="G123" i="8"/>
  <c r="G75" i="8"/>
  <c r="G141" i="8"/>
  <c r="G124" i="8"/>
  <c r="D76" i="8"/>
  <c r="G76" i="8"/>
  <c r="C71" i="8"/>
  <c r="D71" i="8"/>
  <c r="C74" i="8"/>
  <c r="G73" i="8" s="1"/>
  <c r="G126" i="8"/>
  <c r="C64" i="8"/>
  <c r="G63" i="8" s="1"/>
  <c r="I99" i="8" s="1"/>
  <c r="J99" i="8" s="1"/>
  <c r="G56" i="8"/>
  <c r="I92" i="8" s="1"/>
  <c r="J92" i="8" s="1"/>
  <c r="H55" i="8"/>
  <c r="I91" i="8" s="1"/>
  <c r="J91" i="8" s="1"/>
  <c r="H74" i="8"/>
  <c r="H73" i="8"/>
  <c r="G69" i="8"/>
  <c r="D59" i="8"/>
  <c r="C59" i="8"/>
  <c r="H70" i="8"/>
  <c r="H69" i="8"/>
  <c r="R74" i="9"/>
  <c r="U74" i="9"/>
  <c r="T72" i="9"/>
  <c r="V72" i="9" s="1"/>
  <c r="R75" i="9"/>
  <c r="U75" i="9"/>
  <c r="T75" i="9"/>
  <c r="R71" i="9"/>
  <c r="U71" i="9"/>
  <c r="G116" i="9"/>
  <c r="T76" i="9"/>
  <c r="V76" i="9" s="1"/>
  <c r="T71" i="9"/>
  <c r="T74" i="9"/>
  <c r="R73" i="9"/>
  <c r="U73" i="9"/>
  <c r="V73" i="9" s="1"/>
  <c r="H38" i="9"/>
  <c r="G50" i="9"/>
  <c r="H45" i="9"/>
  <c r="G40" i="9"/>
  <c r="I76" i="9" s="1"/>
  <c r="J76" i="9" s="1"/>
  <c r="H39" i="9"/>
  <c r="G126" i="9"/>
  <c r="G38" i="9"/>
  <c r="G51" i="9"/>
  <c r="H37" i="9"/>
  <c r="G58" i="9"/>
  <c r="H59" i="9"/>
  <c r="G62" i="9"/>
  <c r="G130" i="9"/>
  <c r="G55" i="9"/>
  <c r="H55" i="9"/>
  <c r="H50" i="9"/>
  <c r="H49" i="9"/>
  <c r="G48" i="9"/>
  <c r="H48" i="9"/>
  <c r="H52" i="9"/>
  <c r="G57" i="9"/>
  <c r="G45" i="9"/>
  <c r="G56" i="9"/>
  <c r="R76" i="9"/>
  <c r="R72" i="9"/>
  <c r="H46" i="9"/>
  <c r="G120" i="9"/>
  <c r="G37" i="9"/>
  <c r="G64" i="8"/>
  <c r="I100" i="8" s="1"/>
  <c r="J100" i="8" s="1"/>
  <c r="H51" i="8"/>
  <c r="H52" i="8"/>
  <c r="I88" i="8" s="1"/>
  <c r="J88" i="8" s="1"/>
  <c r="H65" i="8"/>
  <c r="I101" i="8" s="1"/>
  <c r="J101" i="8" s="1"/>
  <c r="H66" i="8"/>
  <c r="I102" i="8" s="1"/>
  <c r="J102" i="8" s="1"/>
  <c r="H62" i="8"/>
  <c r="H61" i="8"/>
  <c r="G62" i="8"/>
  <c r="G61" i="8"/>
  <c r="G54" i="8"/>
  <c r="I90" i="8" s="1"/>
  <c r="J90" i="8" s="1"/>
  <c r="R98" i="8"/>
  <c r="W3" i="8"/>
  <c r="AA3" i="8"/>
  <c r="Z3" i="8"/>
  <c r="Y3" i="8"/>
  <c r="R94" i="8"/>
  <c r="G49" i="8"/>
  <c r="G50" i="8"/>
  <c r="I86" i="8" s="1"/>
  <c r="J86" i="8" s="1"/>
  <c r="H49" i="8"/>
  <c r="X85" i="8"/>
  <c r="G34" i="6"/>
  <c r="I63" i="6" s="1"/>
  <c r="J63" i="6" s="1"/>
  <c r="I64" i="6"/>
  <c r="J64" i="6" s="1"/>
  <c r="H41" i="6"/>
  <c r="I70" i="6" s="1"/>
  <c r="J70" i="6" s="1"/>
  <c r="I59" i="6"/>
  <c r="J59" i="6" s="1"/>
  <c r="J60" i="6"/>
  <c r="I69" i="6"/>
  <c r="J69" i="6" s="1"/>
  <c r="H32" i="6"/>
  <c r="I61" i="6" s="1"/>
  <c r="J61" i="6" s="1"/>
  <c r="H33" i="6"/>
  <c r="I62" i="6" s="1"/>
  <c r="J62" i="6" s="1"/>
  <c r="I67" i="6"/>
  <c r="J67" i="6" s="1"/>
  <c r="I68" i="6"/>
  <c r="J68" i="6" s="1"/>
  <c r="G43" i="6"/>
  <c r="I72" i="6" s="1"/>
  <c r="J72" i="6" s="1"/>
  <c r="G42" i="6"/>
  <c r="I71" i="6" s="1"/>
  <c r="J71" i="6" s="1"/>
  <c r="H46" i="6"/>
  <c r="I75" i="6" s="1"/>
  <c r="J75" i="6" s="1"/>
  <c r="H47" i="6"/>
  <c r="G51" i="6"/>
  <c r="I80" i="6" s="1"/>
  <c r="J80" i="6" s="1"/>
  <c r="G50" i="6"/>
  <c r="I79" i="6" s="1"/>
  <c r="J79" i="6" s="1"/>
  <c r="J77" i="6"/>
  <c r="J78" i="6"/>
  <c r="Z3" i="6"/>
  <c r="Y3" i="6"/>
  <c r="AA3" i="6"/>
  <c r="I76" i="6"/>
  <c r="J76" i="6" s="1"/>
  <c r="G51" i="8" l="1"/>
  <c r="I87" i="8"/>
  <c r="J87" i="8" s="1"/>
  <c r="H76" i="8"/>
  <c r="I112" i="8" s="1"/>
  <c r="J112" i="8" s="1"/>
  <c r="H75" i="8"/>
  <c r="I111" i="8" s="1"/>
  <c r="J111" i="8" s="1"/>
  <c r="I109" i="8"/>
  <c r="J109" i="8" s="1"/>
  <c r="H72" i="8"/>
  <c r="H71" i="8"/>
  <c r="G74" i="8"/>
  <c r="I110" i="8" s="1"/>
  <c r="J110" i="8" s="1"/>
  <c r="G71" i="8"/>
  <c r="I107" i="8" s="1"/>
  <c r="J107" i="8" s="1"/>
  <c r="G72" i="8"/>
  <c r="I108" i="8" s="1"/>
  <c r="J108" i="8" s="1"/>
  <c r="I97" i="8"/>
  <c r="J97" i="8" s="1"/>
  <c r="I106" i="8"/>
  <c r="J106" i="8" s="1"/>
  <c r="I105" i="8"/>
  <c r="J105" i="8" s="1"/>
  <c r="I98" i="8"/>
  <c r="J98" i="8" s="1"/>
  <c r="V74" i="9"/>
  <c r="H56" i="9"/>
  <c r="G52" i="9"/>
  <c r="I81" i="9"/>
  <c r="J81" i="9" s="1"/>
  <c r="I86" i="9"/>
  <c r="J86" i="9" s="1"/>
  <c r="V71" i="9"/>
  <c r="I73" i="9"/>
  <c r="J73" i="9" s="1"/>
  <c r="G49" i="9"/>
  <c r="I85" i="9" s="1"/>
  <c r="J85" i="9" s="1"/>
  <c r="G61" i="9"/>
  <c r="I74" i="9"/>
  <c r="J74" i="9" s="1"/>
  <c r="V75" i="9"/>
  <c r="G47" i="9"/>
  <c r="I84" i="9"/>
  <c r="J84" i="9" s="1"/>
  <c r="I91" i="9"/>
  <c r="J91" i="9" s="1"/>
  <c r="G39" i="9"/>
  <c r="I75" i="9" s="1"/>
  <c r="J75" i="9" s="1"/>
  <c r="H60" i="9"/>
  <c r="H47" i="9"/>
  <c r="I92" i="9"/>
  <c r="J92" i="9" s="1"/>
  <c r="H36" i="9"/>
  <c r="H51" i="9"/>
  <c r="I87" i="9" s="1"/>
  <c r="J87" i="9" s="1"/>
  <c r="H58" i="9"/>
  <c r="I94" i="9" s="1"/>
  <c r="J94" i="9" s="1"/>
  <c r="H57" i="9"/>
  <c r="I93" i="9" s="1"/>
  <c r="J93" i="9" s="1"/>
  <c r="I88" i="9"/>
  <c r="J88" i="9" s="1"/>
  <c r="H42" i="9"/>
  <c r="H41" i="9"/>
  <c r="H62" i="9"/>
  <c r="I98" i="9" s="1"/>
  <c r="J98" i="9" s="1"/>
  <c r="H61" i="9"/>
  <c r="G42" i="9"/>
  <c r="G41" i="9"/>
  <c r="G46" i="9"/>
  <c r="I82" i="9" s="1"/>
  <c r="J82" i="9" s="1"/>
  <c r="H35" i="9"/>
  <c r="G36" i="9"/>
  <c r="G35" i="9"/>
  <c r="G60" i="9"/>
  <c r="G59" i="9"/>
  <c r="I95" i="9" s="1"/>
  <c r="J95" i="9" s="1"/>
  <c r="H60" i="8"/>
  <c r="H59" i="8"/>
  <c r="G60" i="8"/>
  <c r="G59" i="8"/>
  <c r="I85" i="8"/>
  <c r="J85" i="8" s="1"/>
  <c r="I95" i="8" l="1"/>
  <c r="J95" i="8" s="1"/>
  <c r="I96" i="8"/>
  <c r="J96" i="8" s="1"/>
  <c r="I78" i="9"/>
  <c r="J78" i="9" s="1"/>
  <c r="I96" i="9"/>
  <c r="J96" i="9" s="1"/>
  <c r="I72" i="9"/>
  <c r="J72" i="9" s="1"/>
  <c r="I83" i="9"/>
  <c r="J83" i="9" s="1"/>
  <c r="I97" i="9"/>
  <c r="J97" i="9" s="1"/>
  <c r="I77" i="9"/>
  <c r="J77" i="9" s="1"/>
  <c r="I71" i="9"/>
  <c r="J71" i="9" s="1"/>
  <c r="V3" i="5"/>
  <c r="N77" i="5" l="1"/>
  <c r="N78" i="5"/>
  <c r="N79" i="5"/>
  <c r="N76" i="5"/>
  <c r="N80" i="5"/>
  <c r="N75" i="5"/>
  <c r="N72" i="5"/>
  <c r="N71" i="5"/>
  <c r="N70" i="5"/>
  <c r="N69" i="5"/>
  <c r="N68" i="5"/>
  <c r="N67" i="5"/>
  <c r="N60" i="5"/>
  <c r="N61" i="5"/>
  <c r="N62" i="5"/>
  <c r="N63" i="5"/>
  <c r="N64" i="5"/>
  <c r="N59" i="5"/>
  <c r="N80" i="4"/>
  <c r="N79" i="4"/>
  <c r="N78" i="4"/>
  <c r="N77" i="4"/>
  <c r="N76" i="4"/>
  <c r="N75" i="4"/>
  <c r="N72" i="4"/>
  <c r="N71" i="4"/>
  <c r="N70" i="4"/>
  <c r="N69" i="4"/>
  <c r="N68" i="4"/>
  <c r="N67" i="4"/>
  <c r="N60" i="4"/>
  <c r="N61" i="4"/>
  <c r="N62" i="4"/>
  <c r="N63" i="4"/>
  <c r="N64" i="4"/>
  <c r="N59" i="4"/>
  <c r="B84" i="5"/>
  <c r="C80" i="5"/>
  <c r="C79" i="5"/>
  <c r="C78" i="5"/>
  <c r="C77" i="5"/>
  <c r="C76" i="5"/>
  <c r="C75" i="5"/>
  <c r="C72" i="5"/>
  <c r="C71" i="5"/>
  <c r="C70" i="5"/>
  <c r="C69" i="5"/>
  <c r="C68" i="5"/>
  <c r="C67" i="5"/>
  <c r="C64" i="5"/>
  <c r="C63" i="5"/>
  <c r="C62" i="5"/>
  <c r="C61" i="5"/>
  <c r="C60" i="5"/>
  <c r="L59" i="5"/>
  <c r="C59" i="5"/>
  <c r="E51" i="5"/>
  <c r="E50" i="5"/>
  <c r="E49" i="5"/>
  <c r="E48" i="5"/>
  <c r="E47" i="5"/>
  <c r="E46" i="5"/>
  <c r="E43" i="5"/>
  <c r="E42" i="5"/>
  <c r="E41" i="5"/>
  <c r="E40" i="5"/>
  <c r="E39" i="5"/>
  <c r="E38" i="5"/>
  <c r="E35" i="5"/>
  <c r="E34" i="5"/>
  <c r="E33" i="5"/>
  <c r="E32" i="5"/>
  <c r="E31" i="5"/>
  <c r="E30" i="5"/>
  <c r="L24" i="5"/>
  <c r="D109" i="5" s="1"/>
  <c r="G24" i="5"/>
  <c r="AN23" i="5"/>
  <c r="L23" i="5"/>
  <c r="D108" i="5" s="1"/>
  <c r="G23" i="5"/>
  <c r="L22" i="5"/>
  <c r="D107" i="5" s="1"/>
  <c r="G22" i="5"/>
  <c r="M22" i="5" s="1"/>
  <c r="AN21" i="5"/>
  <c r="L21" i="5"/>
  <c r="D106" i="5" s="1"/>
  <c r="G21" i="5"/>
  <c r="C106" i="5" s="1"/>
  <c r="L20" i="5"/>
  <c r="O20" i="5" s="1"/>
  <c r="G20" i="5"/>
  <c r="C105" i="5" s="1"/>
  <c r="AN19" i="5"/>
  <c r="L19" i="5"/>
  <c r="O19" i="5" s="1"/>
  <c r="G19" i="5"/>
  <c r="C104" i="5" s="1"/>
  <c r="L16" i="5"/>
  <c r="O16" i="5" s="1"/>
  <c r="G16" i="5"/>
  <c r="AN15" i="5"/>
  <c r="L15" i="5"/>
  <c r="O15" i="5" s="1"/>
  <c r="G15" i="5"/>
  <c r="AI14" i="5"/>
  <c r="L14" i="5"/>
  <c r="D99" i="5" s="1"/>
  <c r="G14" i="5"/>
  <c r="C99" i="5" s="1"/>
  <c r="AN13" i="5"/>
  <c r="L13" i="5"/>
  <c r="O13" i="5" s="1"/>
  <c r="G13" i="5"/>
  <c r="C98" i="5" s="1"/>
  <c r="O12" i="5"/>
  <c r="L12" i="5"/>
  <c r="G12" i="5"/>
  <c r="M12" i="5" s="1"/>
  <c r="AN11" i="5"/>
  <c r="L11" i="5"/>
  <c r="O11" i="5" s="1"/>
  <c r="G11" i="5"/>
  <c r="M11" i="5" s="1"/>
  <c r="M8" i="5"/>
  <c r="L8" i="5"/>
  <c r="G8" i="5"/>
  <c r="AN7" i="5"/>
  <c r="L7" i="5"/>
  <c r="G7" i="5"/>
  <c r="L6" i="5"/>
  <c r="O6" i="5" s="1"/>
  <c r="G6" i="5"/>
  <c r="M6" i="5" s="1"/>
  <c r="AN5" i="5"/>
  <c r="AI5" i="5"/>
  <c r="AF3" i="5" s="1"/>
  <c r="L5" i="5"/>
  <c r="O5" i="5" s="1"/>
  <c r="G5" i="5"/>
  <c r="M4" i="5"/>
  <c r="L4" i="5"/>
  <c r="G4" i="5"/>
  <c r="AN3" i="5"/>
  <c r="AI13" i="5" s="1"/>
  <c r="AI3" i="5"/>
  <c r="L3" i="5"/>
  <c r="G3" i="5"/>
  <c r="E99" i="5" l="1"/>
  <c r="G77" i="5"/>
  <c r="M21" i="5"/>
  <c r="O4" i="5"/>
  <c r="M3" i="5"/>
  <c r="M7" i="5"/>
  <c r="M13" i="5"/>
  <c r="O14" i="5"/>
  <c r="AI7" i="5"/>
  <c r="AI9" i="5" s="1"/>
  <c r="U4" i="5"/>
  <c r="M19" i="5"/>
  <c r="M20" i="5"/>
  <c r="O21" i="5"/>
  <c r="O23" i="5"/>
  <c r="O24" i="5"/>
  <c r="U3" i="5"/>
  <c r="AE3" i="5"/>
  <c r="U6" i="5"/>
  <c r="AI6" i="5"/>
  <c r="F100" i="5" s="1"/>
  <c r="U8" i="5"/>
  <c r="O22" i="5"/>
  <c r="P22" i="5" s="1"/>
  <c r="U7" i="5"/>
  <c r="G67" i="5"/>
  <c r="T3" i="5"/>
  <c r="T6" i="5"/>
  <c r="T7" i="5"/>
  <c r="T5" i="5"/>
  <c r="T8" i="5"/>
  <c r="T4" i="5"/>
  <c r="O7" i="5"/>
  <c r="Q3" i="5"/>
  <c r="P16" i="5"/>
  <c r="AI11" i="5"/>
  <c r="AI10" i="5"/>
  <c r="Q20" i="5"/>
  <c r="M24" i="5"/>
  <c r="F76" i="5"/>
  <c r="F90" i="5"/>
  <c r="N19" i="5"/>
  <c r="AI8" i="5"/>
  <c r="D96" i="5"/>
  <c r="C97" i="5"/>
  <c r="M14" i="5"/>
  <c r="F109" i="5"/>
  <c r="E106" i="5"/>
  <c r="P21" i="5"/>
  <c r="F80" i="5"/>
  <c r="F96" i="5"/>
  <c r="Q8" i="5"/>
  <c r="D104" i="5"/>
  <c r="E88" i="5"/>
  <c r="O3" i="5"/>
  <c r="M5" i="5"/>
  <c r="Q5" i="5"/>
  <c r="O8" i="5"/>
  <c r="Q11" i="5"/>
  <c r="D97" i="5"/>
  <c r="C100" i="5"/>
  <c r="M15" i="5"/>
  <c r="P20" i="5"/>
  <c r="G60" i="5"/>
  <c r="G61" i="5"/>
  <c r="G62" i="5"/>
  <c r="G63" i="5"/>
  <c r="G64" i="5"/>
  <c r="E89" i="5"/>
  <c r="C109" i="5"/>
  <c r="E109" i="5" s="1"/>
  <c r="G109" i="5" s="1"/>
  <c r="F77" i="5"/>
  <c r="H77" i="5" s="1"/>
  <c r="F71" i="5"/>
  <c r="F67" i="5"/>
  <c r="H67" i="5" s="1"/>
  <c r="F64" i="5"/>
  <c r="F63" i="5"/>
  <c r="F62" i="5"/>
  <c r="F61" i="5"/>
  <c r="F60" i="5"/>
  <c r="Q22" i="5"/>
  <c r="Q21" i="5"/>
  <c r="F78" i="5"/>
  <c r="F72" i="5"/>
  <c r="F68" i="5"/>
  <c r="F59" i="5"/>
  <c r="Q24" i="5"/>
  <c r="Q23" i="5"/>
  <c r="F79" i="5"/>
  <c r="F75" i="5"/>
  <c r="F69" i="5"/>
  <c r="Q64" i="5"/>
  <c r="T64" i="5" s="1"/>
  <c r="Q63" i="5"/>
  <c r="Q62" i="5"/>
  <c r="Q61" i="5"/>
  <c r="T61" i="5" s="1"/>
  <c r="Q60" i="5"/>
  <c r="T60" i="5" s="1"/>
  <c r="Q59" i="5"/>
  <c r="Q16" i="5"/>
  <c r="Q15" i="5"/>
  <c r="Q14" i="5"/>
  <c r="Q12" i="5"/>
  <c r="C96" i="5"/>
  <c r="D101" i="5"/>
  <c r="C108" i="5"/>
  <c r="E108" i="5" s="1"/>
  <c r="M23" i="5"/>
  <c r="N23" i="5" s="1"/>
  <c r="G78" i="5"/>
  <c r="G72" i="5"/>
  <c r="G68" i="5"/>
  <c r="G59" i="5"/>
  <c r="G79" i="5"/>
  <c r="G75" i="5"/>
  <c r="G69" i="5"/>
  <c r="G80" i="5"/>
  <c r="G76" i="5"/>
  <c r="G70" i="5"/>
  <c r="Q4" i="5"/>
  <c r="N5" i="5"/>
  <c r="Q6" i="5"/>
  <c r="Q7" i="5"/>
  <c r="Q13" i="5"/>
  <c r="D100" i="5"/>
  <c r="C101" i="5"/>
  <c r="E101" i="5" s="1"/>
  <c r="M16" i="5"/>
  <c r="N16" i="5" s="1"/>
  <c r="E104" i="5"/>
  <c r="Q19" i="5"/>
  <c r="F70" i="5"/>
  <c r="G71" i="5"/>
  <c r="E93" i="5"/>
  <c r="D98" i="5"/>
  <c r="E98" i="5" s="1"/>
  <c r="F106" i="5"/>
  <c r="F91" i="5"/>
  <c r="F97" i="5"/>
  <c r="F101" i="5"/>
  <c r="D105" i="5"/>
  <c r="E105" i="5" s="1"/>
  <c r="F107" i="5"/>
  <c r="F88" i="5"/>
  <c r="F92" i="5"/>
  <c r="F98" i="5"/>
  <c r="F104" i="5"/>
  <c r="C107" i="5"/>
  <c r="E107" i="5" s="1"/>
  <c r="F108" i="5"/>
  <c r="F89" i="5"/>
  <c r="F93" i="5"/>
  <c r="F99" i="5"/>
  <c r="G99" i="5" s="1"/>
  <c r="F105" i="5"/>
  <c r="E96" i="5" l="1"/>
  <c r="H62" i="5"/>
  <c r="G31" i="5"/>
  <c r="E91" i="5"/>
  <c r="G91" i="5" s="1"/>
  <c r="H30" i="5"/>
  <c r="N12" i="5"/>
  <c r="N7" i="5"/>
  <c r="G105" i="5"/>
  <c r="G108" i="5"/>
  <c r="H60" i="5"/>
  <c r="H64" i="5"/>
  <c r="P24" i="5"/>
  <c r="N15" i="5"/>
  <c r="P8" i="5"/>
  <c r="P3" i="5"/>
  <c r="N20" i="5"/>
  <c r="N6" i="5"/>
  <c r="P14" i="5"/>
  <c r="P5" i="5"/>
  <c r="P13" i="5"/>
  <c r="N21" i="5"/>
  <c r="N11" i="5"/>
  <c r="P23" i="5"/>
  <c r="N24" i="5"/>
  <c r="P15" i="5"/>
  <c r="P11" i="5"/>
  <c r="N4" i="5"/>
  <c r="P19" i="5"/>
  <c r="N3" i="5"/>
  <c r="G104" i="5"/>
  <c r="N22" i="5"/>
  <c r="N14" i="5"/>
  <c r="N8" i="5"/>
  <c r="N13" i="5"/>
  <c r="P12" i="5"/>
  <c r="P7" i="5"/>
  <c r="U5" i="5"/>
  <c r="P4" i="5"/>
  <c r="G33" i="5"/>
  <c r="P6" i="5"/>
  <c r="G47" i="5"/>
  <c r="H34" i="5"/>
  <c r="G107" i="5"/>
  <c r="H70" i="5"/>
  <c r="G39" i="5"/>
  <c r="H61" i="5"/>
  <c r="H80" i="5"/>
  <c r="H46" i="5"/>
  <c r="G48" i="5"/>
  <c r="G98" i="5"/>
  <c r="H50" i="5"/>
  <c r="G96" i="5"/>
  <c r="H75" i="5"/>
  <c r="H59" i="5"/>
  <c r="H43" i="5"/>
  <c r="H48" i="5"/>
  <c r="H49" i="5"/>
  <c r="H33" i="5"/>
  <c r="H32" i="5"/>
  <c r="R62" i="5"/>
  <c r="U62" i="5"/>
  <c r="G42" i="5"/>
  <c r="R59" i="5"/>
  <c r="U59" i="5"/>
  <c r="R63" i="5"/>
  <c r="U63" i="5"/>
  <c r="H79" i="5"/>
  <c r="H68" i="5"/>
  <c r="H63" i="5"/>
  <c r="H42" i="5"/>
  <c r="G50" i="5"/>
  <c r="H39" i="5"/>
  <c r="E90" i="5"/>
  <c r="G90" i="5" s="1"/>
  <c r="G32" i="5"/>
  <c r="G101" i="5"/>
  <c r="R60" i="5"/>
  <c r="U60" i="5"/>
  <c r="V60" i="5" s="1"/>
  <c r="R64" i="5"/>
  <c r="U64" i="5"/>
  <c r="V64" i="5" s="1"/>
  <c r="H72" i="5"/>
  <c r="T59" i="5"/>
  <c r="T63" i="5"/>
  <c r="V63" i="5" s="1"/>
  <c r="H71" i="5"/>
  <c r="G89" i="5"/>
  <c r="E100" i="5"/>
  <c r="G100" i="5" s="1"/>
  <c r="G88" i="5"/>
  <c r="H76" i="5"/>
  <c r="H40" i="5"/>
  <c r="H41" i="5"/>
  <c r="T62" i="5"/>
  <c r="G35" i="5"/>
  <c r="E97" i="5"/>
  <c r="G97" i="5" s="1"/>
  <c r="G93" i="5"/>
  <c r="G38" i="5"/>
  <c r="R61" i="5"/>
  <c r="U61" i="5"/>
  <c r="V61" i="5" s="1"/>
  <c r="H69" i="5"/>
  <c r="H78" i="5"/>
  <c r="G40" i="5"/>
  <c r="I69" i="5" s="1"/>
  <c r="G106" i="5"/>
  <c r="E92" i="5"/>
  <c r="G92" i="5" s="1"/>
  <c r="G46" i="5"/>
  <c r="V62" i="5" l="1"/>
  <c r="H51" i="5"/>
  <c r="H31" i="5"/>
  <c r="I60" i="5" s="1"/>
  <c r="J60" i="5" s="1"/>
  <c r="I77" i="5"/>
  <c r="J77" i="5" s="1"/>
  <c r="I62" i="5"/>
  <c r="J62" i="5" s="1"/>
  <c r="G49" i="5"/>
  <c r="I78" i="5" s="1"/>
  <c r="J78" i="5" s="1"/>
  <c r="V59" i="5"/>
  <c r="G51" i="5"/>
  <c r="I80" i="5" s="1"/>
  <c r="J80" i="5" s="1"/>
  <c r="I71" i="5"/>
  <c r="J71" i="5" s="1"/>
  <c r="I75" i="5"/>
  <c r="J75" i="5" s="1"/>
  <c r="H47" i="5"/>
  <c r="I76" i="5" s="1"/>
  <c r="J76" i="5" s="1"/>
  <c r="I61" i="5"/>
  <c r="J61" i="5" s="1"/>
  <c r="I68" i="5"/>
  <c r="J68" i="5" s="1"/>
  <c r="H35" i="5"/>
  <c r="I64" i="5" s="1"/>
  <c r="J64" i="5" s="1"/>
  <c r="I79" i="5"/>
  <c r="J79" i="5" s="1"/>
  <c r="H38" i="5"/>
  <c r="I67" i="5" s="1"/>
  <c r="J67" i="5" s="1"/>
  <c r="J69" i="5"/>
  <c r="G34" i="5"/>
  <c r="I63" i="5" s="1"/>
  <c r="J63" i="5" s="1"/>
  <c r="G43" i="5"/>
  <c r="I72" i="5" s="1"/>
  <c r="J72" i="5" s="1"/>
  <c r="G30" i="5"/>
  <c r="I59" i="5" s="1"/>
  <c r="J59" i="5" s="1"/>
  <c r="G41" i="5"/>
  <c r="I70" i="5" s="1"/>
  <c r="J70" i="5" s="1"/>
  <c r="F109" i="4" l="1"/>
  <c r="F108" i="4"/>
  <c r="F107" i="4"/>
  <c r="F106" i="4"/>
  <c r="F105" i="4"/>
  <c r="F104" i="4"/>
  <c r="F101" i="4"/>
  <c r="F100" i="4"/>
  <c r="F99" i="4"/>
  <c r="F98" i="4"/>
  <c r="F97" i="4"/>
  <c r="F96" i="4"/>
  <c r="F89" i="4"/>
  <c r="F90" i="4"/>
  <c r="F91" i="4"/>
  <c r="F92" i="4"/>
  <c r="F93" i="4"/>
  <c r="F88" i="4"/>
  <c r="B84" i="4"/>
  <c r="L59" i="4" l="1"/>
  <c r="C80" i="4"/>
  <c r="C79" i="4"/>
  <c r="C78" i="4"/>
  <c r="C77" i="4"/>
  <c r="C76" i="4"/>
  <c r="C75" i="4"/>
  <c r="C72" i="4"/>
  <c r="C71" i="4"/>
  <c r="C70" i="4"/>
  <c r="C69" i="4"/>
  <c r="C68" i="4"/>
  <c r="C67" i="4"/>
  <c r="C60" i="4"/>
  <c r="C61" i="4"/>
  <c r="C62" i="4"/>
  <c r="C63" i="4"/>
  <c r="C64" i="4"/>
  <c r="C59" i="4"/>
  <c r="E47" i="4" l="1"/>
  <c r="E48" i="4"/>
  <c r="E49" i="4"/>
  <c r="E50" i="4"/>
  <c r="E51" i="4"/>
  <c r="E46" i="4"/>
  <c r="E39" i="4"/>
  <c r="E40" i="4"/>
  <c r="E41" i="4"/>
  <c r="E42" i="4"/>
  <c r="E43" i="4"/>
  <c r="E38" i="4"/>
  <c r="E31" i="4"/>
  <c r="E32" i="4"/>
  <c r="E33" i="4"/>
  <c r="E34" i="4"/>
  <c r="E35" i="4"/>
  <c r="E30" i="4"/>
  <c r="L24" i="4" l="1"/>
  <c r="D109" i="4" s="1"/>
  <c r="G24" i="4"/>
  <c r="C109" i="4" s="1"/>
  <c r="L23" i="4"/>
  <c r="D108" i="4" s="1"/>
  <c r="G23" i="4"/>
  <c r="C108" i="4" s="1"/>
  <c r="E108" i="4" s="1"/>
  <c r="G108" i="4" s="1"/>
  <c r="L22" i="4"/>
  <c r="D107" i="4" s="1"/>
  <c r="G22" i="4"/>
  <c r="C107" i="4" s="1"/>
  <c r="L21" i="4"/>
  <c r="D106" i="4" s="1"/>
  <c r="G21" i="4"/>
  <c r="C106" i="4" s="1"/>
  <c r="E106" i="4" s="1"/>
  <c r="G106" i="4" s="1"/>
  <c r="L20" i="4"/>
  <c r="D105" i="4" s="1"/>
  <c r="G20" i="4"/>
  <c r="C105" i="4" s="1"/>
  <c r="L19" i="4"/>
  <c r="D104" i="4" s="1"/>
  <c r="G19" i="4"/>
  <c r="C104" i="4" s="1"/>
  <c r="E104" i="4" s="1"/>
  <c r="G104" i="4" s="1"/>
  <c r="L16" i="4"/>
  <c r="D101" i="4" s="1"/>
  <c r="G16" i="4"/>
  <c r="C101" i="4" s="1"/>
  <c r="L15" i="4"/>
  <c r="D100" i="4" s="1"/>
  <c r="G15" i="4"/>
  <c r="C100" i="4" s="1"/>
  <c r="E100" i="4" s="1"/>
  <c r="G100" i="4" s="1"/>
  <c r="L14" i="4"/>
  <c r="D99" i="4" s="1"/>
  <c r="G14" i="4"/>
  <c r="L13" i="4"/>
  <c r="D98" i="4" s="1"/>
  <c r="G13" i="4"/>
  <c r="C98" i="4" s="1"/>
  <c r="E98" i="4" s="1"/>
  <c r="G98" i="4" s="1"/>
  <c r="L12" i="4"/>
  <c r="D97" i="4" s="1"/>
  <c r="G12" i="4"/>
  <c r="L11" i="4"/>
  <c r="D96" i="4" s="1"/>
  <c r="G11" i="4"/>
  <c r="C96" i="4" s="1"/>
  <c r="L4" i="4"/>
  <c r="D89" i="4" s="1"/>
  <c r="L5" i="4"/>
  <c r="D90" i="4" s="1"/>
  <c r="L6" i="4"/>
  <c r="D91" i="4" s="1"/>
  <c r="L7" i="4"/>
  <c r="D92" i="4" s="1"/>
  <c r="L8" i="4"/>
  <c r="D93" i="4" s="1"/>
  <c r="L3" i="4"/>
  <c r="D88" i="4" s="1"/>
  <c r="G4" i="4"/>
  <c r="C89" i="4" s="1"/>
  <c r="G5" i="4"/>
  <c r="C90" i="4" s="1"/>
  <c r="G6" i="4"/>
  <c r="C91" i="4" s="1"/>
  <c r="G7" i="4"/>
  <c r="C92" i="4" s="1"/>
  <c r="G8" i="4"/>
  <c r="C93" i="4" s="1"/>
  <c r="G3" i="4"/>
  <c r="C88" i="4" s="1"/>
  <c r="E105" i="4" l="1"/>
  <c r="G105" i="4" s="1"/>
  <c r="E107" i="4"/>
  <c r="G107" i="4" s="1"/>
  <c r="E109" i="4"/>
  <c r="G109" i="4" s="1"/>
  <c r="E101" i="4"/>
  <c r="G101" i="4" s="1"/>
  <c r="E96" i="4"/>
  <c r="G96" i="4" s="1"/>
  <c r="E93" i="4"/>
  <c r="G93" i="4" s="1"/>
  <c r="E92" i="4"/>
  <c r="G92" i="4" s="1"/>
  <c r="E91" i="4"/>
  <c r="G91" i="4" s="1"/>
  <c r="E90" i="4"/>
  <c r="G90" i="4" s="1"/>
  <c r="E89" i="4"/>
  <c r="G89" i="4" s="1"/>
  <c r="E88" i="4"/>
  <c r="G88" i="4" s="1"/>
  <c r="M12" i="4"/>
  <c r="C97" i="4"/>
  <c r="E97" i="4" s="1"/>
  <c r="G97" i="4" s="1"/>
  <c r="M14" i="4"/>
  <c r="C99" i="4"/>
  <c r="E99" i="4" s="1"/>
  <c r="G99" i="4" s="1"/>
  <c r="M15" i="4"/>
  <c r="M23" i="4"/>
  <c r="M11" i="4"/>
  <c r="O14" i="4"/>
  <c r="M16" i="4"/>
  <c r="M20" i="4"/>
  <c r="M22" i="4"/>
  <c r="M24" i="4"/>
  <c r="O11" i="4"/>
  <c r="M13" i="4"/>
  <c r="O16" i="4"/>
  <c r="O20" i="4"/>
  <c r="O22" i="4"/>
  <c r="O24" i="4"/>
  <c r="O13" i="4"/>
  <c r="M19" i="4"/>
  <c r="M21" i="4"/>
  <c r="O12" i="4"/>
  <c r="O15" i="4"/>
  <c r="O19" i="4"/>
  <c r="O21" i="4"/>
  <c r="O23" i="4"/>
  <c r="X14" i="4"/>
  <c r="AC23" i="4"/>
  <c r="AC21" i="4"/>
  <c r="AC19" i="4"/>
  <c r="AC15" i="4"/>
  <c r="AC13" i="4"/>
  <c r="AC11" i="4"/>
  <c r="O8" i="4"/>
  <c r="AC7" i="4"/>
  <c r="O7" i="4"/>
  <c r="O6" i="4"/>
  <c r="AC5" i="4"/>
  <c r="X5" i="4"/>
  <c r="O5" i="4"/>
  <c r="O4" i="4"/>
  <c r="AC3" i="4"/>
  <c r="X13" i="4" s="1"/>
  <c r="X3" i="4"/>
  <c r="O3" i="4"/>
  <c r="G77" i="4" l="1"/>
  <c r="G71" i="4"/>
  <c r="G67" i="4"/>
  <c r="G63" i="4"/>
  <c r="G80" i="4"/>
  <c r="G76" i="4"/>
  <c r="G70" i="4"/>
  <c r="G60" i="4"/>
  <c r="G64" i="4"/>
  <c r="G79" i="4"/>
  <c r="G75" i="4"/>
  <c r="G69" i="4"/>
  <c r="G61" i="4"/>
  <c r="G59" i="4"/>
  <c r="G78" i="4"/>
  <c r="G72" i="4"/>
  <c r="G68" i="4"/>
  <c r="G62" i="4"/>
  <c r="U3" i="4"/>
  <c r="X6" i="4"/>
  <c r="M8" i="4"/>
  <c r="M7" i="4"/>
  <c r="M6" i="4"/>
  <c r="M5" i="4"/>
  <c r="M4" i="4"/>
  <c r="M3" i="4"/>
  <c r="X7" i="4"/>
  <c r="X9" i="4" s="1"/>
  <c r="X10" i="4" s="1"/>
  <c r="T3" i="4"/>
  <c r="X8" i="4"/>
  <c r="Q62" i="4" l="1"/>
  <c r="T63" i="4"/>
  <c r="Q63" i="4"/>
  <c r="T60" i="4"/>
  <c r="Q60" i="4"/>
  <c r="Q64" i="4"/>
  <c r="T64" i="4" s="1"/>
  <c r="Q61" i="4"/>
  <c r="Q59" i="4"/>
  <c r="T59" i="4" s="1"/>
  <c r="F77" i="4"/>
  <c r="H77" i="4" s="1"/>
  <c r="F71" i="4"/>
  <c r="H71" i="4" s="1"/>
  <c r="F67" i="4"/>
  <c r="H67" i="4" s="1"/>
  <c r="F63" i="4"/>
  <c r="H63" i="4" s="1"/>
  <c r="F75" i="4"/>
  <c r="H75" i="4" s="1"/>
  <c r="F59" i="4"/>
  <c r="H59" i="4" s="1"/>
  <c r="F80" i="4"/>
  <c r="H80" i="4" s="1"/>
  <c r="F76" i="4"/>
  <c r="H76" i="4" s="1"/>
  <c r="F70" i="4"/>
  <c r="H70" i="4" s="1"/>
  <c r="F62" i="4"/>
  <c r="H62" i="4" s="1"/>
  <c r="F78" i="4"/>
  <c r="H78" i="4" s="1"/>
  <c r="F72" i="4"/>
  <c r="H72" i="4" s="1"/>
  <c r="F68" i="4"/>
  <c r="H68" i="4" s="1"/>
  <c r="F60" i="4"/>
  <c r="H60" i="4" s="1"/>
  <c r="F64" i="4"/>
  <c r="H64" i="4" s="1"/>
  <c r="F79" i="4"/>
  <c r="H79" i="4" s="1"/>
  <c r="F69" i="4"/>
  <c r="H69" i="4" s="1"/>
  <c r="F61" i="4"/>
  <c r="H61" i="4" s="1"/>
  <c r="Q22" i="4"/>
  <c r="D49" i="4" s="1"/>
  <c r="Q20" i="4"/>
  <c r="C47" i="4" s="1"/>
  <c r="Q13" i="4"/>
  <c r="C40" i="4" s="1"/>
  <c r="Q6" i="4"/>
  <c r="C33" i="4" s="1"/>
  <c r="Q19" i="4"/>
  <c r="C46" i="4" s="1"/>
  <c r="Q11" i="4"/>
  <c r="C38" i="4" s="1"/>
  <c r="Q8" i="4"/>
  <c r="D35" i="4" s="1"/>
  <c r="Q23" i="4"/>
  <c r="C50" i="4" s="1"/>
  <c r="Q15" i="4"/>
  <c r="C42" i="4" s="1"/>
  <c r="Q4" i="4"/>
  <c r="D31" i="4" s="1"/>
  <c r="Q21" i="4"/>
  <c r="C48" i="4" s="1"/>
  <c r="Q14" i="4"/>
  <c r="D41" i="4" s="1"/>
  <c r="Q5" i="4"/>
  <c r="D32" i="4" s="1"/>
  <c r="Q24" i="4"/>
  <c r="C51" i="4" s="1"/>
  <c r="Q7" i="4"/>
  <c r="D34" i="4" s="1"/>
  <c r="Q16" i="4"/>
  <c r="C43" i="4" s="1"/>
  <c r="Q12" i="4"/>
  <c r="D39" i="4" s="1"/>
  <c r="Q3" i="4"/>
  <c r="C30" i="4" s="1"/>
  <c r="P7" i="4"/>
  <c r="N11" i="4"/>
  <c r="N19" i="4"/>
  <c r="P15" i="4"/>
  <c r="N20" i="4"/>
  <c r="N14" i="4"/>
  <c r="P24" i="4"/>
  <c r="N13" i="4"/>
  <c r="N21" i="4"/>
  <c r="P19" i="4"/>
  <c r="N12" i="4"/>
  <c r="N22" i="4"/>
  <c r="P16" i="4"/>
  <c r="N15" i="4"/>
  <c r="P23" i="4"/>
  <c r="N16" i="4"/>
  <c r="P11" i="4"/>
  <c r="P22" i="4"/>
  <c r="P13" i="4"/>
  <c r="N23" i="4"/>
  <c r="P21" i="4"/>
  <c r="P14" i="4"/>
  <c r="N24" i="4"/>
  <c r="P20" i="4"/>
  <c r="P12" i="4"/>
  <c r="N8" i="4"/>
  <c r="X11" i="4"/>
  <c r="P4" i="4"/>
  <c r="P6" i="4"/>
  <c r="N7" i="4"/>
  <c r="P5" i="4"/>
  <c r="N6" i="4"/>
  <c r="N3" i="4"/>
  <c r="N4" i="4"/>
  <c r="P3" i="4"/>
  <c r="N5" i="4"/>
  <c r="P8" i="4"/>
  <c r="R61" i="4" l="1"/>
  <c r="U61" i="4"/>
  <c r="V60" i="4"/>
  <c r="R62" i="4"/>
  <c r="U62" i="4"/>
  <c r="R64" i="4"/>
  <c r="U64" i="4"/>
  <c r="V64" i="4" s="1"/>
  <c r="T61" i="4"/>
  <c r="V61" i="4" s="1"/>
  <c r="R59" i="4"/>
  <c r="U59" i="4"/>
  <c r="V59" i="4" s="1"/>
  <c r="R60" i="4"/>
  <c r="U60" i="4"/>
  <c r="R63" i="4"/>
  <c r="U63" i="4"/>
  <c r="V63" i="4" s="1"/>
  <c r="T62" i="4"/>
  <c r="V62" i="4" s="1"/>
  <c r="C49" i="4"/>
  <c r="D33" i="4"/>
  <c r="H32" i="4" s="1"/>
  <c r="C35" i="4"/>
  <c r="D42" i="4"/>
  <c r="G43" i="4"/>
  <c r="D48" i="4"/>
  <c r="H48" i="4" s="1"/>
  <c r="D43" i="4"/>
  <c r="C41" i="4"/>
  <c r="G41" i="4" s="1"/>
  <c r="C34" i="4"/>
  <c r="C32" i="4"/>
  <c r="G33" i="4" s="1"/>
  <c r="G48" i="4"/>
  <c r="G49" i="4"/>
  <c r="G47" i="4"/>
  <c r="G46" i="4"/>
  <c r="G50" i="4"/>
  <c r="G51" i="4"/>
  <c r="H34" i="4"/>
  <c r="H35" i="4"/>
  <c r="D47" i="4"/>
  <c r="D46" i="4"/>
  <c r="G35" i="4"/>
  <c r="C39" i="4"/>
  <c r="G39" i="4" s="1"/>
  <c r="D38" i="4"/>
  <c r="D50" i="4"/>
  <c r="D30" i="4"/>
  <c r="H31" i="4" s="1"/>
  <c r="G42" i="4"/>
  <c r="D51" i="4"/>
  <c r="D40" i="4"/>
  <c r="C31" i="4"/>
  <c r="G30" i="4" s="1"/>
  <c r="L4" i="1"/>
  <c r="L5" i="1"/>
  <c r="L6" i="1"/>
  <c r="L7" i="1"/>
  <c r="L8" i="1"/>
  <c r="K4" i="1"/>
  <c r="K5" i="1"/>
  <c r="K6" i="1"/>
  <c r="K7" i="1"/>
  <c r="K8" i="1"/>
  <c r="G32" i="4" l="1"/>
  <c r="G34" i="4"/>
  <c r="I63" i="4" s="1"/>
  <c r="J63" i="4" s="1"/>
  <c r="H49" i="4"/>
  <c r="H33" i="4"/>
  <c r="I62" i="4" s="1"/>
  <c r="J62" i="4" s="1"/>
  <c r="I61" i="4"/>
  <c r="J61" i="4" s="1"/>
  <c r="H43" i="4"/>
  <c r="I72" i="4" s="1"/>
  <c r="J72" i="4" s="1"/>
  <c r="G31" i="4"/>
  <c r="G38" i="4"/>
  <c r="H42" i="4"/>
  <c r="I71" i="4" s="1"/>
  <c r="J71" i="4" s="1"/>
  <c r="G40" i="4"/>
  <c r="I60" i="4"/>
  <c r="J60" i="4" s="1"/>
  <c r="H41" i="4"/>
  <c r="I70" i="4" s="1"/>
  <c r="J70" i="4" s="1"/>
  <c r="H40" i="4"/>
  <c r="H39" i="4"/>
  <c r="I68" i="4" s="1"/>
  <c r="J68" i="4" s="1"/>
  <c r="H38" i="4"/>
  <c r="H47" i="4"/>
  <c r="I76" i="4" s="1"/>
  <c r="J76" i="4" s="1"/>
  <c r="H46" i="4"/>
  <c r="I75" i="4" s="1"/>
  <c r="J75" i="4" s="1"/>
  <c r="I64" i="4"/>
  <c r="J64" i="4" s="1"/>
  <c r="I78" i="4"/>
  <c r="J78" i="4" s="1"/>
  <c r="H50" i="4"/>
  <c r="I79" i="4" s="1"/>
  <c r="J79" i="4" s="1"/>
  <c r="H51" i="4"/>
  <c r="I80" i="4" s="1"/>
  <c r="J80" i="4" s="1"/>
  <c r="H30" i="4"/>
  <c r="I59" i="4" s="1"/>
  <c r="J59" i="4" s="1"/>
  <c r="I77" i="4"/>
  <c r="J77" i="4" s="1"/>
  <c r="J27" i="2"/>
  <c r="K27" i="2" s="1"/>
  <c r="J25" i="2"/>
  <c r="K25" i="2" s="1"/>
  <c r="Q3" i="2"/>
  <c r="P20" i="2"/>
  <c r="P23" i="2"/>
  <c r="P22" i="2"/>
  <c r="P21" i="2"/>
  <c r="H50" i="1"/>
  <c r="K50" i="1" s="1"/>
  <c r="L50" i="1" s="1"/>
  <c r="E50" i="1"/>
  <c r="I50" i="1" s="1"/>
  <c r="J50" i="1" s="1"/>
  <c r="H49" i="1"/>
  <c r="K49" i="1" s="1"/>
  <c r="L49" i="1" s="1"/>
  <c r="E49" i="1"/>
  <c r="I49" i="1" s="1"/>
  <c r="J49" i="1" s="1"/>
  <c r="H48" i="1"/>
  <c r="K48" i="1" s="1"/>
  <c r="L48" i="1" s="1"/>
  <c r="E48" i="1"/>
  <c r="I48" i="1" s="1"/>
  <c r="J48" i="1" s="1"/>
  <c r="H47" i="1"/>
  <c r="K47" i="1" s="1"/>
  <c r="L47" i="1" s="1"/>
  <c r="E47" i="1"/>
  <c r="I47" i="1" s="1"/>
  <c r="J47" i="1" s="1"/>
  <c r="H46" i="1"/>
  <c r="K46" i="1" s="1"/>
  <c r="L46" i="1" s="1"/>
  <c r="E46" i="1"/>
  <c r="I46" i="1" s="1"/>
  <c r="J46" i="1" s="1"/>
  <c r="K45" i="1"/>
  <c r="L45" i="1" s="1"/>
  <c r="H45" i="1"/>
  <c r="E45" i="1"/>
  <c r="I45" i="1" s="1"/>
  <c r="J45" i="1" s="1"/>
  <c r="I42" i="1"/>
  <c r="J42" i="1" s="1"/>
  <c r="H42" i="1"/>
  <c r="K42" i="1" s="1"/>
  <c r="L42" i="1" s="1"/>
  <c r="E42" i="1"/>
  <c r="H41" i="1"/>
  <c r="K41" i="1" s="1"/>
  <c r="L41" i="1" s="1"/>
  <c r="E41" i="1"/>
  <c r="I41" i="1" s="1"/>
  <c r="J41" i="1" s="1"/>
  <c r="H40" i="1"/>
  <c r="K40" i="1" s="1"/>
  <c r="L40" i="1" s="1"/>
  <c r="E40" i="1"/>
  <c r="I40" i="1" s="1"/>
  <c r="J40" i="1" s="1"/>
  <c r="H39" i="1"/>
  <c r="K39" i="1" s="1"/>
  <c r="L39" i="1" s="1"/>
  <c r="E39" i="1"/>
  <c r="I39" i="1" s="1"/>
  <c r="J39" i="1" s="1"/>
  <c r="H38" i="1"/>
  <c r="K38" i="1" s="1"/>
  <c r="L38" i="1" s="1"/>
  <c r="E38" i="1"/>
  <c r="I38" i="1" s="1"/>
  <c r="J38" i="1" s="1"/>
  <c r="K37" i="1"/>
  <c r="L37" i="1" s="1"/>
  <c r="H37" i="1"/>
  <c r="E37" i="1"/>
  <c r="I37" i="1" s="1"/>
  <c r="J37" i="1" s="1"/>
  <c r="H34" i="1"/>
  <c r="K34" i="1" s="1"/>
  <c r="L34" i="1" s="1"/>
  <c r="E34" i="1"/>
  <c r="I34" i="1" s="1"/>
  <c r="J34" i="1" s="1"/>
  <c r="K33" i="1"/>
  <c r="L33" i="1" s="1"/>
  <c r="H33" i="1"/>
  <c r="E33" i="1"/>
  <c r="I33" i="1" s="1"/>
  <c r="J33" i="1" s="1"/>
  <c r="I32" i="1"/>
  <c r="J32" i="1" s="1"/>
  <c r="H32" i="1"/>
  <c r="K32" i="1" s="1"/>
  <c r="L32" i="1" s="1"/>
  <c r="E32" i="1"/>
  <c r="K31" i="1"/>
  <c r="L31" i="1" s="1"/>
  <c r="H31" i="1"/>
  <c r="E31" i="1"/>
  <c r="I31" i="1" s="1"/>
  <c r="J31" i="1" s="1"/>
  <c r="H30" i="1"/>
  <c r="K30" i="1" s="1"/>
  <c r="L30" i="1" s="1"/>
  <c r="E30" i="1"/>
  <c r="I30" i="1" s="1"/>
  <c r="J30" i="1" s="1"/>
  <c r="K29" i="1"/>
  <c r="L29" i="1" s="1"/>
  <c r="H29" i="1"/>
  <c r="E29" i="1"/>
  <c r="I29" i="1" s="1"/>
  <c r="J29" i="1" s="1"/>
  <c r="J22" i="2"/>
  <c r="K22" i="2" s="1"/>
  <c r="H32" i="2"/>
  <c r="J32" i="2" s="1"/>
  <c r="K32" i="2" s="1"/>
  <c r="C32" i="2"/>
  <c r="E32" i="2" s="1"/>
  <c r="F32" i="2" s="1"/>
  <c r="H31" i="2"/>
  <c r="J31" i="2" s="1"/>
  <c r="K31" i="2" s="1"/>
  <c r="C31" i="2"/>
  <c r="E31" i="2" s="1"/>
  <c r="F31" i="2" s="1"/>
  <c r="H30" i="2"/>
  <c r="J30" i="2" s="1"/>
  <c r="K30" i="2" s="1"/>
  <c r="C30" i="2"/>
  <c r="E30" i="2" s="1"/>
  <c r="F30" i="2" s="1"/>
  <c r="H27" i="2"/>
  <c r="C27" i="2"/>
  <c r="E27" i="2" s="1"/>
  <c r="F27" i="2" s="1"/>
  <c r="H26" i="2"/>
  <c r="J26" i="2" s="1"/>
  <c r="K26" i="2" s="1"/>
  <c r="C26" i="2"/>
  <c r="E26" i="2" s="1"/>
  <c r="F26" i="2" s="1"/>
  <c r="H25" i="2"/>
  <c r="C25" i="2"/>
  <c r="E25" i="2" s="1"/>
  <c r="F25" i="2" s="1"/>
  <c r="H22" i="2"/>
  <c r="C22" i="2"/>
  <c r="E22" i="2" s="1"/>
  <c r="F22" i="2" s="1"/>
  <c r="H21" i="2"/>
  <c r="J21" i="2" s="1"/>
  <c r="K21" i="2" s="1"/>
  <c r="C21" i="2"/>
  <c r="E21" i="2" s="1"/>
  <c r="F21" i="2" s="1"/>
  <c r="H20" i="2"/>
  <c r="J20" i="2" s="1"/>
  <c r="K20" i="2" s="1"/>
  <c r="C20" i="2"/>
  <c r="E20" i="2" s="1"/>
  <c r="F20" i="2" s="1"/>
  <c r="O3" i="1"/>
  <c r="L24" i="1"/>
  <c r="L23" i="1"/>
  <c r="L22" i="1"/>
  <c r="L21" i="1"/>
  <c r="L20" i="1"/>
  <c r="L19" i="1"/>
  <c r="L16" i="1"/>
  <c r="L15" i="1"/>
  <c r="L14" i="1"/>
  <c r="L13" i="1"/>
  <c r="L12" i="1"/>
  <c r="L11" i="1"/>
  <c r="J24" i="1"/>
  <c r="J23" i="1"/>
  <c r="J22" i="1"/>
  <c r="J21" i="1"/>
  <c r="J20" i="1"/>
  <c r="J19" i="1"/>
  <c r="J16" i="1"/>
  <c r="J15" i="1"/>
  <c r="J14" i="1"/>
  <c r="J13" i="1"/>
  <c r="J12" i="1"/>
  <c r="J11" i="1"/>
  <c r="J4" i="1"/>
  <c r="J5" i="1"/>
  <c r="J6" i="1"/>
  <c r="J7" i="1"/>
  <c r="J8" i="1"/>
  <c r="J3" i="1"/>
  <c r="H24" i="1"/>
  <c r="K24" i="1" s="1"/>
  <c r="E24" i="1"/>
  <c r="I24" i="1" s="1"/>
  <c r="H23" i="1"/>
  <c r="K23" i="1" s="1"/>
  <c r="E23" i="1"/>
  <c r="I23" i="1" s="1"/>
  <c r="W23" i="1"/>
  <c r="H22" i="1"/>
  <c r="K22" i="1" s="1"/>
  <c r="E22" i="1"/>
  <c r="I22" i="1" s="1"/>
  <c r="H21" i="1"/>
  <c r="K21" i="1" s="1"/>
  <c r="E21" i="1"/>
  <c r="I21" i="1" s="1"/>
  <c r="W21" i="1"/>
  <c r="H20" i="1"/>
  <c r="K20" i="1" s="1"/>
  <c r="E20" i="1"/>
  <c r="I20" i="1" s="1"/>
  <c r="H19" i="1"/>
  <c r="K19" i="1" s="1"/>
  <c r="E19" i="1"/>
  <c r="I19" i="1" s="1"/>
  <c r="W19" i="1"/>
  <c r="H16" i="1"/>
  <c r="K16" i="1" s="1"/>
  <c r="E16" i="1"/>
  <c r="I16" i="1" s="1"/>
  <c r="H15" i="1"/>
  <c r="K15" i="1" s="1"/>
  <c r="E15" i="1"/>
  <c r="I15" i="1" s="1"/>
  <c r="H14" i="1"/>
  <c r="K14" i="1" s="1"/>
  <c r="E14" i="1"/>
  <c r="I14" i="1" s="1"/>
  <c r="I13" i="1"/>
  <c r="H13" i="1"/>
  <c r="K13" i="1" s="1"/>
  <c r="E13" i="1"/>
  <c r="H12" i="1"/>
  <c r="K12" i="1" s="1"/>
  <c r="E12" i="1"/>
  <c r="I12" i="1" s="1"/>
  <c r="H11" i="1"/>
  <c r="K11" i="1" s="1"/>
  <c r="E11" i="1"/>
  <c r="I11" i="1" s="1"/>
  <c r="W15" i="1"/>
  <c r="W13" i="1"/>
  <c r="W11" i="1"/>
  <c r="I69" i="4" l="1"/>
  <c r="J69" i="4" s="1"/>
  <c r="I67" i="4"/>
  <c r="J67" i="4" s="1"/>
  <c r="H4" i="1"/>
  <c r="H5" i="1"/>
  <c r="H6" i="1"/>
  <c r="H7" i="1"/>
  <c r="H8" i="1"/>
  <c r="H3" i="1"/>
  <c r="K3" i="1" s="1"/>
  <c r="L3" i="1" s="1"/>
  <c r="E4" i="1"/>
  <c r="I4" i="1" s="1"/>
  <c r="E5" i="1"/>
  <c r="I5" i="1" s="1"/>
  <c r="E6" i="1"/>
  <c r="I6" i="1" s="1"/>
  <c r="E7" i="1"/>
  <c r="I7" i="1" s="1"/>
  <c r="E8" i="1"/>
  <c r="I8" i="1" s="1"/>
  <c r="E3" i="1"/>
  <c r="I3" i="1" s="1"/>
  <c r="Q2" i="2"/>
  <c r="Q5" i="2"/>
  <c r="Q6" i="2" s="1"/>
  <c r="Q4" i="2"/>
  <c r="C11" i="2" s="1"/>
  <c r="E11" i="2" s="1"/>
  <c r="F11" i="2" s="1"/>
  <c r="W5" i="1"/>
  <c r="W7" i="1"/>
  <c r="W3" i="1"/>
  <c r="R12" i="1" s="1"/>
  <c r="R5" i="1"/>
  <c r="R3" i="1"/>
  <c r="H10" i="2" l="1"/>
  <c r="J10" i="2" s="1"/>
  <c r="K10" i="2" s="1"/>
  <c r="H11" i="2"/>
  <c r="R7" i="1"/>
  <c r="N3" i="1"/>
  <c r="R6" i="1"/>
  <c r="R8" i="1" s="1"/>
  <c r="R9" i="1" s="1"/>
  <c r="C5" i="2"/>
  <c r="C4" i="2"/>
  <c r="H14" i="2"/>
  <c r="K14" i="2" s="1"/>
  <c r="C6" i="2"/>
  <c r="H6" i="2"/>
  <c r="K6" i="2" s="1"/>
  <c r="H4" i="2"/>
  <c r="K4" i="2" s="1"/>
  <c r="H5" i="2"/>
  <c r="J5" i="2" s="1"/>
  <c r="K5" i="2" s="1"/>
  <c r="C16" i="2"/>
  <c r="E16" i="2" s="1"/>
  <c r="F16" i="2" s="1"/>
  <c r="C15" i="2"/>
  <c r="E15" i="2" s="1"/>
  <c r="F15" i="2" s="1"/>
  <c r="H16" i="2"/>
  <c r="K16" i="2" s="1"/>
  <c r="H9" i="2"/>
  <c r="K9" i="2" s="1"/>
  <c r="C14" i="2"/>
  <c r="E14" i="2" s="1"/>
  <c r="F14" i="2" s="1"/>
  <c r="H15" i="2"/>
  <c r="J15" i="2" s="1"/>
  <c r="K15" i="2" s="1"/>
  <c r="C10" i="2"/>
  <c r="C9" i="2"/>
  <c r="K11" i="2"/>
  <c r="E4" i="2" l="1"/>
  <c r="F4" i="2" s="1"/>
  <c r="E5" i="2"/>
  <c r="F5" i="2" s="1"/>
  <c r="E6" i="2"/>
  <c r="F6" i="2" s="1"/>
  <c r="R10" i="1"/>
  <c r="E9" i="2"/>
  <c r="F9" i="2" s="1"/>
  <c r="E10" i="2"/>
  <c r="F10" i="2" s="1"/>
  <c r="X3" i="5" l="1"/>
  <c r="Y3" i="5" s="1"/>
  <c r="W3" i="5"/>
  <c r="Z3" i="5" l="1"/>
  <c r="AA3" i="5"/>
  <c r="W4" i="5"/>
  <c r="Y7" i="6"/>
  <c r="Z7" i="6"/>
  <c r="Y7" i="8"/>
  <c r="Z7" i="8"/>
  <c r="W4" i="6"/>
  <c r="Z7" i="5"/>
  <c r="Y7" i="5"/>
  <c r="Z8" i="8"/>
  <c r="Y8" i="8"/>
  <c r="X7" i="5"/>
  <c r="AA7" i="5"/>
  <c r="V7" i="5"/>
  <c r="W7" i="5"/>
  <c r="Z6" i="6"/>
  <c r="Y6" i="6"/>
  <c r="Y4" i="8"/>
  <c r="Z4" i="8"/>
  <c r="Z5" i="8"/>
  <c r="Y5" i="8"/>
  <c r="W6" i="8"/>
  <c r="X7" i="8"/>
  <c r="AA7" i="8"/>
  <c r="V7" i="8"/>
  <c r="W7" i="8"/>
  <c r="W5" i="6"/>
  <c r="Z8" i="6"/>
  <c r="Y8" i="6"/>
  <c r="Z4" i="5"/>
  <c r="AA4" i="5"/>
  <c r="V4" i="5"/>
  <c r="X4" i="5"/>
  <c r="Y4" i="5"/>
  <c r="Y4" i="6"/>
  <c r="AA4" i="6"/>
  <c r="V4" i="6"/>
  <c r="X4" i="6"/>
  <c r="Z4" i="6"/>
  <c r="Z5" i="6"/>
  <c r="AA5" i="6"/>
  <c r="V5" i="6"/>
  <c r="X5" i="6"/>
  <c r="Y5" i="6"/>
  <c r="X8" i="8"/>
  <c r="AA8" i="8"/>
  <c r="V8" i="8"/>
  <c r="W8" i="8"/>
  <c r="W8" i="5"/>
  <c r="Y6" i="8"/>
  <c r="AA6" i="8"/>
  <c r="V6" i="8"/>
  <c r="X6" i="8"/>
  <c r="Z6" i="8"/>
  <c r="X8" i="6"/>
  <c r="AA8" i="6"/>
  <c r="V8" i="6"/>
  <c r="W8" i="6"/>
  <c r="W6" i="5"/>
  <c r="X4" i="8"/>
  <c r="AA4" i="8"/>
  <c r="V4" i="8"/>
  <c r="W4" i="8"/>
  <c r="W5" i="5"/>
  <c r="Y5" i="5"/>
  <c r="AA5" i="5"/>
  <c r="V5" i="5"/>
  <c r="X5" i="5"/>
  <c r="Z5" i="5"/>
  <c r="X5" i="8"/>
  <c r="AA5" i="8"/>
  <c r="V5" i="8"/>
  <c r="W5" i="8"/>
  <c r="X7" i="6"/>
  <c r="AA7" i="6"/>
  <c r="V7" i="6"/>
  <c r="W7" i="6"/>
  <c r="Y8" i="5"/>
  <c r="AA8" i="5"/>
  <c r="V8" i="5"/>
  <c r="X8" i="5"/>
  <c r="Z8" i="5"/>
  <c r="Z6" i="5"/>
  <c r="AA6" i="5"/>
  <c r="V6" i="5"/>
  <c r="X6" i="5"/>
  <c r="Y6" i="5"/>
  <c r="X6" i="6"/>
  <c r="AA6" i="6"/>
  <c r="V6" i="6"/>
  <c r="W6" i="6"/>
</calcChain>
</file>

<file path=xl/sharedStrings.xml><?xml version="1.0" encoding="utf-8"?>
<sst xmlns="http://schemas.openxmlformats.org/spreadsheetml/2006/main" count="2001" uniqueCount="108">
  <si>
    <t>b</t>
  </si>
  <si>
    <t>h</t>
  </si>
  <si>
    <t>mm</t>
  </si>
  <si>
    <t>N/mm^2</t>
  </si>
  <si>
    <t>TRAVE ESTERNA</t>
  </si>
  <si>
    <t>campata 1</t>
  </si>
  <si>
    <t>mm^2</t>
  </si>
  <si>
    <t>$A_s$</t>
  </si>
  <si>
    <t>$A_s-A_s^{comp}$</t>
  </si>
  <si>
    <t>$\rho_{comp}$</t>
  </si>
  <si>
    <t>$f_{yk}$</t>
  </si>
  <si>
    <t>$\rho_{min}$</t>
  </si>
  <si>
    <t>Nelle zone dissipative</t>
  </si>
  <si>
    <t>d</t>
  </si>
  <si>
    <t>sezione</t>
  </si>
  <si>
    <t>$A_{sup}$</t>
  </si>
  <si>
    <t>$A_{inf}$</t>
  </si>
  <si>
    <t>$M^+_{max}$</t>
  </si>
  <si>
    <t>$M^-_{max}$</t>
  </si>
  <si>
    <t>TELAIO 1</t>
  </si>
  <si>
    <t>TELAIO 2</t>
  </si>
  <si>
    <t>Campata</t>
  </si>
  <si>
    <t>$A^+_s$</t>
  </si>
  <si>
    <t>KNm</t>
  </si>
  <si>
    <t>fyk</t>
  </si>
  <si>
    <t>$\phi$</t>
  </si>
  <si>
    <t>N$\phi$</t>
  </si>
  <si>
    <t>-</t>
  </si>
  <si>
    <t>$As^+_{min}$</t>
  </si>
  <si>
    <t>$As^-_{min}$</t>
  </si>
  <si>
    <t>TELAIO 3</t>
  </si>
  <si>
    <t>f_ctm</t>
  </si>
  <si>
    <t>f_ck</t>
  </si>
  <si>
    <t>$As^+$</t>
  </si>
  <si>
    <t>$As^-$</t>
  </si>
  <si>
    <t>$A^-_s$</t>
  </si>
  <si>
    <t>mezz</t>
  </si>
  <si>
    <t>TEL. 1</t>
  </si>
  <si>
    <t>TEL.2</t>
  </si>
  <si>
    <t>TEL. 2</t>
  </si>
  <si>
    <t>Camp.</t>
  </si>
  <si>
    <t>A (mm^2)</t>
  </si>
  <si>
    <t>SEZ.</t>
  </si>
  <si>
    <t>start</t>
  </si>
  <si>
    <t>end</t>
  </si>
  <si>
    <t>start/end</t>
  </si>
  <si>
    <t>$\rho_{max}$</t>
  </si>
  <si>
    <t>$\rho_{inf}$</t>
  </si>
  <si>
    <t>$\rho_{sup}$</t>
  </si>
  <si>
    <t>A_S^{min}</t>
  </si>
  <si>
    <t>TRAVI COPERTURA</t>
  </si>
  <si>
    <t>TRAVI DI COPERTURA</t>
  </si>
  <si>
    <t>TRAVI D'INTERPIANO</t>
  </si>
  <si>
    <t>Assotto</t>
  </si>
  <si>
    <t>y</t>
  </si>
  <si>
    <t>fcd</t>
  </si>
  <si>
    <t>$f_{yd}$</t>
  </si>
  <si>
    <t>p (sisma)</t>
  </si>
  <si>
    <t>KN/m</t>
  </si>
  <si>
    <t>KN</t>
  </si>
  <si>
    <t>$M_u^-$</t>
  </si>
  <si>
    <t>$M_u^+}$</t>
  </si>
  <si>
    <t>L</t>
  </si>
  <si>
    <t>m</t>
  </si>
  <si>
    <t>V^+</t>
  </si>
  <si>
    <t>V^-</t>
  </si>
  <si>
    <t>TEL. 3</t>
  </si>
  <si>
    <t>Zona critica</t>
  </si>
  <si>
    <t>$\phi Staffe$</t>
  </si>
  <si>
    <t>s staffe</t>
  </si>
  <si>
    <t>$V_{Rsd}$</t>
  </si>
  <si>
    <t>$V_{Rcd}$</t>
  </si>
  <si>
    <t>$V_{Rd}$</t>
  </si>
  <si>
    <t>$V_{ED}$</t>
  </si>
  <si>
    <t>verifica passo</t>
  </si>
  <si>
    <t>CALCOLO TAGLIO SOLLECITANTE IN Capacity design</t>
  </si>
  <si>
    <t>VERIFICA A TAGLIO</t>
  </si>
  <si>
    <t>$\theta$</t>
  </si>
  <si>
    <t>[rad]</t>
  </si>
  <si>
    <t>[gradi]</t>
  </si>
  <si>
    <t>ZONE NON CRITICHE</t>
  </si>
  <si>
    <t>$\rho-\rho'$</t>
  </si>
  <si>
    <t>$\mu_{\phi}$</t>
  </si>
  <si>
    <t>VERIFICA DI DUTTILITA'  EU8</t>
  </si>
  <si>
    <t>a</t>
  </si>
  <si>
    <t>c</t>
  </si>
  <si>
    <t>Es</t>
  </si>
  <si>
    <t>$\delta$</t>
  </si>
  <si>
    <t>y1</t>
  </si>
  <si>
    <t>190,1</t>
  </si>
  <si>
    <t>P1</t>
  </si>
  <si>
    <t>P2</t>
  </si>
  <si>
    <t>P3</t>
  </si>
  <si>
    <t>P4</t>
  </si>
  <si>
    <t>carico distr. (sisma)</t>
  </si>
  <si>
    <r>
      <t>V</t>
    </r>
    <r>
      <rPr>
        <vertAlign val="superscript"/>
        <sz val="11"/>
        <color theme="1"/>
        <rFont val="Calibri"/>
        <family val="2"/>
        <scheme val="minor"/>
      </rPr>
      <t>-</t>
    </r>
  </si>
  <si>
    <r>
      <t>V</t>
    </r>
    <r>
      <rPr>
        <vertAlign val="superscript"/>
        <sz val="11"/>
        <color theme="1"/>
        <rFont val="Calibri"/>
        <family val="2"/>
        <scheme val="minor"/>
      </rPr>
      <t>+</t>
    </r>
  </si>
  <si>
    <t>passo</t>
  </si>
  <si>
    <t xml:space="preserve">Diametro </t>
  </si>
  <si>
    <r>
      <t>V</t>
    </r>
    <r>
      <rPr>
        <vertAlign val="subscript"/>
        <sz val="11"/>
        <color theme="1"/>
        <rFont val="Calibri"/>
        <family val="2"/>
        <scheme val="minor"/>
      </rPr>
      <t>Rsd</t>
    </r>
  </si>
  <si>
    <r>
      <t>V</t>
    </r>
    <r>
      <rPr>
        <vertAlign val="subscript"/>
        <sz val="11"/>
        <color theme="1"/>
        <rFont val="Calibri"/>
        <family val="2"/>
        <scheme val="minor"/>
      </rPr>
      <t>Rcd</t>
    </r>
  </si>
  <si>
    <r>
      <t>V</t>
    </r>
    <r>
      <rPr>
        <vertAlign val="subscript"/>
        <sz val="11"/>
        <color theme="1"/>
        <rFont val="Calibri"/>
        <family val="2"/>
        <scheme val="minor"/>
      </rPr>
      <t>Rd</t>
    </r>
  </si>
  <si>
    <r>
      <t>V</t>
    </r>
    <r>
      <rPr>
        <vertAlign val="subscript"/>
        <sz val="11"/>
        <color theme="1"/>
        <rFont val="Calibri"/>
        <family val="2"/>
        <scheme val="minor"/>
      </rPr>
      <t>ED</t>
    </r>
  </si>
  <si>
    <r>
      <t>Mu</t>
    </r>
    <r>
      <rPr>
        <vertAlign val="superscript"/>
        <sz val="11"/>
        <color theme="1"/>
        <rFont val="Calibri"/>
        <family val="2"/>
        <scheme val="minor"/>
      </rPr>
      <t>+</t>
    </r>
  </si>
  <si>
    <r>
      <t>Mu</t>
    </r>
    <r>
      <rPr>
        <vertAlign val="superscript"/>
        <sz val="11"/>
        <color theme="1"/>
        <rFont val="Calibri"/>
        <family val="2"/>
        <scheme val="minor"/>
      </rPr>
      <t>-</t>
    </r>
  </si>
  <si>
    <t>2,5</t>
  </si>
  <si>
    <t>θ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</si>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</sst>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/>
    <xf numFmtId="16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/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2" fillId="0" borderId="0" xfId="0" applyFont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e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54429</xdr:colOff>
      <xdr:row>94</xdr:row>
      <xdr:rowOff>95249</xdr:rowOff>
    </xdr:from>
    <xdr:to>
      <xdr:col>18</xdr:col>
      <xdr:colOff>462643</xdr:colOff>
      <xdr:row>94</xdr:row>
      <xdr:rowOff>95249</xdr:rowOff>
    </xdr:to>
    <xdr:cxnSp macro="">
      <xdr:nvCxnSpPr>
        <xdr:cNvPr id="3" name="Connettore 2 2">
          <a:extLst>
            <a:ext uri="{FF2B5EF4-FFF2-40B4-BE49-F238E27FC236}">
              <a16:creationId xmlns:a16="http://schemas.microsoft.com/office/drawing/2014/main" id="{F8EB724B-D54C-4349-9BA9-32F7F55DD11A}"/>
            </a:ext>
          </a:extLst>
        </xdr:cNvPr>
        <xdr:cNvCxnSpPr/>
      </xdr:nvCxnSpPr>
      <xdr:spPr>
        <a:xfrm>
          <a:off x="14736536" y="17294678"/>
          <a:ext cx="4082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68036</xdr:colOff>
      <xdr:row>95</xdr:row>
      <xdr:rowOff>81643</xdr:rowOff>
    </xdr:from>
    <xdr:to>
      <xdr:col>18</xdr:col>
      <xdr:colOff>476250</xdr:colOff>
      <xdr:row>95</xdr:row>
      <xdr:rowOff>81643</xdr:rowOff>
    </xdr:to>
    <xdr:cxnSp macro="">
      <xdr:nvCxnSpPr>
        <xdr:cNvPr id="4" name="Connettore 2 3">
          <a:extLst>
            <a:ext uri="{FF2B5EF4-FFF2-40B4-BE49-F238E27FC236}">
              <a16:creationId xmlns:a16="http://schemas.microsoft.com/office/drawing/2014/main" id="{5611B619-019C-4277-B2AB-AC9D2833826D}"/>
            </a:ext>
          </a:extLst>
        </xdr:cNvPr>
        <xdr:cNvCxnSpPr/>
      </xdr:nvCxnSpPr>
      <xdr:spPr>
        <a:xfrm>
          <a:off x="14750143" y="17471572"/>
          <a:ext cx="4082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68035</xdr:colOff>
      <xdr:row>96</xdr:row>
      <xdr:rowOff>81643</xdr:rowOff>
    </xdr:from>
    <xdr:to>
      <xdr:col>18</xdr:col>
      <xdr:colOff>476249</xdr:colOff>
      <xdr:row>96</xdr:row>
      <xdr:rowOff>81643</xdr:rowOff>
    </xdr:to>
    <xdr:cxnSp macro="">
      <xdr:nvCxnSpPr>
        <xdr:cNvPr id="5" name="Connettore 2 4">
          <a:extLst>
            <a:ext uri="{FF2B5EF4-FFF2-40B4-BE49-F238E27FC236}">
              <a16:creationId xmlns:a16="http://schemas.microsoft.com/office/drawing/2014/main" id="{C8C2500D-F216-4CC5-AA5B-CBCF84B8D6AF}"/>
            </a:ext>
          </a:extLst>
        </xdr:cNvPr>
        <xdr:cNvCxnSpPr/>
      </xdr:nvCxnSpPr>
      <xdr:spPr>
        <a:xfrm>
          <a:off x="14750142" y="17662072"/>
          <a:ext cx="4082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68036</xdr:colOff>
      <xdr:row>97</xdr:row>
      <xdr:rowOff>95250</xdr:rowOff>
    </xdr:from>
    <xdr:to>
      <xdr:col>18</xdr:col>
      <xdr:colOff>476250</xdr:colOff>
      <xdr:row>97</xdr:row>
      <xdr:rowOff>95250</xdr:rowOff>
    </xdr:to>
    <xdr:cxnSp macro="">
      <xdr:nvCxnSpPr>
        <xdr:cNvPr id="6" name="Connettore 2 5">
          <a:extLst>
            <a:ext uri="{FF2B5EF4-FFF2-40B4-BE49-F238E27FC236}">
              <a16:creationId xmlns:a16="http://schemas.microsoft.com/office/drawing/2014/main" id="{36DDFC6D-2797-4C0D-B72B-4B657421C114}"/>
            </a:ext>
          </a:extLst>
        </xdr:cNvPr>
        <xdr:cNvCxnSpPr/>
      </xdr:nvCxnSpPr>
      <xdr:spPr>
        <a:xfrm>
          <a:off x="14750143" y="17866179"/>
          <a:ext cx="4082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40821</xdr:colOff>
      <xdr:row>93</xdr:row>
      <xdr:rowOff>95250</xdr:rowOff>
    </xdr:from>
    <xdr:to>
      <xdr:col>18</xdr:col>
      <xdr:colOff>449035</xdr:colOff>
      <xdr:row>93</xdr:row>
      <xdr:rowOff>95250</xdr:rowOff>
    </xdr:to>
    <xdr:cxnSp macro="">
      <xdr:nvCxnSpPr>
        <xdr:cNvPr id="7" name="Connettore 2 6">
          <a:extLst>
            <a:ext uri="{FF2B5EF4-FFF2-40B4-BE49-F238E27FC236}">
              <a16:creationId xmlns:a16="http://schemas.microsoft.com/office/drawing/2014/main" id="{AC0D2B38-EF0F-4C4E-BF0A-7659958C6137}"/>
            </a:ext>
          </a:extLst>
        </xdr:cNvPr>
        <xdr:cNvCxnSpPr/>
      </xdr:nvCxnSpPr>
      <xdr:spPr>
        <a:xfrm>
          <a:off x="14722928" y="17104179"/>
          <a:ext cx="4082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54429</xdr:colOff>
      <xdr:row>84</xdr:row>
      <xdr:rowOff>95250</xdr:rowOff>
    </xdr:from>
    <xdr:to>
      <xdr:col>18</xdr:col>
      <xdr:colOff>462643</xdr:colOff>
      <xdr:row>84</xdr:row>
      <xdr:rowOff>95250</xdr:rowOff>
    </xdr:to>
    <xdr:cxnSp macro="">
      <xdr:nvCxnSpPr>
        <xdr:cNvPr id="8" name="Connettore 2 7">
          <a:extLst>
            <a:ext uri="{FF2B5EF4-FFF2-40B4-BE49-F238E27FC236}">
              <a16:creationId xmlns:a16="http://schemas.microsoft.com/office/drawing/2014/main" id="{91ADE7B9-7A92-46AF-BDA8-5369C39ECA6F}"/>
            </a:ext>
          </a:extLst>
        </xdr:cNvPr>
        <xdr:cNvCxnSpPr/>
      </xdr:nvCxnSpPr>
      <xdr:spPr>
        <a:xfrm>
          <a:off x="14736536" y="16913679"/>
          <a:ext cx="4082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4B225-8E04-4C5A-B45D-9F7B5630252B}">
  <dimension ref="A1:R32"/>
  <sheetViews>
    <sheetView zoomScale="78" zoomScaleNormal="78" workbookViewId="0">
      <selection activeCell="D11" sqref="D11"/>
    </sheetView>
  </sheetViews>
  <sheetFormatPr defaultRowHeight="15" x14ac:dyDescent="0.25"/>
  <cols>
    <col min="1" max="2" width="13.140625" customWidth="1"/>
    <col min="3" max="3" width="13.85546875" customWidth="1"/>
    <col min="4" max="4" width="12.7109375" customWidth="1"/>
    <col min="5" max="5" width="12.5703125" customWidth="1"/>
    <col min="6" max="6" width="13.42578125" customWidth="1"/>
    <col min="7" max="7" width="13.85546875" customWidth="1"/>
    <col min="8" max="8" width="16.140625" customWidth="1"/>
    <col min="9" max="9" width="9.85546875" customWidth="1"/>
    <col min="12" max="12" width="20.28515625" customWidth="1"/>
    <col min="13" max="13" width="10.7109375" customWidth="1"/>
  </cols>
  <sheetData>
    <row r="1" spans="1:18" ht="23.25" x14ac:dyDescent="0.25">
      <c r="A1" s="47" t="s">
        <v>52</v>
      </c>
      <c r="B1" s="47"/>
      <c r="C1" s="47"/>
      <c r="D1" s="47"/>
      <c r="E1" s="47"/>
      <c r="F1" s="47"/>
      <c r="G1" s="47"/>
      <c r="H1" s="47"/>
      <c r="I1" s="47"/>
      <c r="J1" s="47"/>
      <c r="K1" s="47"/>
      <c r="P1" s="7" t="s">
        <v>0</v>
      </c>
      <c r="Q1" s="9">
        <v>300</v>
      </c>
      <c r="R1" s="9" t="s">
        <v>2</v>
      </c>
    </row>
    <row r="2" spans="1:18" x14ac:dyDescent="0.25">
      <c r="A2" s="7" t="s">
        <v>19</v>
      </c>
      <c r="B2" s="8" t="s">
        <v>17</v>
      </c>
      <c r="C2" s="8" t="s">
        <v>28</v>
      </c>
      <c r="D2" s="7" t="s">
        <v>25</v>
      </c>
      <c r="E2" s="7" t="s">
        <v>26</v>
      </c>
      <c r="F2" s="7" t="s">
        <v>33</v>
      </c>
      <c r="G2" s="8" t="s">
        <v>18</v>
      </c>
      <c r="H2" s="8" t="s">
        <v>29</v>
      </c>
      <c r="I2" s="7" t="s">
        <v>25</v>
      </c>
      <c r="J2" s="7" t="s">
        <v>26</v>
      </c>
      <c r="K2" s="7" t="s">
        <v>34</v>
      </c>
      <c r="P2" s="7" t="s">
        <v>1</v>
      </c>
      <c r="Q2" s="9">
        <f>500</f>
        <v>500</v>
      </c>
      <c r="R2" s="9" t="s">
        <v>2</v>
      </c>
    </row>
    <row r="3" spans="1:18" x14ac:dyDescent="0.25">
      <c r="A3" s="7" t="s">
        <v>21</v>
      </c>
      <c r="B3" s="8" t="s">
        <v>23</v>
      </c>
      <c r="C3" s="8" t="s">
        <v>6</v>
      </c>
      <c r="D3" s="7" t="s">
        <v>2</v>
      </c>
      <c r="E3" s="7" t="s">
        <v>27</v>
      </c>
      <c r="F3" s="8" t="s">
        <v>6</v>
      </c>
      <c r="G3" s="8" t="s">
        <v>23</v>
      </c>
      <c r="H3" s="8" t="s">
        <v>6</v>
      </c>
      <c r="I3" s="7" t="s">
        <v>2</v>
      </c>
      <c r="J3" s="7" t="s">
        <v>27</v>
      </c>
      <c r="K3" s="8" t="s">
        <v>6</v>
      </c>
      <c r="P3" s="8" t="s">
        <v>13</v>
      </c>
      <c r="Q3" s="9">
        <f>Q2-40</f>
        <v>460</v>
      </c>
      <c r="R3" s="9" t="s">
        <v>2</v>
      </c>
    </row>
    <row r="4" spans="1:18" x14ac:dyDescent="0.25">
      <c r="A4" s="9">
        <v>1</v>
      </c>
      <c r="B4" s="10">
        <v>71.45</v>
      </c>
      <c r="C4" s="10">
        <f>(B4*1000^2)/(0.9*SLU!$Q$3*SLU!$Q$4)</f>
        <v>441.04938271604931</v>
      </c>
      <c r="D4" s="9">
        <v>14</v>
      </c>
      <c r="E4" s="9">
        <f>ROUNDUP(C4/(PI()*D4^2/4),0)</f>
        <v>3</v>
      </c>
      <c r="F4" s="12">
        <f>E4*D4^2*PI()/4</f>
        <v>461.81412007769961</v>
      </c>
      <c r="G4" s="10">
        <v>85.23</v>
      </c>
      <c r="H4" s="10">
        <f>(G4*1000^2)/(0.9*SLU!$Q$3*SLU!$Q$4)</f>
        <v>526.11111111111097</v>
      </c>
      <c r="I4" s="9">
        <v>18</v>
      </c>
      <c r="J4" s="9">
        <v>4</v>
      </c>
      <c r="K4" s="12">
        <f>J4*I4^2*PI()/4</f>
        <v>1017.8760197630929</v>
      </c>
      <c r="P4" s="8" t="s">
        <v>24</v>
      </c>
      <c r="Q4" s="10">
        <f>450/1.15</f>
        <v>391.304347826087</v>
      </c>
      <c r="R4" s="9" t="s">
        <v>3</v>
      </c>
    </row>
    <row r="5" spans="1:18" x14ac:dyDescent="0.25">
      <c r="A5" s="9">
        <v>2</v>
      </c>
      <c r="B5" s="10">
        <v>130</v>
      </c>
      <c r="C5" s="10">
        <f>(B5*1000^2)/(0.9*SLU!$Q$3*SLU!$Q$4)</f>
        <v>802.46913580246894</v>
      </c>
      <c r="D5" s="9">
        <v>14</v>
      </c>
      <c r="E5" s="9">
        <f t="shared" ref="E5:E6" si="0">ROUNDUP(C5/(PI()*D5^2/4),0)</f>
        <v>6</v>
      </c>
      <c r="F5" s="12">
        <f t="shared" ref="F5:F6" si="1">E5*D5^2*PI()/4</f>
        <v>923.62824015539923</v>
      </c>
      <c r="G5" s="10">
        <v>164.7</v>
      </c>
      <c r="H5" s="10">
        <f>(G5*1000^2)/(0.9*SLU!$Q$3*SLU!$Q$4)</f>
        <v>1016.6666666666665</v>
      </c>
      <c r="I5" s="9">
        <v>18</v>
      </c>
      <c r="J5" s="9">
        <f t="shared" ref="J5" si="2">ROUNDUP(H5/(PI()*I5^2/4),0)</f>
        <v>4</v>
      </c>
      <c r="K5" s="12">
        <f t="shared" ref="K5:K6" si="3">J5*I5^2*PI()/4</f>
        <v>1017.8760197630929</v>
      </c>
      <c r="P5" s="7" t="s">
        <v>32</v>
      </c>
      <c r="Q5" s="9">
        <f>25</f>
        <v>25</v>
      </c>
      <c r="R5" s="9" t="s">
        <v>3</v>
      </c>
    </row>
    <row r="6" spans="1:18" x14ac:dyDescent="0.25">
      <c r="A6" s="9">
        <v>3</v>
      </c>
      <c r="B6" s="10">
        <v>71.44</v>
      </c>
      <c r="C6" s="10">
        <f>(B6*1000^2)/(0.9*SLU!$Q$3*SLU!$Q$4)</f>
        <v>440.98765432098759</v>
      </c>
      <c r="D6" s="9">
        <v>14</v>
      </c>
      <c r="E6" s="9">
        <f t="shared" si="0"/>
        <v>3</v>
      </c>
      <c r="F6" s="12">
        <f t="shared" si="1"/>
        <v>461.81412007769961</v>
      </c>
      <c r="G6" s="10">
        <v>85.27</v>
      </c>
      <c r="H6" s="10">
        <f>(G6*1000^2)/(0.9*SLU!$Q$3*SLU!$Q$4)</f>
        <v>526.35802469135797</v>
      </c>
      <c r="I6" s="9">
        <v>18</v>
      </c>
      <c r="J6" s="9">
        <v>4</v>
      </c>
      <c r="K6" s="12">
        <f t="shared" si="3"/>
        <v>1017.8760197630929</v>
      </c>
      <c r="P6" s="7" t="s">
        <v>31</v>
      </c>
      <c r="Q6" s="10">
        <f>0.3*Q5^(2/3)</f>
        <v>2.5649639200150443</v>
      </c>
      <c r="R6" s="9" t="s">
        <v>3</v>
      </c>
    </row>
    <row r="7" spans="1:18" x14ac:dyDescent="0.25">
      <c r="A7" s="7" t="s">
        <v>20</v>
      </c>
      <c r="B7" s="8" t="s">
        <v>17</v>
      </c>
      <c r="C7" s="8" t="s">
        <v>22</v>
      </c>
      <c r="D7" s="7" t="s">
        <v>25</v>
      </c>
      <c r="E7" s="7" t="s">
        <v>26</v>
      </c>
      <c r="F7" s="13" t="s">
        <v>33</v>
      </c>
      <c r="G7" s="8" t="s">
        <v>18</v>
      </c>
      <c r="H7" s="8" t="s">
        <v>35</v>
      </c>
      <c r="I7" s="7" t="s">
        <v>25</v>
      </c>
      <c r="J7" s="7" t="s">
        <v>26</v>
      </c>
      <c r="K7" s="7" t="s">
        <v>34</v>
      </c>
      <c r="P7" s="22" t="s">
        <v>49</v>
      </c>
    </row>
    <row r="8" spans="1:18" x14ac:dyDescent="0.25">
      <c r="A8" s="7" t="s">
        <v>21</v>
      </c>
      <c r="B8" s="8" t="s">
        <v>23</v>
      </c>
      <c r="C8" s="8" t="s">
        <v>6</v>
      </c>
      <c r="D8" s="7" t="s">
        <v>2</v>
      </c>
      <c r="E8" s="7" t="s">
        <v>27</v>
      </c>
      <c r="F8" s="11" t="s">
        <v>6</v>
      </c>
      <c r="G8" s="8" t="s">
        <v>23</v>
      </c>
      <c r="H8" s="8" t="s">
        <v>6</v>
      </c>
      <c r="I8" s="7" t="s">
        <v>2</v>
      </c>
      <c r="J8" s="7" t="s">
        <v>27</v>
      </c>
      <c r="K8" s="11" t="s">
        <v>6</v>
      </c>
    </row>
    <row r="9" spans="1:18" x14ac:dyDescent="0.25">
      <c r="A9" s="9">
        <v>1</v>
      </c>
      <c r="B9" s="9">
        <v>60.17</v>
      </c>
      <c r="C9" s="10">
        <f>(B9*1000^2)/(0.9*SLU!$Q$3*SLU!$Q$4)</f>
        <v>371.41975308641969</v>
      </c>
      <c r="D9" s="9">
        <v>14</v>
      </c>
      <c r="E9" s="9">
        <f>ROUNDUP(C9/(PI()*D9^2/4),0)</f>
        <v>3</v>
      </c>
      <c r="F9" s="12">
        <f t="shared" ref="F9:F16" si="4">E9*D9^2*PI()/4</f>
        <v>461.81412007769961</v>
      </c>
      <c r="G9" s="10">
        <v>71.77</v>
      </c>
      <c r="H9" s="10">
        <f>(G9*1000^2)/(0.9*SLU!$Q$3*SLU!$Q$4)</f>
        <v>443.0246913580246</v>
      </c>
      <c r="I9" s="9">
        <v>18</v>
      </c>
      <c r="J9" s="9">
        <v>4</v>
      </c>
      <c r="K9" s="12">
        <f t="shared" ref="K9:K11" si="5">J9*I9^2*PI()/4</f>
        <v>1017.8760197630929</v>
      </c>
    </row>
    <row r="10" spans="1:18" x14ac:dyDescent="0.25">
      <c r="A10" s="9">
        <v>2</v>
      </c>
      <c r="B10" s="9">
        <v>109</v>
      </c>
      <c r="C10" s="10">
        <f>(B10*1000^2)/(0.9*SLU!$Q$3*SLU!$Q$4)</f>
        <v>672.83950617283938</v>
      </c>
      <c r="D10" s="9">
        <v>18</v>
      </c>
      <c r="E10" s="9">
        <f t="shared" ref="E10:E11" si="6">ROUNDUP(C10/(PI()*D10^2/4),0)</f>
        <v>3</v>
      </c>
      <c r="F10" s="12">
        <f t="shared" si="4"/>
        <v>763.40701482231975</v>
      </c>
      <c r="G10" s="9">
        <v>138.69999999999999</v>
      </c>
      <c r="H10" s="10">
        <f>(G10*1000^2)/(0.9*SLU!$Q$3*SLU!$Q$4)</f>
        <v>856.17283950617264</v>
      </c>
      <c r="I10" s="9">
        <v>18</v>
      </c>
      <c r="J10" s="9">
        <f t="shared" ref="J10" si="7">ROUNDUP(H10/(PI()*I10^2/4),0)</f>
        <v>4</v>
      </c>
      <c r="K10" s="12">
        <f t="shared" si="5"/>
        <v>1017.8760197630929</v>
      </c>
    </row>
    <row r="11" spans="1:18" x14ac:dyDescent="0.25">
      <c r="A11" s="9">
        <v>3</v>
      </c>
      <c r="B11" s="9">
        <v>60.17</v>
      </c>
      <c r="C11" s="10">
        <f>(B11*1000^2)/(0.9*SLU!$Q$3*SLU!$Q$4)</f>
        <v>371.41975308641969</v>
      </c>
      <c r="D11" s="9">
        <v>14</v>
      </c>
      <c r="E11" s="9">
        <f t="shared" si="6"/>
        <v>3</v>
      </c>
      <c r="F11" s="12">
        <f t="shared" si="4"/>
        <v>461.81412007769961</v>
      </c>
      <c r="G11" s="9">
        <v>71.77</v>
      </c>
      <c r="H11" s="10">
        <f>(G11*1000^2)/(0.9*SLU!$Q$3*SLU!$Q$4)</f>
        <v>443.0246913580246</v>
      </c>
      <c r="I11" s="9">
        <v>18</v>
      </c>
      <c r="J11" s="9">
        <v>4</v>
      </c>
      <c r="K11" s="12">
        <f t="shared" si="5"/>
        <v>1017.8760197630929</v>
      </c>
    </row>
    <row r="12" spans="1:18" x14ac:dyDescent="0.25">
      <c r="A12" s="7" t="s">
        <v>30</v>
      </c>
      <c r="B12" s="8" t="s">
        <v>17</v>
      </c>
      <c r="C12" s="8" t="s">
        <v>22</v>
      </c>
      <c r="D12" s="7" t="s">
        <v>25</v>
      </c>
      <c r="E12" s="7" t="s">
        <v>26</v>
      </c>
      <c r="F12" s="13" t="s">
        <v>33</v>
      </c>
      <c r="G12" s="8" t="s">
        <v>18</v>
      </c>
      <c r="H12" s="8" t="s">
        <v>22</v>
      </c>
      <c r="I12" s="7" t="s">
        <v>25</v>
      </c>
      <c r="J12" s="7" t="s">
        <v>26</v>
      </c>
      <c r="K12" s="7" t="s">
        <v>34</v>
      </c>
    </row>
    <row r="13" spans="1:18" x14ac:dyDescent="0.25">
      <c r="A13" s="7" t="s">
        <v>21</v>
      </c>
      <c r="B13" s="8" t="s">
        <v>23</v>
      </c>
      <c r="C13" s="8" t="s">
        <v>6</v>
      </c>
      <c r="D13" s="7" t="s">
        <v>2</v>
      </c>
      <c r="E13" s="7" t="s">
        <v>27</v>
      </c>
      <c r="F13" s="11" t="s">
        <v>6</v>
      </c>
      <c r="G13" s="8" t="s">
        <v>23</v>
      </c>
      <c r="H13" s="8" t="s">
        <v>6</v>
      </c>
      <c r="I13" s="7" t="s">
        <v>2</v>
      </c>
      <c r="J13" s="7" t="s">
        <v>27</v>
      </c>
      <c r="K13" s="11" t="s">
        <v>6</v>
      </c>
    </row>
    <row r="14" spans="1:18" x14ac:dyDescent="0.25">
      <c r="A14" s="9">
        <v>1</v>
      </c>
      <c r="B14" s="9">
        <v>71.45</v>
      </c>
      <c r="C14" s="10">
        <f>(B14*1000^2)/(0.9*SLU!$Q$3*SLU!$Q$4)</f>
        <v>441.04938271604931</v>
      </c>
      <c r="D14" s="9">
        <v>14</v>
      </c>
      <c r="E14" s="9">
        <f>ROUNDUP(C14/(PI()*D14^2/4),0)</f>
        <v>3</v>
      </c>
      <c r="F14" s="12">
        <f t="shared" ref="F14" si="8">E14*D14^2*PI()/4</f>
        <v>461.81412007769961</v>
      </c>
      <c r="G14" s="10">
        <v>85.23</v>
      </c>
      <c r="H14" s="10">
        <f>(G14*1000^2)/(0.9*SLU!$Q$3*SLU!$Q$4)</f>
        <v>526.11111111111097</v>
      </c>
      <c r="I14" s="9">
        <v>18</v>
      </c>
      <c r="J14" s="9">
        <v>4</v>
      </c>
      <c r="K14" s="12">
        <f t="shared" ref="K14:K16" si="9">J14*I14^2*PI()/4</f>
        <v>1017.8760197630929</v>
      </c>
    </row>
    <row r="15" spans="1:18" x14ac:dyDescent="0.25">
      <c r="A15" s="9">
        <v>2</v>
      </c>
      <c r="B15" s="9">
        <v>130.4</v>
      </c>
      <c r="C15" s="10">
        <f>(B15*1000^2)/(0.9*SLU!$Q$3*SLU!$Q$4)</f>
        <v>804.93827160493811</v>
      </c>
      <c r="D15" s="9">
        <v>14</v>
      </c>
      <c r="E15" s="9">
        <f t="shared" ref="E15:E16" si="10">ROUNDUP(C15/(PI()*D15^2/4),0)</f>
        <v>6</v>
      </c>
      <c r="F15" s="12">
        <f t="shared" si="4"/>
        <v>923.62824015539923</v>
      </c>
      <c r="G15" s="9">
        <v>164.7</v>
      </c>
      <c r="H15" s="10">
        <f>(G15*1000^2)/(0.9*SLU!$Q$3*SLU!$Q$4)</f>
        <v>1016.6666666666665</v>
      </c>
      <c r="I15" s="9">
        <v>18</v>
      </c>
      <c r="J15" s="9">
        <f t="shared" ref="J15" si="11">ROUNDUP(H15/(PI()*I15^2/4),0)</f>
        <v>4</v>
      </c>
      <c r="K15" s="12">
        <f t="shared" si="9"/>
        <v>1017.8760197630929</v>
      </c>
    </row>
    <row r="16" spans="1:18" x14ac:dyDescent="0.25">
      <c r="A16" s="9">
        <v>3</v>
      </c>
      <c r="B16" s="9">
        <v>71.45</v>
      </c>
      <c r="C16" s="10">
        <f>(B16*1000^2)/(0.9*SLU!$Q$3*SLU!$Q$4)</f>
        <v>441.04938271604931</v>
      </c>
      <c r="D16" s="9">
        <v>14</v>
      </c>
      <c r="E16" s="9">
        <f t="shared" si="10"/>
        <v>3</v>
      </c>
      <c r="F16" s="12">
        <f t="shared" si="4"/>
        <v>461.81412007769961</v>
      </c>
      <c r="G16" s="9">
        <v>85.27</v>
      </c>
      <c r="H16" s="10">
        <f>(G16*1000^2)/(0.9*SLU!$Q$3*SLU!$Q$4)</f>
        <v>526.35802469135797</v>
      </c>
      <c r="I16" s="9">
        <v>18</v>
      </c>
      <c r="J16" s="9">
        <v>4</v>
      </c>
      <c r="K16" s="12">
        <f t="shared" si="9"/>
        <v>1017.8760197630929</v>
      </c>
    </row>
    <row r="17" spans="1:17" ht="23.25" x14ac:dyDescent="0.25">
      <c r="A17" s="47" t="s">
        <v>51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</row>
    <row r="18" spans="1:17" x14ac:dyDescent="0.25">
      <c r="A18" s="7" t="s">
        <v>19</v>
      </c>
      <c r="B18" s="8" t="s">
        <v>17</v>
      </c>
      <c r="C18" s="8" t="s">
        <v>28</v>
      </c>
      <c r="D18" s="7" t="s">
        <v>25</v>
      </c>
      <c r="E18" s="7" t="s">
        <v>26</v>
      </c>
      <c r="F18" s="7" t="s">
        <v>33</v>
      </c>
      <c r="G18" s="8" t="s">
        <v>18</v>
      </c>
      <c r="H18" s="8" t="s">
        <v>29</v>
      </c>
      <c r="I18" s="7" t="s">
        <v>25</v>
      </c>
      <c r="J18" s="7" t="s">
        <v>26</v>
      </c>
      <c r="K18" s="7" t="s">
        <v>34</v>
      </c>
      <c r="O18" s="7" t="s">
        <v>0</v>
      </c>
      <c r="P18" s="9">
        <v>300</v>
      </c>
      <c r="Q18" s="9" t="s">
        <v>2</v>
      </c>
    </row>
    <row r="19" spans="1:17" x14ac:dyDescent="0.25">
      <c r="A19" s="7" t="s">
        <v>21</v>
      </c>
      <c r="B19" s="8" t="s">
        <v>23</v>
      </c>
      <c r="C19" s="8" t="s">
        <v>6</v>
      </c>
      <c r="D19" s="7" t="s">
        <v>2</v>
      </c>
      <c r="E19" s="7" t="s">
        <v>27</v>
      </c>
      <c r="F19" s="8" t="s">
        <v>6</v>
      </c>
      <c r="G19" s="8" t="s">
        <v>23</v>
      </c>
      <c r="H19" s="8" t="s">
        <v>6</v>
      </c>
      <c r="I19" s="7" t="s">
        <v>2</v>
      </c>
      <c r="J19" s="7" t="s">
        <v>27</v>
      </c>
      <c r="K19" s="8" t="s">
        <v>6</v>
      </c>
      <c r="O19" s="7" t="s">
        <v>1</v>
      </c>
      <c r="P19" s="9">
        <v>400</v>
      </c>
      <c r="Q19" s="9" t="s">
        <v>2</v>
      </c>
    </row>
    <row r="20" spans="1:17" x14ac:dyDescent="0.25">
      <c r="A20" s="9">
        <v>1</v>
      </c>
      <c r="B20" s="10">
        <v>20.67</v>
      </c>
      <c r="C20" s="10">
        <f>(B20*1000^2)/(0.9*SLU!$Q$3*SLU!$Q$4)</f>
        <v>127.59259259259257</v>
      </c>
      <c r="D20" s="9">
        <v>14</v>
      </c>
      <c r="E20" s="9">
        <f>ROUNDUP(C20/(PI()*D20^2/4),0)</f>
        <v>1</v>
      </c>
      <c r="F20" s="12">
        <f>E20*D20^2*PI()/4</f>
        <v>153.93804002589985</v>
      </c>
      <c r="G20" s="10">
        <v>30.44</v>
      </c>
      <c r="H20" s="10">
        <f>(G20*1000^2)/(0.9*SLU!$Q$3*SLU!$Q$4)</f>
        <v>187.90123456790121</v>
      </c>
      <c r="I20" s="9">
        <v>14</v>
      </c>
      <c r="J20" s="9">
        <f t="shared" ref="J20:J22" si="12">ROUNDUP(H20/(PI()*I20^2/4),0)</f>
        <v>2</v>
      </c>
      <c r="K20" s="12">
        <f>J20*I20^2*PI()/4</f>
        <v>307.8760800517997</v>
      </c>
      <c r="O20" s="8" t="s">
        <v>13</v>
      </c>
      <c r="P20" s="9">
        <f>P19-40</f>
        <v>360</v>
      </c>
      <c r="Q20" s="9" t="s">
        <v>2</v>
      </c>
    </row>
    <row r="21" spans="1:17" x14ac:dyDescent="0.25">
      <c r="A21" s="9">
        <v>2</v>
      </c>
      <c r="B21" s="10">
        <v>40.89</v>
      </c>
      <c r="C21" s="10">
        <f>(B21*1000^2)/(0.9*SLU!$Q$3*SLU!$Q$4)</f>
        <v>252.40740740740736</v>
      </c>
      <c r="D21" s="9">
        <v>14</v>
      </c>
      <c r="E21" s="9">
        <f t="shared" ref="E21:E22" si="13">ROUNDUP(C21/(PI()*D21^2/4),0)</f>
        <v>2</v>
      </c>
      <c r="F21" s="12">
        <f t="shared" ref="F21:F22" si="14">E21*D21^2*PI()/4</f>
        <v>307.8760800517997</v>
      </c>
      <c r="G21" s="10">
        <v>51.7</v>
      </c>
      <c r="H21" s="10">
        <f>(G21*1000^2)/(0.9*SLU!$Q$3*SLU!$Q$4)</f>
        <v>319.13580246913574</v>
      </c>
      <c r="I21" s="9">
        <v>14</v>
      </c>
      <c r="J21" s="9">
        <f t="shared" si="12"/>
        <v>3</v>
      </c>
      <c r="K21" s="12">
        <f t="shared" ref="K21:K22" si="15">J21*I21^2*PI()/4</f>
        <v>461.81412007769961</v>
      </c>
      <c r="O21" s="8" t="s">
        <v>24</v>
      </c>
      <c r="P21" s="10">
        <f>450/1.15</f>
        <v>391.304347826087</v>
      </c>
      <c r="Q21" s="9" t="s">
        <v>3</v>
      </c>
    </row>
    <row r="22" spans="1:17" x14ac:dyDescent="0.25">
      <c r="A22" s="9">
        <v>3</v>
      </c>
      <c r="B22" s="10">
        <v>20.67</v>
      </c>
      <c r="C22" s="10">
        <f>(B22*1000^2)/(0.9*SLU!$Q$3*SLU!$Q$4)</f>
        <v>127.59259259259257</v>
      </c>
      <c r="D22" s="9">
        <v>14</v>
      </c>
      <c r="E22" s="9">
        <f t="shared" si="13"/>
        <v>1</v>
      </c>
      <c r="F22" s="12">
        <f t="shared" si="14"/>
        <v>153.93804002589985</v>
      </c>
      <c r="G22" s="10">
        <v>51.7</v>
      </c>
      <c r="H22" s="10">
        <f>(G22*1000^2)/(0.9*SLU!$Q$3*SLU!$Q$4)</f>
        <v>319.13580246913574</v>
      </c>
      <c r="I22" s="9">
        <v>14</v>
      </c>
      <c r="J22" s="9">
        <f t="shared" si="12"/>
        <v>3</v>
      </c>
      <c r="K22" s="12">
        <f t="shared" si="15"/>
        <v>461.81412007769961</v>
      </c>
      <c r="O22" s="7" t="s">
        <v>32</v>
      </c>
      <c r="P22" s="9">
        <f>25</f>
        <v>25</v>
      </c>
      <c r="Q22" s="9" t="s">
        <v>3</v>
      </c>
    </row>
    <row r="23" spans="1:17" x14ac:dyDescent="0.25">
      <c r="A23" s="7" t="s">
        <v>20</v>
      </c>
      <c r="B23" s="8" t="s">
        <v>17</v>
      </c>
      <c r="C23" s="8" t="s">
        <v>22</v>
      </c>
      <c r="D23" s="7" t="s">
        <v>25</v>
      </c>
      <c r="E23" s="7" t="s">
        <v>26</v>
      </c>
      <c r="F23" s="13" t="s">
        <v>33</v>
      </c>
      <c r="G23" s="8" t="s">
        <v>18</v>
      </c>
      <c r="H23" s="8" t="s">
        <v>35</v>
      </c>
      <c r="I23" s="7" t="s">
        <v>25</v>
      </c>
      <c r="J23" s="7" t="s">
        <v>26</v>
      </c>
      <c r="K23" s="7" t="s">
        <v>34</v>
      </c>
      <c r="O23" s="7" t="s">
        <v>31</v>
      </c>
      <c r="P23" s="10">
        <f>0.3*P22^(2/3)</f>
        <v>2.5649639200150443</v>
      </c>
      <c r="Q23" s="9" t="s">
        <v>3</v>
      </c>
    </row>
    <row r="24" spans="1:17" x14ac:dyDescent="0.25">
      <c r="A24" s="7" t="s">
        <v>21</v>
      </c>
      <c r="B24" s="8" t="s">
        <v>23</v>
      </c>
      <c r="C24" s="8" t="s">
        <v>6</v>
      </c>
      <c r="D24" s="7" t="s">
        <v>2</v>
      </c>
      <c r="E24" s="7" t="s">
        <v>27</v>
      </c>
      <c r="F24" s="11" t="s">
        <v>6</v>
      </c>
      <c r="G24" s="8" t="s">
        <v>23</v>
      </c>
      <c r="H24" s="8" t="s">
        <v>6</v>
      </c>
      <c r="I24" s="7" t="s">
        <v>2</v>
      </c>
      <c r="J24" s="7" t="s">
        <v>27</v>
      </c>
      <c r="K24" s="11" t="s">
        <v>6</v>
      </c>
      <c r="O24" s="22" t="s">
        <v>49</v>
      </c>
    </row>
    <row r="25" spans="1:17" x14ac:dyDescent="0.25">
      <c r="A25" s="9">
        <v>1</v>
      </c>
      <c r="B25" s="9">
        <v>41.34</v>
      </c>
      <c r="C25" s="10">
        <f>(B25*1000^2)/(0.9*SLU!$Q$3*SLU!$Q$4)</f>
        <v>255.18518518518513</v>
      </c>
      <c r="D25" s="9">
        <v>14</v>
      </c>
      <c r="E25" s="9">
        <f>ROUNDUP(C25/(PI()*D25^2/4),0)</f>
        <v>2</v>
      </c>
      <c r="F25" s="12">
        <f t="shared" ref="F25:F27" si="16">E25*D25^2*PI()/4</f>
        <v>307.8760800517997</v>
      </c>
      <c r="G25" s="10">
        <v>60.89</v>
      </c>
      <c r="H25" s="10">
        <f>(G25*1000^2)/(0.9*SLU!$Q$3*SLU!$Q$4)</f>
        <v>375.86419753086415</v>
      </c>
      <c r="I25" s="9">
        <v>14</v>
      </c>
      <c r="J25" s="9">
        <f t="shared" ref="J25:J27" si="17">ROUNDUP(H25/(PI()*I25^2/4),0)</f>
        <v>3</v>
      </c>
      <c r="K25" s="12">
        <f t="shared" ref="K25:K27" si="18">J25*I25^2*PI()/4</f>
        <v>461.81412007769961</v>
      </c>
    </row>
    <row r="26" spans="1:17" x14ac:dyDescent="0.25">
      <c r="A26" s="9">
        <v>2</v>
      </c>
      <c r="B26" s="9">
        <v>81.78</v>
      </c>
      <c r="C26" s="10">
        <f>(B26*1000^2)/(0.9*SLU!$Q$3*SLU!$Q$4)</f>
        <v>504.81481481481472</v>
      </c>
      <c r="D26" s="9">
        <v>18</v>
      </c>
      <c r="E26" s="9">
        <f t="shared" ref="E26:E27" si="19">ROUNDUP(C26/(PI()*D26^2/4),0)</f>
        <v>2</v>
      </c>
      <c r="F26" s="12">
        <f t="shared" si="16"/>
        <v>508.93800988154646</v>
      </c>
      <c r="G26" s="9">
        <v>103.4</v>
      </c>
      <c r="H26" s="10">
        <f>(G26*1000^2)/(0.9*SLU!$Q$3*SLU!$Q$4)</f>
        <v>638.27160493827148</v>
      </c>
      <c r="I26" s="9">
        <v>18</v>
      </c>
      <c r="J26" s="9">
        <f t="shared" si="17"/>
        <v>3</v>
      </c>
      <c r="K26" s="12">
        <f t="shared" si="18"/>
        <v>763.40701482231975</v>
      </c>
    </row>
    <row r="27" spans="1:17" x14ac:dyDescent="0.25">
      <c r="A27" s="9">
        <v>3</v>
      </c>
      <c r="B27" s="9">
        <v>41.34</v>
      </c>
      <c r="C27" s="10">
        <f>(B27*1000^2)/(0.9*SLU!$Q$3*SLU!$Q$4)</f>
        <v>255.18518518518513</v>
      </c>
      <c r="D27" s="9">
        <v>14</v>
      </c>
      <c r="E27" s="9">
        <f t="shared" si="19"/>
        <v>2</v>
      </c>
      <c r="F27" s="12">
        <f t="shared" si="16"/>
        <v>307.8760800517997</v>
      </c>
      <c r="G27" s="9">
        <v>103.4</v>
      </c>
      <c r="H27" s="10">
        <f>(G27*1000^2)/(0.9*SLU!$Q$3*SLU!$Q$4)</f>
        <v>638.27160493827148</v>
      </c>
      <c r="I27" s="9">
        <v>18</v>
      </c>
      <c r="J27" s="9">
        <f t="shared" si="17"/>
        <v>3</v>
      </c>
      <c r="K27" s="12">
        <f t="shared" si="18"/>
        <v>763.40701482231975</v>
      </c>
    </row>
    <row r="28" spans="1:17" x14ac:dyDescent="0.25">
      <c r="A28" s="7" t="s">
        <v>30</v>
      </c>
      <c r="B28" s="8" t="s">
        <v>17</v>
      </c>
      <c r="C28" s="8" t="s">
        <v>22</v>
      </c>
      <c r="D28" s="7" t="s">
        <v>25</v>
      </c>
      <c r="E28" s="7" t="s">
        <v>26</v>
      </c>
      <c r="F28" s="13" t="s">
        <v>33</v>
      </c>
      <c r="G28" s="8" t="s">
        <v>18</v>
      </c>
      <c r="H28" s="8" t="s">
        <v>22</v>
      </c>
      <c r="I28" s="7" t="s">
        <v>25</v>
      </c>
      <c r="J28" s="7" t="s">
        <v>26</v>
      </c>
      <c r="K28" s="7" t="s">
        <v>34</v>
      </c>
    </row>
    <row r="29" spans="1:17" x14ac:dyDescent="0.25">
      <c r="A29" s="7" t="s">
        <v>21</v>
      </c>
      <c r="B29" s="8" t="s">
        <v>23</v>
      </c>
      <c r="C29" s="8" t="s">
        <v>6</v>
      </c>
      <c r="D29" s="7" t="s">
        <v>2</v>
      </c>
      <c r="E29" s="7" t="s">
        <v>27</v>
      </c>
      <c r="F29" s="11" t="s">
        <v>6</v>
      </c>
      <c r="G29" s="8" t="s">
        <v>23</v>
      </c>
      <c r="H29" s="8" t="s">
        <v>6</v>
      </c>
      <c r="I29" s="7" t="s">
        <v>2</v>
      </c>
      <c r="J29" s="7" t="s">
        <v>27</v>
      </c>
      <c r="K29" s="11" t="s">
        <v>6</v>
      </c>
    </row>
    <row r="30" spans="1:17" x14ac:dyDescent="0.25">
      <c r="A30" s="9">
        <v>1</v>
      </c>
      <c r="B30" s="9">
        <v>49.08</v>
      </c>
      <c r="C30" s="10">
        <f>(B30*1000^2)/(0.9*SLU!$Q$3*SLU!$Q$4)</f>
        <v>302.96296296296293</v>
      </c>
      <c r="D30" s="9">
        <v>14</v>
      </c>
      <c r="E30" s="9">
        <f>ROUNDUP(C30/(PI()*D30^2/4),0)</f>
        <v>2</v>
      </c>
      <c r="F30" s="12">
        <f t="shared" ref="F30:F32" si="20">E30*D30^2*PI()/4</f>
        <v>307.8760800517997</v>
      </c>
      <c r="G30" s="10">
        <v>72.3</v>
      </c>
      <c r="H30" s="10">
        <f>(G30*1000^2)/(0.9*SLU!$Q$3*SLU!$Q$4)</f>
        <v>446.29629629629619</v>
      </c>
      <c r="I30" s="9">
        <v>14</v>
      </c>
      <c r="J30" s="9">
        <f t="shared" ref="J30:J32" si="21">ROUNDUP(H30/(PI()*I30^2/4),0)</f>
        <v>3</v>
      </c>
      <c r="K30" s="12">
        <f t="shared" ref="K30:K32" si="22">J30*I30^2*PI()/4</f>
        <v>461.81412007769961</v>
      </c>
    </row>
    <row r="31" spans="1:17" x14ac:dyDescent="0.25">
      <c r="A31" s="9">
        <v>2</v>
      </c>
      <c r="B31" s="9">
        <v>97.11</v>
      </c>
      <c r="C31" s="10">
        <f>(B31*1000^2)/(0.9*SLU!$Q$3*SLU!$Q$4)</f>
        <v>599.44444444444434</v>
      </c>
      <c r="D31" s="9">
        <v>14</v>
      </c>
      <c r="E31" s="9">
        <f t="shared" ref="E31:E32" si="23">ROUNDUP(C31/(PI()*D31^2/4),0)</f>
        <v>4</v>
      </c>
      <c r="F31" s="12">
        <f t="shared" si="20"/>
        <v>615.75216010359941</v>
      </c>
      <c r="G31" s="9">
        <v>122.8</v>
      </c>
      <c r="H31" s="10">
        <f>(G31*1000^2)/(0.9*SLU!$Q$3*SLU!$Q$4)</f>
        <v>758.0246913580246</v>
      </c>
      <c r="I31" s="9">
        <v>18</v>
      </c>
      <c r="J31" s="9">
        <f t="shared" si="21"/>
        <v>3</v>
      </c>
      <c r="K31" s="12">
        <f t="shared" si="22"/>
        <v>763.40701482231975</v>
      </c>
    </row>
    <row r="32" spans="1:17" x14ac:dyDescent="0.25">
      <c r="A32" s="9">
        <v>3</v>
      </c>
      <c r="B32" s="9">
        <v>49.08</v>
      </c>
      <c r="C32" s="10">
        <f>(B32*1000^2)/(0.9*SLU!$Q$3*SLU!$Q$4)</f>
        <v>302.96296296296293</v>
      </c>
      <c r="D32" s="9">
        <v>14</v>
      </c>
      <c r="E32" s="9">
        <f t="shared" si="23"/>
        <v>2</v>
      </c>
      <c r="F32" s="12">
        <f t="shared" si="20"/>
        <v>307.8760800517997</v>
      </c>
      <c r="G32" s="9">
        <v>122.8</v>
      </c>
      <c r="H32" s="10">
        <f>(G32*1000^2)/(0.9*SLU!$Q$3*SLU!$Q$4)</f>
        <v>758.0246913580246</v>
      </c>
      <c r="I32" s="9">
        <v>14</v>
      </c>
      <c r="J32" s="9">
        <f t="shared" si="21"/>
        <v>5</v>
      </c>
      <c r="K32" s="12">
        <f t="shared" si="22"/>
        <v>769.69020012949932</v>
      </c>
    </row>
  </sheetData>
  <mergeCells count="2">
    <mergeCell ref="A1:K1"/>
    <mergeCell ref="A17:K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0E93-29B5-451D-B987-1BBF62D2BBC3}">
  <dimension ref="A1:AK133"/>
  <sheetViews>
    <sheetView topLeftCell="A100" zoomScale="66" zoomScaleNormal="66" workbookViewId="0">
      <selection activeCell="C35" sqref="C35:D42"/>
    </sheetView>
  </sheetViews>
  <sheetFormatPr defaultRowHeight="15" x14ac:dyDescent="0.25"/>
  <cols>
    <col min="1" max="1" width="9.140625" style="2"/>
    <col min="2" max="2" width="11.42578125" style="2" customWidth="1"/>
    <col min="3" max="3" width="14.42578125" style="2" customWidth="1"/>
    <col min="4" max="4" width="13.5703125" style="2" customWidth="1"/>
    <col min="5" max="5" width="15.140625" style="2" customWidth="1"/>
    <col min="6" max="6" width="11.42578125" style="2" customWidth="1"/>
    <col min="7" max="7" width="12" style="2" customWidth="1"/>
    <col min="8" max="8" width="15.85546875" style="2" customWidth="1"/>
    <col min="9" max="9" width="15.5703125" style="2" customWidth="1"/>
    <col min="10" max="10" width="12.7109375" style="2" customWidth="1"/>
    <col min="11" max="11" width="15.7109375" style="2" customWidth="1"/>
    <col min="12" max="12" width="13.85546875" style="2" customWidth="1"/>
    <col min="13" max="13" width="19.28515625" style="2" customWidth="1"/>
    <col min="15" max="15" width="16.7109375" customWidth="1"/>
    <col min="17" max="17" width="11.5703125" customWidth="1"/>
    <col min="18" max="18" width="10.7109375" customWidth="1"/>
    <col min="19" max="19" width="13.140625" customWidth="1"/>
    <col min="20" max="20" width="24.85546875" customWidth="1"/>
    <col min="21" max="21" width="14.7109375" customWidth="1"/>
    <col min="22" max="22" width="20.85546875" customWidth="1"/>
    <col min="23" max="23" width="19.7109375" style="2" customWidth="1"/>
    <col min="24" max="24" width="11.85546875" style="2" customWidth="1"/>
    <col min="25" max="25" width="14.85546875" style="2" customWidth="1"/>
    <col min="26" max="26" width="16.5703125" style="2" customWidth="1"/>
    <col min="27" max="27" width="16.85546875" style="2" customWidth="1"/>
    <col min="28" max="28" width="16" style="2" customWidth="1"/>
    <col min="29" max="29" width="18.7109375" style="2" customWidth="1"/>
    <col min="30" max="30" width="16.28515625" style="2" customWidth="1"/>
    <col min="31" max="31" width="16" style="2" customWidth="1"/>
    <col min="32" max="32" width="13.85546875" style="2" customWidth="1"/>
    <col min="33" max="33" width="15" style="2" customWidth="1"/>
    <col min="34" max="34" width="7.85546875" style="2" customWidth="1"/>
    <col min="35" max="35" width="15" style="2" customWidth="1"/>
    <col min="36" max="16384" width="9.140625" style="2"/>
  </cols>
  <sheetData>
    <row r="1" spans="1:30" x14ac:dyDescent="0.25">
      <c r="A1" s="7" t="s">
        <v>90</v>
      </c>
      <c r="B1" s="52" t="s">
        <v>42</v>
      </c>
      <c r="C1" s="54" t="s">
        <v>15</v>
      </c>
      <c r="D1" s="55"/>
      <c r="E1" s="55"/>
      <c r="F1" s="55"/>
      <c r="G1" s="56"/>
      <c r="H1" s="54" t="s">
        <v>16</v>
      </c>
      <c r="I1" s="55"/>
      <c r="J1" s="55"/>
      <c r="K1" s="55"/>
      <c r="L1" s="56"/>
      <c r="M1" s="7" t="s">
        <v>48</v>
      </c>
      <c r="O1" s="7" t="s">
        <v>47</v>
      </c>
      <c r="P1" s="2"/>
      <c r="Q1" s="7" t="s">
        <v>54</v>
      </c>
      <c r="T1" s="7" t="s">
        <v>11</v>
      </c>
      <c r="U1" s="7" t="s">
        <v>46</v>
      </c>
      <c r="V1" s="2"/>
      <c r="W1" s="14" t="s">
        <v>4</v>
      </c>
      <c r="X1" s="14"/>
      <c r="Y1" s="14"/>
      <c r="AC1"/>
      <c r="AD1"/>
    </row>
    <row r="2" spans="1:30" x14ac:dyDescent="0.25">
      <c r="A2" s="7" t="s">
        <v>40</v>
      </c>
      <c r="B2" s="53"/>
      <c r="C2" s="7" t="s">
        <v>25</v>
      </c>
      <c r="D2" s="7" t="s">
        <v>26</v>
      </c>
      <c r="E2" s="7" t="s">
        <v>25</v>
      </c>
      <c r="F2" s="7" t="s">
        <v>26</v>
      </c>
      <c r="G2" s="7" t="s">
        <v>41</v>
      </c>
      <c r="H2" s="7" t="s">
        <v>25</v>
      </c>
      <c r="I2" s="7" t="s">
        <v>26</v>
      </c>
      <c r="J2" s="7" t="s">
        <v>25</v>
      </c>
      <c r="K2" s="7" t="s">
        <v>26</v>
      </c>
      <c r="L2" s="7" t="s">
        <v>41</v>
      </c>
      <c r="M2" s="18" t="s">
        <v>27</v>
      </c>
      <c r="N2" s="17"/>
      <c r="O2" s="18" t="s">
        <v>27</v>
      </c>
      <c r="P2" s="2"/>
      <c r="Q2" s="7" t="s">
        <v>2</v>
      </c>
      <c r="T2" s="7" t="s">
        <v>27</v>
      </c>
      <c r="U2" s="7" t="s">
        <v>27</v>
      </c>
      <c r="V2" s="2"/>
      <c r="W2" s="14" t="s">
        <v>5</v>
      </c>
      <c r="X2" s="14"/>
      <c r="Y2" s="14"/>
      <c r="AC2"/>
      <c r="AD2"/>
    </row>
    <row r="3" spans="1:30" x14ac:dyDescent="0.25">
      <c r="A3" s="51">
        <v>1</v>
      </c>
      <c r="B3" s="9" t="s">
        <v>43</v>
      </c>
      <c r="C3" s="9">
        <v>12</v>
      </c>
      <c r="D3" s="9">
        <v>3</v>
      </c>
      <c r="E3" s="9">
        <v>12</v>
      </c>
      <c r="F3" s="9">
        <v>3</v>
      </c>
      <c r="G3" s="10">
        <f>(C3^2/4*D3+E3^2/4*F3)*PI()</f>
        <v>678.58401317539528</v>
      </c>
      <c r="H3" s="9">
        <v>12</v>
      </c>
      <c r="I3" s="9">
        <v>3</v>
      </c>
      <c r="J3" s="9">
        <v>12</v>
      </c>
      <c r="K3" s="9">
        <v>3</v>
      </c>
      <c r="L3" s="10">
        <f>(H3^2/4*I3+J3^2/4*K3)*PI()</f>
        <v>678.58401317539528</v>
      </c>
      <c r="M3" s="15">
        <f t="shared" ref="M3:M10" si="0">G3/($X$3*$X$4)</f>
        <v>6.1689455743217754E-3</v>
      </c>
      <c r="N3" s="16" t="str">
        <f t="shared" ref="N3:N10" si="1">IF($T$3&lt;=M3,"OK","NO")</f>
        <v>OK</v>
      </c>
      <c r="O3" s="15">
        <f t="shared" ref="O3:O10" si="2">L3/($X$3*$X$4)</f>
        <v>6.1689455743217754E-3</v>
      </c>
      <c r="P3" s="28" t="str">
        <f t="shared" ref="P3:P10" si="3">IF(O3&gt;$T$3,"OK","NO")</f>
        <v>OK</v>
      </c>
      <c r="Q3" s="10">
        <f t="shared" ref="Q3:Q10" si="4">ABS($X$7*(G3-L3)/($X$15*0.8*$X$3))</f>
        <v>0</v>
      </c>
      <c r="T3" s="24">
        <f>1.4/$X$6</f>
        <v>3.1111111111111109E-3</v>
      </c>
      <c r="U3" s="20">
        <f>3.5/$X$6</f>
        <v>7.7777777777777776E-3</v>
      </c>
      <c r="V3" s="2"/>
      <c r="W3" s="2" t="s">
        <v>0</v>
      </c>
      <c r="X3" s="2">
        <v>500</v>
      </c>
      <c r="Y3" s="2" t="s">
        <v>2</v>
      </c>
      <c r="AA3" s="3"/>
      <c r="AC3"/>
      <c r="AD3"/>
    </row>
    <row r="4" spans="1:30" x14ac:dyDescent="0.25">
      <c r="A4" s="51"/>
      <c r="B4" s="9" t="s">
        <v>44</v>
      </c>
      <c r="C4" s="9">
        <v>12</v>
      </c>
      <c r="D4" s="9">
        <v>3</v>
      </c>
      <c r="E4" s="9">
        <v>12</v>
      </c>
      <c r="F4" s="9">
        <v>3</v>
      </c>
      <c r="G4" s="10">
        <f t="shared" ref="G4:G10" si="5">(C4^2/4*D4+E4^2/4*F4)*PI()</f>
        <v>678.58401317539528</v>
      </c>
      <c r="H4" s="9">
        <v>12</v>
      </c>
      <c r="I4" s="9">
        <v>3</v>
      </c>
      <c r="J4" s="9">
        <v>12</v>
      </c>
      <c r="K4" s="9">
        <v>3</v>
      </c>
      <c r="L4" s="10">
        <f t="shared" ref="L4:L10" si="6">(H4^2/4*I4+J4^2/4*K4)*PI()</f>
        <v>678.58401317539528</v>
      </c>
      <c r="M4" s="15">
        <f t="shared" si="0"/>
        <v>6.1689455743217754E-3</v>
      </c>
      <c r="N4" s="16" t="str">
        <f t="shared" si="1"/>
        <v>OK</v>
      </c>
      <c r="O4" s="15">
        <f t="shared" si="2"/>
        <v>6.1689455743217754E-3</v>
      </c>
      <c r="P4" s="28" t="str">
        <f t="shared" si="3"/>
        <v>OK</v>
      </c>
      <c r="Q4" s="10">
        <f t="shared" si="4"/>
        <v>0</v>
      </c>
      <c r="T4" s="21"/>
      <c r="U4" s="2"/>
      <c r="V4" s="2"/>
      <c r="W4" s="2" t="s">
        <v>1</v>
      </c>
      <c r="X4" s="2">
        <v>220</v>
      </c>
      <c r="Y4" s="2" t="s">
        <v>2</v>
      </c>
      <c r="AA4" s="3"/>
      <c r="AC4"/>
      <c r="AD4"/>
    </row>
    <row r="5" spans="1:30" x14ac:dyDescent="0.25">
      <c r="A5" s="51">
        <v>2</v>
      </c>
      <c r="B5" s="9" t="s">
        <v>43</v>
      </c>
      <c r="C5" s="9">
        <v>12</v>
      </c>
      <c r="D5" s="9">
        <v>3</v>
      </c>
      <c r="E5" s="9">
        <v>12</v>
      </c>
      <c r="F5" s="9">
        <v>3</v>
      </c>
      <c r="G5" s="10">
        <f t="shared" si="5"/>
        <v>678.58401317539528</v>
      </c>
      <c r="H5" s="9">
        <v>12</v>
      </c>
      <c r="I5" s="9">
        <v>3</v>
      </c>
      <c r="J5" s="9">
        <v>12</v>
      </c>
      <c r="K5" s="9">
        <v>3</v>
      </c>
      <c r="L5" s="10">
        <f t="shared" si="6"/>
        <v>678.58401317539528</v>
      </c>
      <c r="M5" s="15">
        <f t="shared" si="0"/>
        <v>6.1689455743217754E-3</v>
      </c>
      <c r="N5" s="16" t="str">
        <f t="shared" si="1"/>
        <v>OK</v>
      </c>
      <c r="O5" s="15">
        <f t="shared" si="2"/>
        <v>6.1689455743217754E-3</v>
      </c>
      <c r="P5" s="28" t="str">
        <f t="shared" si="3"/>
        <v>OK</v>
      </c>
      <c r="Q5" s="10">
        <f t="shared" si="4"/>
        <v>0</v>
      </c>
      <c r="T5" s="21"/>
      <c r="U5" s="2"/>
      <c r="V5" s="2"/>
      <c r="W5" s="2" t="s">
        <v>13</v>
      </c>
      <c r="X5" s="35">
        <f>X4-40</f>
        <v>180</v>
      </c>
      <c r="AA5" s="3"/>
      <c r="AC5"/>
      <c r="AD5"/>
    </row>
    <row r="6" spans="1:30" x14ac:dyDescent="0.25">
      <c r="A6" s="51"/>
      <c r="B6" s="9" t="s">
        <v>44</v>
      </c>
      <c r="C6" s="9">
        <v>12</v>
      </c>
      <c r="D6" s="9">
        <v>3</v>
      </c>
      <c r="E6" s="9">
        <v>12</v>
      </c>
      <c r="F6" s="9">
        <v>3</v>
      </c>
      <c r="G6" s="10">
        <f t="shared" si="5"/>
        <v>678.58401317539528</v>
      </c>
      <c r="H6" s="9">
        <v>12</v>
      </c>
      <c r="I6" s="9">
        <v>3</v>
      </c>
      <c r="J6" s="9">
        <v>12</v>
      </c>
      <c r="K6" s="9">
        <v>3</v>
      </c>
      <c r="L6" s="10">
        <f t="shared" si="6"/>
        <v>678.58401317539528</v>
      </c>
      <c r="M6" s="15">
        <f t="shared" si="0"/>
        <v>6.1689455743217754E-3</v>
      </c>
      <c r="N6" s="16" t="str">
        <f t="shared" si="1"/>
        <v>OK</v>
      </c>
      <c r="O6" s="15">
        <f t="shared" si="2"/>
        <v>6.1689455743217754E-3</v>
      </c>
      <c r="P6" s="28" t="str">
        <f t="shared" si="3"/>
        <v>OK</v>
      </c>
      <c r="Q6" s="10">
        <f t="shared" si="4"/>
        <v>0</v>
      </c>
      <c r="T6" s="21"/>
      <c r="U6" s="2"/>
      <c r="V6" s="2"/>
      <c r="W6" s="2" t="s">
        <v>10</v>
      </c>
      <c r="X6" s="2">
        <f>450</f>
        <v>450</v>
      </c>
      <c r="Y6" s="2" t="s">
        <v>3</v>
      </c>
      <c r="AA6" s="3"/>
      <c r="AC6"/>
      <c r="AD6"/>
    </row>
    <row r="7" spans="1:30" x14ac:dyDescent="0.25">
      <c r="A7" s="51">
        <v>3</v>
      </c>
      <c r="B7" s="9" t="s">
        <v>43</v>
      </c>
      <c r="C7" s="9">
        <v>12</v>
      </c>
      <c r="D7" s="9">
        <v>3</v>
      </c>
      <c r="E7" s="9">
        <v>12</v>
      </c>
      <c r="F7" s="9">
        <v>3</v>
      </c>
      <c r="G7" s="10">
        <f t="shared" si="5"/>
        <v>678.58401317539528</v>
      </c>
      <c r="H7" s="9">
        <v>12</v>
      </c>
      <c r="I7" s="9">
        <v>3</v>
      </c>
      <c r="J7" s="9">
        <v>12</v>
      </c>
      <c r="K7" s="9">
        <v>3</v>
      </c>
      <c r="L7" s="10">
        <f t="shared" si="6"/>
        <v>678.58401317539528</v>
      </c>
      <c r="M7" s="15">
        <f t="shared" si="0"/>
        <v>6.1689455743217754E-3</v>
      </c>
      <c r="N7" s="16" t="str">
        <f t="shared" si="1"/>
        <v>OK</v>
      </c>
      <c r="O7" s="15">
        <f t="shared" si="2"/>
        <v>6.1689455743217754E-3</v>
      </c>
      <c r="P7" s="28" t="str">
        <f t="shared" si="3"/>
        <v>OK</v>
      </c>
      <c r="Q7" s="10">
        <f t="shared" si="4"/>
        <v>0</v>
      </c>
      <c r="T7" s="21"/>
      <c r="U7" s="2"/>
      <c r="V7" s="2"/>
      <c r="W7" s="2" t="s">
        <v>56</v>
      </c>
      <c r="X7" s="2">
        <f>X6/1.15</f>
        <v>391.304347826087</v>
      </c>
      <c r="AA7" s="3"/>
      <c r="AC7"/>
      <c r="AD7"/>
    </row>
    <row r="8" spans="1:30" x14ac:dyDescent="0.25">
      <c r="A8" s="51"/>
      <c r="B8" s="9" t="s">
        <v>44</v>
      </c>
      <c r="C8" s="9">
        <v>12</v>
      </c>
      <c r="D8" s="9">
        <v>3</v>
      </c>
      <c r="E8" s="9">
        <v>12</v>
      </c>
      <c r="F8" s="9">
        <v>3</v>
      </c>
      <c r="G8" s="10">
        <f t="shared" si="5"/>
        <v>678.58401317539528</v>
      </c>
      <c r="H8" s="9">
        <v>12</v>
      </c>
      <c r="I8" s="9">
        <v>3</v>
      </c>
      <c r="J8" s="9">
        <v>12</v>
      </c>
      <c r="K8" s="9">
        <v>3</v>
      </c>
      <c r="L8" s="10">
        <f t="shared" si="6"/>
        <v>678.58401317539528</v>
      </c>
      <c r="M8" s="15">
        <f t="shared" si="0"/>
        <v>6.1689455743217754E-3</v>
      </c>
      <c r="N8" s="16" t="str">
        <f t="shared" si="1"/>
        <v>OK</v>
      </c>
      <c r="O8" s="15">
        <f t="shared" si="2"/>
        <v>6.1689455743217754E-3</v>
      </c>
      <c r="P8" s="28" t="str">
        <f t="shared" si="3"/>
        <v>OK</v>
      </c>
      <c r="Q8" s="10">
        <f t="shared" si="4"/>
        <v>0</v>
      </c>
      <c r="T8" s="21"/>
      <c r="U8" s="2"/>
      <c r="V8" s="2"/>
      <c r="W8" s="2" t="s">
        <v>7</v>
      </c>
      <c r="X8" s="3">
        <f>1.4/X6*X3*X4</f>
        <v>342.22222222222217</v>
      </c>
      <c r="Y8" s="2" t="s">
        <v>6</v>
      </c>
      <c r="AA8" s="3"/>
      <c r="AC8"/>
      <c r="AD8"/>
    </row>
    <row r="9" spans="1:30" x14ac:dyDescent="0.25">
      <c r="A9" s="51">
        <v>4</v>
      </c>
      <c r="B9" s="9" t="s">
        <v>43</v>
      </c>
      <c r="C9" s="9">
        <v>12</v>
      </c>
      <c r="D9" s="9">
        <v>3</v>
      </c>
      <c r="E9" s="9">
        <v>12</v>
      </c>
      <c r="F9" s="9">
        <v>3</v>
      </c>
      <c r="G9" s="10">
        <f t="shared" si="5"/>
        <v>678.58401317539528</v>
      </c>
      <c r="H9" s="9">
        <v>12</v>
      </c>
      <c r="I9" s="9">
        <v>3</v>
      </c>
      <c r="J9" s="9">
        <v>12</v>
      </c>
      <c r="K9" s="9">
        <v>3</v>
      </c>
      <c r="L9" s="10">
        <f t="shared" si="6"/>
        <v>678.58401317539528</v>
      </c>
      <c r="M9" s="15">
        <f t="shared" si="0"/>
        <v>6.1689455743217754E-3</v>
      </c>
      <c r="N9" s="16" t="str">
        <f t="shared" si="1"/>
        <v>OK</v>
      </c>
      <c r="O9" s="15">
        <f t="shared" si="2"/>
        <v>6.1689455743217754E-3</v>
      </c>
      <c r="P9" s="28" t="str">
        <f t="shared" si="3"/>
        <v>OK</v>
      </c>
      <c r="Q9" s="10">
        <f t="shared" si="4"/>
        <v>0</v>
      </c>
      <c r="T9" s="17"/>
      <c r="U9" s="2"/>
      <c r="V9" s="2"/>
      <c r="W9" s="2" t="s">
        <v>8</v>
      </c>
      <c r="X9" s="3">
        <f>3.5/X6*X3*X4</f>
        <v>855.55555555555554</v>
      </c>
      <c r="Y9" s="2" t="s">
        <v>6</v>
      </c>
      <c r="AC9"/>
      <c r="AD9"/>
    </row>
    <row r="10" spans="1:30" x14ac:dyDescent="0.25">
      <c r="A10" s="51"/>
      <c r="B10" s="9" t="s">
        <v>44</v>
      </c>
      <c r="C10" s="9">
        <v>12</v>
      </c>
      <c r="D10" s="9">
        <v>3</v>
      </c>
      <c r="E10" s="9">
        <v>12</v>
      </c>
      <c r="F10" s="9">
        <v>3</v>
      </c>
      <c r="G10" s="10">
        <f t="shared" si="5"/>
        <v>678.58401317539528</v>
      </c>
      <c r="H10" s="9">
        <v>12</v>
      </c>
      <c r="I10" s="9">
        <v>3</v>
      </c>
      <c r="J10" s="9">
        <v>12</v>
      </c>
      <c r="K10" s="9">
        <v>3</v>
      </c>
      <c r="L10" s="10">
        <f t="shared" si="6"/>
        <v>678.58401317539528</v>
      </c>
      <c r="M10" s="15">
        <f t="shared" si="0"/>
        <v>6.1689455743217754E-3</v>
      </c>
      <c r="N10" s="16" t="str">
        <f t="shared" si="1"/>
        <v>OK</v>
      </c>
      <c r="O10" s="15">
        <f t="shared" si="2"/>
        <v>6.1689455743217754E-3</v>
      </c>
      <c r="P10" s="28" t="str">
        <f t="shared" si="3"/>
        <v>OK</v>
      </c>
      <c r="Q10" s="10">
        <f t="shared" si="4"/>
        <v>0</v>
      </c>
      <c r="S10" s="2"/>
      <c r="T10" s="17"/>
      <c r="U10" s="2"/>
      <c r="V10" s="2"/>
      <c r="W10" s="2" t="s">
        <v>11</v>
      </c>
      <c r="X10" s="4">
        <f>X8/(X4*X3)</f>
        <v>3.1111111111111105E-3</v>
      </c>
      <c r="AC10"/>
      <c r="AD10"/>
    </row>
    <row r="11" spans="1:30" x14ac:dyDescent="0.25">
      <c r="A11" s="7" t="s">
        <v>91</v>
      </c>
      <c r="B11" s="52" t="s">
        <v>42</v>
      </c>
      <c r="C11" s="54" t="s">
        <v>15</v>
      </c>
      <c r="D11" s="55"/>
      <c r="E11" s="55"/>
      <c r="F11" s="55"/>
      <c r="G11" s="56"/>
      <c r="H11" s="54" t="s">
        <v>16</v>
      </c>
      <c r="I11" s="55"/>
      <c r="J11" s="55"/>
      <c r="K11" s="55"/>
      <c r="L11" s="56"/>
      <c r="M11" s="7" t="s">
        <v>48</v>
      </c>
      <c r="O11" s="7" t="s">
        <v>47</v>
      </c>
      <c r="P11" s="2"/>
      <c r="Q11" s="7" t="s">
        <v>54</v>
      </c>
      <c r="S11" s="2"/>
      <c r="T11" s="21"/>
      <c r="U11" s="2"/>
      <c r="V11" s="2"/>
      <c r="W11" s="2" t="s">
        <v>9</v>
      </c>
      <c r="X11" s="5">
        <f>0.25*X10</f>
        <v>7.7777777777777763E-4</v>
      </c>
      <c r="AC11"/>
      <c r="AD11"/>
    </row>
    <row r="12" spans="1:30" x14ac:dyDescent="0.25">
      <c r="A12" s="7" t="s">
        <v>40</v>
      </c>
      <c r="B12" s="53"/>
      <c r="C12" s="7" t="s">
        <v>25</v>
      </c>
      <c r="D12" s="7" t="s">
        <v>26</v>
      </c>
      <c r="E12" s="7" t="s">
        <v>25</v>
      </c>
      <c r="F12" s="7" t="s">
        <v>26</v>
      </c>
      <c r="G12" s="7" t="s">
        <v>41</v>
      </c>
      <c r="H12" s="7" t="s">
        <v>25</v>
      </c>
      <c r="I12" s="7" t="s">
        <v>26</v>
      </c>
      <c r="J12" s="7" t="s">
        <v>25</v>
      </c>
      <c r="K12" s="7" t="s">
        <v>26</v>
      </c>
      <c r="L12" s="7" t="s">
        <v>41</v>
      </c>
      <c r="M12" s="18" t="s">
        <v>27</v>
      </c>
      <c r="N12" s="17"/>
      <c r="O12" s="18" t="s">
        <v>27</v>
      </c>
      <c r="P12" s="2"/>
      <c r="Q12" s="7" t="s">
        <v>2</v>
      </c>
      <c r="S12" s="2"/>
      <c r="T12" s="21"/>
      <c r="U12" s="2"/>
      <c r="V12" s="2"/>
      <c r="W12" s="2" t="s">
        <v>9</v>
      </c>
      <c r="X12" s="5">
        <f>0.5*X10</f>
        <v>1.5555555555555553E-3</v>
      </c>
      <c r="Y12" s="6" t="s">
        <v>12</v>
      </c>
      <c r="AC12"/>
      <c r="AD12"/>
    </row>
    <row r="13" spans="1:30" x14ac:dyDescent="0.25">
      <c r="A13" s="51">
        <v>1</v>
      </c>
      <c r="B13" s="9" t="s">
        <v>43</v>
      </c>
      <c r="C13" s="9">
        <v>12</v>
      </c>
      <c r="D13" s="9">
        <v>3</v>
      </c>
      <c r="E13" s="9">
        <v>12</v>
      </c>
      <c r="F13" s="9">
        <v>3</v>
      </c>
      <c r="G13" s="10">
        <f>(C13^2/4*D13+E13^2/4*F13)*PI()</f>
        <v>678.58401317539528</v>
      </c>
      <c r="H13" s="9">
        <v>12</v>
      </c>
      <c r="I13" s="9">
        <v>3</v>
      </c>
      <c r="J13" s="9">
        <v>12</v>
      </c>
      <c r="K13" s="9">
        <v>3</v>
      </c>
      <c r="L13" s="10">
        <f>(H13^2/4*I13+J13^2/4*K13)*PI()</f>
        <v>678.58401317539528</v>
      </c>
      <c r="M13" s="15">
        <f t="shared" ref="M13:M20" si="7">G13/($X$3*$X$4)</f>
        <v>6.1689455743217754E-3</v>
      </c>
      <c r="N13" s="16" t="str">
        <f t="shared" ref="N13:N20" si="8">IF($T$3&lt;=M13,"OK","NO")</f>
        <v>OK</v>
      </c>
      <c r="O13" s="15">
        <f t="shared" ref="O13:O20" si="9">L13/($X$3*$X$4)</f>
        <v>6.1689455743217754E-3</v>
      </c>
      <c r="P13" s="28" t="str">
        <f t="shared" ref="P13:P20" si="10">IF(O13&gt;$T$3,"OK","NO")</f>
        <v>OK</v>
      </c>
      <c r="Q13" s="10">
        <f t="shared" ref="Q13:Q20" si="11">ABS($X$7*(G13-L13)/($X$15*0.8*$X$3))</f>
        <v>0</v>
      </c>
      <c r="S13" s="2"/>
      <c r="T13" s="21"/>
      <c r="U13" s="2"/>
      <c r="V13" s="2"/>
      <c r="AC13"/>
      <c r="AD13"/>
    </row>
    <row r="14" spans="1:30" x14ac:dyDescent="0.25">
      <c r="A14" s="51"/>
      <c r="B14" s="9" t="s">
        <v>44</v>
      </c>
      <c r="C14" s="9">
        <v>12</v>
      </c>
      <c r="D14" s="9">
        <v>3</v>
      </c>
      <c r="E14" s="9">
        <v>12</v>
      </c>
      <c r="F14" s="9">
        <v>3</v>
      </c>
      <c r="G14" s="10">
        <f t="shared" ref="G14:G20" si="12">(C14^2/4*D14+E14^2/4*F14)*PI()</f>
        <v>678.58401317539528</v>
      </c>
      <c r="H14" s="9">
        <v>12</v>
      </c>
      <c r="I14" s="9">
        <v>3</v>
      </c>
      <c r="J14" s="9">
        <v>12</v>
      </c>
      <c r="K14" s="9">
        <v>3</v>
      </c>
      <c r="L14" s="10">
        <f t="shared" ref="L14:L20" si="13">(H14^2/4*I14+J14^2/4*K14)*PI()</f>
        <v>678.58401317539528</v>
      </c>
      <c r="M14" s="15">
        <f t="shared" si="7"/>
        <v>6.1689455743217754E-3</v>
      </c>
      <c r="N14" s="16" t="str">
        <f t="shared" si="8"/>
        <v>OK</v>
      </c>
      <c r="O14" s="15">
        <f t="shared" si="9"/>
        <v>6.1689455743217754E-3</v>
      </c>
      <c r="P14" s="28" t="str">
        <f t="shared" si="10"/>
        <v>OK</v>
      </c>
      <c r="Q14" s="10">
        <f t="shared" si="11"/>
        <v>0</v>
      </c>
      <c r="S14" s="2"/>
      <c r="T14" s="21"/>
      <c r="U14" s="2"/>
      <c r="V14" s="2"/>
      <c r="X14" s="2">
        <f>269*1000^2/(0.9*X5*391)</f>
        <v>4246.7872817403932</v>
      </c>
      <c r="AC14"/>
      <c r="AD14"/>
    </row>
    <row r="15" spans="1:30" x14ac:dyDescent="0.25">
      <c r="A15" s="51">
        <v>2</v>
      </c>
      <c r="B15" s="9" t="s">
        <v>43</v>
      </c>
      <c r="C15" s="9">
        <v>12</v>
      </c>
      <c r="D15" s="9">
        <v>3</v>
      </c>
      <c r="E15" s="9">
        <v>12</v>
      </c>
      <c r="F15" s="9">
        <v>3</v>
      </c>
      <c r="G15" s="10">
        <f t="shared" si="12"/>
        <v>678.58401317539528</v>
      </c>
      <c r="H15" s="9">
        <v>12</v>
      </c>
      <c r="I15" s="9">
        <v>3</v>
      </c>
      <c r="J15" s="9">
        <v>12</v>
      </c>
      <c r="K15" s="9">
        <v>3</v>
      </c>
      <c r="L15" s="10">
        <f t="shared" si="13"/>
        <v>678.58401317539528</v>
      </c>
      <c r="M15" s="15">
        <f t="shared" si="7"/>
        <v>6.1689455743217754E-3</v>
      </c>
      <c r="N15" s="16" t="str">
        <f t="shared" si="8"/>
        <v>OK</v>
      </c>
      <c r="O15" s="15">
        <f t="shared" si="9"/>
        <v>6.1689455743217754E-3</v>
      </c>
      <c r="P15" s="28" t="str">
        <f t="shared" si="10"/>
        <v>OK</v>
      </c>
      <c r="Q15" s="10">
        <f t="shared" si="11"/>
        <v>0</v>
      </c>
      <c r="S15" s="2"/>
      <c r="T15" s="21"/>
      <c r="U15" s="2"/>
      <c r="V15" s="2"/>
      <c r="W15" s="2" t="s">
        <v>55</v>
      </c>
      <c r="X15" s="2">
        <f>0.85*30/1.5</f>
        <v>17</v>
      </c>
      <c r="AC15"/>
      <c r="AD15"/>
    </row>
    <row r="16" spans="1:30" x14ac:dyDescent="0.25">
      <c r="A16" s="51"/>
      <c r="B16" s="9" t="s">
        <v>44</v>
      </c>
      <c r="C16" s="9">
        <v>12</v>
      </c>
      <c r="D16" s="9">
        <v>3</v>
      </c>
      <c r="E16" s="9">
        <v>12</v>
      </c>
      <c r="F16" s="9">
        <v>3</v>
      </c>
      <c r="G16" s="10">
        <f t="shared" si="12"/>
        <v>678.58401317539528</v>
      </c>
      <c r="H16" s="9">
        <v>12</v>
      </c>
      <c r="I16" s="9">
        <v>3</v>
      </c>
      <c r="J16" s="9">
        <v>12</v>
      </c>
      <c r="K16" s="9">
        <v>3</v>
      </c>
      <c r="L16" s="10">
        <f t="shared" si="13"/>
        <v>678.58401317539528</v>
      </c>
      <c r="M16" s="15">
        <f t="shared" si="7"/>
        <v>6.1689455743217754E-3</v>
      </c>
      <c r="N16" s="16" t="str">
        <f t="shared" si="8"/>
        <v>OK</v>
      </c>
      <c r="O16" s="15">
        <f t="shared" si="9"/>
        <v>6.1689455743217754E-3</v>
      </c>
      <c r="P16" s="28" t="str">
        <f t="shared" si="10"/>
        <v>OK</v>
      </c>
      <c r="Q16" s="10">
        <f t="shared" si="11"/>
        <v>0</v>
      </c>
      <c r="T16" s="21"/>
      <c r="U16" s="2"/>
      <c r="V16" s="2"/>
      <c r="W16" s="2" t="s">
        <v>86</v>
      </c>
      <c r="X16" s="2">
        <v>210000</v>
      </c>
      <c r="AC16"/>
      <c r="AD16"/>
    </row>
    <row r="17" spans="1:31" x14ac:dyDescent="0.25">
      <c r="A17" s="51">
        <v>3</v>
      </c>
      <c r="B17" s="9" t="s">
        <v>43</v>
      </c>
      <c r="C17" s="9">
        <v>12</v>
      </c>
      <c r="D17" s="9">
        <v>3</v>
      </c>
      <c r="E17" s="9">
        <v>12</v>
      </c>
      <c r="F17" s="9">
        <v>3</v>
      </c>
      <c r="G17" s="10">
        <f t="shared" si="12"/>
        <v>678.58401317539528</v>
      </c>
      <c r="H17" s="9">
        <v>12</v>
      </c>
      <c r="I17" s="9">
        <v>3</v>
      </c>
      <c r="J17" s="9">
        <v>12</v>
      </c>
      <c r="K17" s="9">
        <v>3</v>
      </c>
      <c r="L17" s="10">
        <f t="shared" si="13"/>
        <v>678.58401317539528</v>
      </c>
      <c r="M17" s="15">
        <f t="shared" si="7"/>
        <v>6.1689455743217754E-3</v>
      </c>
      <c r="N17" s="16" t="str">
        <f t="shared" si="8"/>
        <v>OK</v>
      </c>
      <c r="O17" s="15">
        <f t="shared" si="9"/>
        <v>6.1689455743217754E-3</v>
      </c>
      <c r="P17" s="28" t="str">
        <f t="shared" si="10"/>
        <v>OK</v>
      </c>
      <c r="Q17" s="10">
        <f t="shared" si="11"/>
        <v>0</v>
      </c>
      <c r="AC17"/>
      <c r="AD17"/>
      <c r="AE17" s="17"/>
    </row>
    <row r="18" spans="1:31" x14ac:dyDescent="0.25">
      <c r="A18" s="51"/>
      <c r="B18" s="9" t="s">
        <v>44</v>
      </c>
      <c r="C18" s="9">
        <v>12</v>
      </c>
      <c r="D18" s="9">
        <v>3</v>
      </c>
      <c r="E18" s="9">
        <v>12</v>
      </c>
      <c r="F18" s="9">
        <v>3</v>
      </c>
      <c r="G18" s="10">
        <f t="shared" si="12"/>
        <v>678.58401317539528</v>
      </c>
      <c r="H18" s="9">
        <v>12</v>
      </c>
      <c r="I18" s="9">
        <v>3</v>
      </c>
      <c r="J18" s="9">
        <v>12</v>
      </c>
      <c r="K18" s="9">
        <v>3</v>
      </c>
      <c r="L18" s="10">
        <f t="shared" si="13"/>
        <v>678.58401317539528</v>
      </c>
      <c r="M18" s="15">
        <f t="shared" si="7"/>
        <v>6.1689455743217754E-3</v>
      </c>
      <c r="N18" s="16" t="str">
        <f t="shared" si="8"/>
        <v>OK</v>
      </c>
      <c r="O18" s="15">
        <f t="shared" si="9"/>
        <v>6.1689455743217754E-3</v>
      </c>
      <c r="P18" s="28" t="str">
        <f t="shared" si="10"/>
        <v>OK</v>
      </c>
      <c r="Q18" s="10">
        <f t="shared" si="11"/>
        <v>0</v>
      </c>
      <c r="AC18"/>
      <c r="AD18"/>
      <c r="AE18" s="17"/>
    </row>
    <row r="19" spans="1:31" x14ac:dyDescent="0.25">
      <c r="A19" s="51">
        <v>4</v>
      </c>
      <c r="B19" s="9" t="s">
        <v>43</v>
      </c>
      <c r="C19" s="9">
        <v>12</v>
      </c>
      <c r="D19" s="9">
        <v>3</v>
      </c>
      <c r="E19" s="9">
        <v>12</v>
      </c>
      <c r="F19" s="9">
        <v>3</v>
      </c>
      <c r="G19" s="10">
        <f t="shared" si="12"/>
        <v>678.58401317539528</v>
      </c>
      <c r="H19" s="9">
        <v>12</v>
      </c>
      <c r="I19" s="9">
        <v>3</v>
      </c>
      <c r="J19" s="9">
        <v>12</v>
      </c>
      <c r="K19" s="9">
        <v>3</v>
      </c>
      <c r="L19" s="10">
        <f t="shared" si="13"/>
        <v>678.58401317539528</v>
      </c>
      <c r="M19" s="15">
        <f t="shared" si="7"/>
        <v>6.1689455743217754E-3</v>
      </c>
      <c r="N19" s="16" t="str">
        <f t="shared" si="8"/>
        <v>OK</v>
      </c>
      <c r="O19" s="15">
        <f t="shared" si="9"/>
        <v>6.1689455743217754E-3</v>
      </c>
      <c r="P19" s="28" t="str">
        <f t="shared" si="10"/>
        <v>OK</v>
      </c>
      <c r="Q19" s="10">
        <f t="shared" si="11"/>
        <v>0</v>
      </c>
      <c r="AC19"/>
      <c r="AD19"/>
      <c r="AE19" s="21"/>
    </row>
    <row r="20" spans="1:31" x14ac:dyDescent="0.25">
      <c r="A20" s="51"/>
      <c r="B20" s="9" t="s">
        <v>44</v>
      </c>
      <c r="C20" s="9">
        <v>12</v>
      </c>
      <c r="D20" s="9">
        <v>3</v>
      </c>
      <c r="E20" s="9">
        <v>12</v>
      </c>
      <c r="F20" s="9">
        <v>3</v>
      </c>
      <c r="G20" s="10">
        <f t="shared" si="12"/>
        <v>678.58401317539528</v>
      </c>
      <c r="H20" s="9">
        <v>12</v>
      </c>
      <c r="I20" s="9">
        <v>3</v>
      </c>
      <c r="J20" s="9">
        <v>12</v>
      </c>
      <c r="K20" s="9">
        <v>3</v>
      </c>
      <c r="L20" s="10">
        <f t="shared" si="13"/>
        <v>678.58401317539528</v>
      </c>
      <c r="M20" s="15">
        <f t="shared" si="7"/>
        <v>6.1689455743217754E-3</v>
      </c>
      <c r="N20" s="16" t="str">
        <f t="shared" si="8"/>
        <v>OK</v>
      </c>
      <c r="O20" s="15">
        <f t="shared" si="9"/>
        <v>6.1689455743217754E-3</v>
      </c>
      <c r="P20" s="28" t="str">
        <f t="shared" si="10"/>
        <v>OK</v>
      </c>
      <c r="Q20" s="10">
        <f t="shared" si="11"/>
        <v>0</v>
      </c>
      <c r="AC20"/>
      <c r="AD20"/>
      <c r="AE20" s="21"/>
    </row>
    <row r="21" spans="1:31" x14ac:dyDescent="0.25">
      <c r="A21" s="7" t="s">
        <v>92</v>
      </c>
      <c r="B21" s="52" t="s">
        <v>42</v>
      </c>
      <c r="C21" s="54" t="s">
        <v>15</v>
      </c>
      <c r="D21" s="55"/>
      <c r="E21" s="55"/>
      <c r="F21" s="55"/>
      <c r="G21" s="56"/>
      <c r="H21" s="54" t="s">
        <v>16</v>
      </c>
      <c r="I21" s="55"/>
      <c r="J21" s="55"/>
      <c r="K21" s="55"/>
      <c r="L21" s="56"/>
      <c r="M21" s="7" t="s">
        <v>48</v>
      </c>
      <c r="O21" s="7" t="s">
        <v>47</v>
      </c>
      <c r="P21" s="2"/>
      <c r="Q21" s="7" t="s">
        <v>54</v>
      </c>
      <c r="AC21"/>
      <c r="AD21"/>
      <c r="AE21" s="21"/>
    </row>
    <row r="22" spans="1:31" x14ac:dyDescent="0.25">
      <c r="A22" s="7" t="s">
        <v>40</v>
      </c>
      <c r="B22" s="53"/>
      <c r="C22" s="7" t="s">
        <v>25</v>
      </c>
      <c r="D22" s="7" t="s">
        <v>26</v>
      </c>
      <c r="E22" s="7" t="s">
        <v>25</v>
      </c>
      <c r="F22" s="7" t="s">
        <v>26</v>
      </c>
      <c r="G22" s="7" t="s">
        <v>41</v>
      </c>
      <c r="H22" s="7" t="s">
        <v>25</v>
      </c>
      <c r="I22" s="7" t="s">
        <v>26</v>
      </c>
      <c r="J22" s="7" t="s">
        <v>25</v>
      </c>
      <c r="K22" s="7" t="s">
        <v>26</v>
      </c>
      <c r="L22" s="7" t="s">
        <v>41</v>
      </c>
      <c r="M22" s="18" t="s">
        <v>27</v>
      </c>
      <c r="N22" s="17"/>
      <c r="O22" s="18" t="s">
        <v>27</v>
      </c>
      <c r="P22" s="2"/>
      <c r="Q22" s="7" t="s">
        <v>2</v>
      </c>
      <c r="AC22"/>
      <c r="AD22"/>
      <c r="AE22" s="21"/>
    </row>
    <row r="23" spans="1:31" x14ac:dyDescent="0.25">
      <c r="A23" s="51">
        <v>1</v>
      </c>
      <c r="B23" s="9" t="s">
        <v>43</v>
      </c>
      <c r="C23" s="9">
        <v>12</v>
      </c>
      <c r="D23" s="9">
        <v>3</v>
      </c>
      <c r="E23" s="9">
        <v>12</v>
      </c>
      <c r="F23" s="9">
        <v>3</v>
      </c>
      <c r="G23" s="10">
        <f>(C23^2/4*D23+E23^2/4*F23)*PI()</f>
        <v>678.58401317539528</v>
      </c>
      <c r="H23" s="9">
        <v>12</v>
      </c>
      <c r="I23" s="9">
        <v>3</v>
      </c>
      <c r="J23" s="9">
        <v>12</v>
      </c>
      <c r="K23" s="9">
        <v>3</v>
      </c>
      <c r="L23" s="10">
        <f>(H23^2/4*I23+J23^2/4*K23)*PI()</f>
        <v>678.58401317539528</v>
      </c>
      <c r="M23" s="15">
        <f t="shared" ref="M23:M30" si="14">G23/($X$3*$X$4)</f>
        <v>6.1689455743217754E-3</v>
      </c>
      <c r="N23" s="16" t="str">
        <f t="shared" ref="N23:N30" si="15">IF($T$3&lt;=M23,"OK","NO")</f>
        <v>OK</v>
      </c>
      <c r="O23" s="15">
        <f t="shared" ref="O23:O30" si="16">L23/($X$3*$X$4)</f>
        <v>6.1689455743217754E-3</v>
      </c>
      <c r="P23" s="28" t="str">
        <f t="shared" ref="P23:P30" si="17">IF(O23&gt;$T$3,"OK","NO")</f>
        <v>OK</v>
      </c>
      <c r="Q23" s="10">
        <f t="shared" ref="Q23:Q30" si="18">ABS($X$7*(G23-L23)/($X$15*0.8*$X$3))</f>
        <v>0</v>
      </c>
      <c r="AC23"/>
      <c r="AD23"/>
      <c r="AE23" s="21"/>
    </row>
    <row r="24" spans="1:31" x14ac:dyDescent="0.25">
      <c r="A24" s="51"/>
      <c r="B24" s="9" t="s">
        <v>44</v>
      </c>
      <c r="C24" s="9">
        <v>12</v>
      </c>
      <c r="D24" s="9">
        <v>3</v>
      </c>
      <c r="E24" s="9">
        <v>12</v>
      </c>
      <c r="F24" s="9">
        <v>3</v>
      </c>
      <c r="G24" s="10">
        <f t="shared" ref="G24:G30" si="19">(C24^2/4*D24+E24^2/4*F24)*PI()</f>
        <v>678.58401317539528</v>
      </c>
      <c r="H24" s="9">
        <v>12</v>
      </c>
      <c r="I24" s="9">
        <v>3</v>
      </c>
      <c r="J24" s="9">
        <v>12</v>
      </c>
      <c r="K24" s="9">
        <v>3</v>
      </c>
      <c r="L24" s="10">
        <f t="shared" ref="L24:L30" si="20">(H24^2/4*I24+J24^2/4*K24)*PI()</f>
        <v>678.58401317539528</v>
      </c>
      <c r="M24" s="15">
        <f t="shared" si="14"/>
        <v>6.1689455743217754E-3</v>
      </c>
      <c r="N24" s="16" t="str">
        <f t="shared" si="15"/>
        <v>OK</v>
      </c>
      <c r="O24" s="15">
        <f t="shared" si="16"/>
        <v>6.1689455743217754E-3</v>
      </c>
      <c r="P24" s="28" t="str">
        <f t="shared" si="17"/>
        <v>OK</v>
      </c>
      <c r="Q24" s="10">
        <f t="shared" si="18"/>
        <v>0</v>
      </c>
      <c r="AC24"/>
      <c r="AD24"/>
      <c r="AE24" s="21"/>
    </row>
    <row r="25" spans="1:31" x14ac:dyDescent="0.25">
      <c r="A25" s="51">
        <v>2</v>
      </c>
      <c r="B25" s="9" t="s">
        <v>43</v>
      </c>
      <c r="C25" s="9">
        <v>12</v>
      </c>
      <c r="D25" s="9">
        <v>3</v>
      </c>
      <c r="E25" s="9">
        <v>12</v>
      </c>
      <c r="F25" s="9">
        <v>3</v>
      </c>
      <c r="G25" s="10">
        <f t="shared" si="19"/>
        <v>678.58401317539528</v>
      </c>
      <c r="H25" s="9">
        <v>12</v>
      </c>
      <c r="I25" s="9">
        <v>3</v>
      </c>
      <c r="J25" s="9">
        <v>12</v>
      </c>
      <c r="K25" s="9">
        <v>3</v>
      </c>
      <c r="L25" s="10">
        <f t="shared" si="20"/>
        <v>678.58401317539528</v>
      </c>
      <c r="M25" s="15">
        <f t="shared" si="14"/>
        <v>6.1689455743217754E-3</v>
      </c>
      <c r="N25" s="16" t="str">
        <f t="shared" si="15"/>
        <v>OK</v>
      </c>
      <c r="O25" s="15">
        <f t="shared" si="16"/>
        <v>6.1689455743217754E-3</v>
      </c>
      <c r="P25" s="28" t="str">
        <f t="shared" si="17"/>
        <v>OK</v>
      </c>
      <c r="Q25" s="10">
        <f t="shared" si="18"/>
        <v>0</v>
      </c>
      <c r="AC25"/>
      <c r="AD25"/>
      <c r="AE25" s="21"/>
    </row>
    <row r="26" spans="1:31" x14ac:dyDescent="0.25">
      <c r="A26" s="51"/>
      <c r="B26" s="9" t="s">
        <v>44</v>
      </c>
      <c r="C26" s="9">
        <v>12</v>
      </c>
      <c r="D26" s="9">
        <v>3</v>
      </c>
      <c r="E26" s="9">
        <v>12</v>
      </c>
      <c r="F26" s="9">
        <v>3</v>
      </c>
      <c r="G26" s="10">
        <f t="shared" si="19"/>
        <v>678.58401317539528</v>
      </c>
      <c r="H26" s="9">
        <v>12</v>
      </c>
      <c r="I26" s="9">
        <v>3</v>
      </c>
      <c r="J26" s="9">
        <v>12</v>
      </c>
      <c r="K26" s="9">
        <v>3</v>
      </c>
      <c r="L26" s="10">
        <f t="shared" si="20"/>
        <v>678.58401317539528</v>
      </c>
      <c r="M26" s="15">
        <f t="shared" si="14"/>
        <v>6.1689455743217754E-3</v>
      </c>
      <c r="N26" s="16" t="str">
        <f t="shared" si="15"/>
        <v>OK</v>
      </c>
      <c r="O26" s="15">
        <f t="shared" si="16"/>
        <v>6.1689455743217754E-3</v>
      </c>
      <c r="P26" s="28" t="str">
        <f t="shared" si="17"/>
        <v>OK</v>
      </c>
      <c r="Q26" s="10">
        <f t="shared" si="18"/>
        <v>0</v>
      </c>
      <c r="AC26"/>
      <c r="AD26"/>
      <c r="AE26" s="21"/>
    </row>
    <row r="27" spans="1:31" x14ac:dyDescent="0.25">
      <c r="A27" s="51">
        <v>3</v>
      </c>
      <c r="B27" s="9" t="s">
        <v>43</v>
      </c>
      <c r="C27" s="9">
        <v>12</v>
      </c>
      <c r="D27" s="9">
        <v>3</v>
      </c>
      <c r="E27" s="9">
        <v>12</v>
      </c>
      <c r="F27" s="9">
        <v>3</v>
      </c>
      <c r="G27" s="10">
        <f t="shared" si="19"/>
        <v>678.58401317539528</v>
      </c>
      <c r="H27" s="9">
        <v>12</v>
      </c>
      <c r="I27" s="9">
        <v>3</v>
      </c>
      <c r="J27" s="9">
        <v>12</v>
      </c>
      <c r="K27" s="9">
        <v>3</v>
      </c>
      <c r="L27" s="10">
        <f t="shared" si="20"/>
        <v>678.58401317539528</v>
      </c>
      <c r="M27" s="15">
        <f t="shared" si="14"/>
        <v>6.1689455743217754E-3</v>
      </c>
      <c r="N27" s="16" t="str">
        <f t="shared" si="15"/>
        <v>OK</v>
      </c>
      <c r="O27" s="15">
        <f t="shared" si="16"/>
        <v>6.1689455743217754E-3</v>
      </c>
      <c r="P27" s="28" t="str">
        <f t="shared" si="17"/>
        <v>OK</v>
      </c>
      <c r="Q27" s="10">
        <f t="shared" si="18"/>
        <v>0</v>
      </c>
      <c r="AC27"/>
      <c r="AD27"/>
      <c r="AE27" s="21"/>
    </row>
    <row r="28" spans="1:31" x14ac:dyDescent="0.25">
      <c r="A28" s="51"/>
      <c r="B28" s="9" t="s">
        <v>44</v>
      </c>
      <c r="C28" s="9">
        <v>12</v>
      </c>
      <c r="D28" s="9">
        <v>3</v>
      </c>
      <c r="E28" s="9">
        <v>12</v>
      </c>
      <c r="F28" s="9">
        <v>3</v>
      </c>
      <c r="G28" s="10">
        <f t="shared" si="19"/>
        <v>678.58401317539528</v>
      </c>
      <c r="H28" s="9">
        <v>12</v>
      </c>
      <c r="I28" s="9">
        <v>3</v>
      </c>
      <c r="J28" s="9">
        <v>12</v>
      </c>
      <c r="K28" s="9">
        <v>3</v>
      </c>
      <c r="L28" s="10">
        <f t="shared" si="20"/>
        <v>678.58401317539528</v>
      </c>
      <c r="M28" s="15">
        <f t="shared" si="14"/>
        <v>6.1689455743217754E-3</v>
      </c>
      <c r="N28" s="16" t="str">
        <f t="shared" si="15"/>
        <v>OK</v>
      </c>
      <c r="O28" s="15">
        <f t="shared" si="16"/>
        <v>6.1689455743217754E-3</v>
      </c>
      <c r="P28" s="28" t="str">
        <f t="shared" si="17"/>
        <v>OK</v>
      </c>
      <c r="Q28" s="10">
        <f t="shared" si="18"/>
        <v>0</v>
      </c>
      <c r="AC28"/>
      <c r="AD28"/>
      <c r="AE28" s="21"/>
    </row>
    <row r="29" spans="1:31" x14ac:dyDescent="0.25">
      <c r="A29" s="51">
        <v>4</v>
      </c>
      <c r="B29" s="9" t="s">
        <v>43</v>
      </c>
      <c r="C29" s="9">
        <v>12</v>
      </c>
      <c r="D29" s="9">
        <v>3</v>
      </c>
      <c r="E29" s="9">
        <v>12</v>
      </c>
      <c r="F29" s="9">
        <v>3</v>
      </c>
      <c r="G29" s="10">
        <f t="shared" si="19"/>
        <v>678.58401317539528</v>
      </c>
      <c r="H29" s="9">
        <v>12</v>
      </c>
      <c r="I29" s="9">
        <v>3</v>
      </c>
      <c r="J29" s="9">
        <v>12</v>
      </c>
      <c r="K29" s="9">
        <v>3</v>
      </c>
      <c r="L29" s="10">
        <f t="shared" si="20"/>
        <v>678.58401317539528</v>
      </c>
      <c r="M29" s="15">
        <f t="shared" si="14"/>
        <v>6.1689455743217754E-3</v>
      </c>
      <c r="N29" s="16" t="str">
        <f t="shared" si="15"/>
        <v>OK</v>
      </c>
      <c r="O29" s="15">
        <f t="shared" si="16"/>
        <v>6.1689455743217754E-3</v>
      </c>
      <c r="P29" s="28" t="str">
        <f t="shared" si="17"/>
        <v>OK</v>
      </c>
      <c r="Q29" s="10">
        <f t="shared" si="18"/>
        <v>0</v>
      </c>
      <c r="AC29"/>
      <c r="AD29"/>
      <c r="AE29" s="21"/>
    </row>
    <row r="30" spans="1:31" x14ac:dyDescent="0.25">
      <c r="A30" s="51"/>
      <c r="B30" s="9" t="s">
        <v>44</v>
      </c>
      <c r="C30" s="9">
        <v>12</v>
      </c>
      <c r="D30" s="9">
        <v>3</v>
      </c>
      <c r="E30" s="9">
        <v>12</v>
      </c>
      <c r="F30" s="9">
        <v>3</v>
      </c>
      <c r="G30" s="10">
        <f t="shared" si="19"/>
        <v>678.58401317539528</v>
      </c>
      <c r="H30" s="9">
        <v>12</v>
      </c>
      <c r="I30" s="9">
        <v>3</v>
      </c>
      <c r="J30" s="9">
        <v>12</v>
      </c>
      <c r="K30" s="9">
        <v>3</v>
      </c>
      <c r="L30" s="10">
        <f t="shared" si="20"/>
        <v>678.58401317539528</v>
      </c>
      <c r="M30" s="15">
        <f t="shared" si="14"/>
        <v>6.1689455743217754E-3</v>
      </c>
      <c r="N30" s="16" t="str">
        <f t="shared" si="15"/>
        <v>OK</v>
      </c>
      <c r="O30" s="15">
        <f t="shared" si="16"/>
        <v>6.1689455743217754E-3</v>
      </c>
      <c r="P30" s="28" t="str">
        <f t="shared" si="17"/>
        <v>OK</v>
      </c>
      <c r="Q30" s="10">
        <f t="shared" si="18"/>
        <v>0</v>
      </c>
    </row>
    <row r="31" spans="1:31" ht="23.25" x14ac:dyDescent="0.35">
      <c r="A31" s="57" t="s">
        <v>75</v>
      </c>
      <c r="B31" s="57"/>
      <c r="C31" s="57"/>
      <c r="D31" s="57"/>
      <c r="E31" s="57"/>
      <c r="F31" s="57"/>
      <c r="G31" s="57"/>
      <c r="H31" s="57"/>
    </row>
    <row r="33" spans="1:19" x14ac:dyDescent="0.25">
      <c r="A33" s="7" t="s">
        <v>90</v>
      </c>
      <c r="B33" s="36" t="s">
        <v>42</v>
      </c>
      <c r="C33" s="7" t="s">
        <v>61</v>
      </c>
      <c r="D33" s="7" t="s">
        <v>60</v>
      </c>
      <c r="E33" s="7" t="s">
        <v>57</v>
      </c>
      <c r="F33" s="7" t="s">
        <v>62</v>
      </c>
      <c r="G33" s="7" t="s">
        <v>64</v>
      </c>
      <c r="H33" s="7" t="s">
        <v>65</v>
      </c>
    </row>
    <row r="34" spans="1:19" x14ac:dyDescent="0.25">
      <c r="A34" s="7" t="s">
        <v>40</v>
      </c>
      <c r="B34" s="37"/>
      <c r="C34" s="7" t="s">
        <v>23</v>
      </c>
      <c r="D34" s="7" t="s">
        <v>23</v>
      </c>
      <c r="E34" s="7" t="s">
        <v>58</v>
      </c>
      <c r="F34" s="7" t="s">
        <v>63</v>
      </c>
      <c r="G34" s="7" t="s">
        <v>59</v>
      </c>
      <c r="H34" s="7" t="s">
        <v>59</v>
      </c>
    </row>
    <row r="35" spans="1:19" x14ac:dyDescent="0.25">
      <c r="A35" s="48">
        <v>1</v>
      </c>
      <c r="B35" s="9" t="s">
        <v>43</v>
      </c>
      <c r="C35" s="30">
        <f>(G3*$X$7*($X$4-40-0.8*Q3/2)+L3*$X$7*(0.8*Q3/2-40))/1000^2</f>
        <v>37.174602460912958</v>
      </c>
      <c r="D35" s="30">
        <f>-(L3*$X$7*($X$4-40-0.8*Q3/2)+G3*$X$7*(0.8*Q3/2-40))/1000^2</f>
        <v>-37.174602460912958</v>
      </c>
      <c r="E35" s="29">
        <f>7.297*2+7.78</f>
        <v>22.373999999999999</v>
      </c>
      <c r="F35" s="9">
        <v>4</v>
      </c>
      <c r="G35" s="30">
        <f>$E35*$F35/2+($C35+$C36)/$F35*1.1</f>
        <v>65.194031353502126</v>
      </c>
      <c r="H35" s="30">
        <f>$E35*$F35/2+($D35+$D36)/$F35*1.1</f>
        <v>24.301968646497869</v>
      </c>
    </row>
    <row r="36" spans="1:19" x14ac:dyDescent="0.25">
      <c r="A36" s="49"/>
      <c r="B36" s="9" t="s">
        <v>44</v>
      </c>
      <c r="C36" s="30">
        <f>(L4*$X$7*($X$4-40-0.8*Q4/2)+G4*$X$7*(0.8*Q4/2-40))/1000^2</f>
        <v>37.174602460912958</v>
      </c>
      <c r="D36" s="30">
        <f>-(G4*$X$7*($X$4-40-0.8*Q4/2)+L4*$X$7*(0.8*Q4/2-40))/1000^2</f>
        <v>-37.174602460912958</v>
      </c>
      <c r="E36" s="29">
        <f t="shared" ref="E36:E52" si="21">7.297*2+7.78</f>
        <v>22.373999999999999</v>
      </c>
      <c r="F36" s="9">
        <v>4</v>
      </c>
      <c r="G36" s="30">
        <f>-$E36*$F36/2+($C35+$C36)/$F36*1.1</f>
        <v>-24.301968646497869</v>
      </c>
      <c r="H36" s="30">
        <f>-$E36*$F36/2+($D35+$D36)/$F36*1.1</f>
        <v>-65.194031353502126</v>
      </c>
    </row>
    <row r="37" spans="1:19" x14ac:dyDescent="0.25">
      <c r="A37" s="48">
        <v>2</v>
      </c>
      <c r="B37" s="9" t="s">
        <v>43</v>
      </c>
      <c r="C37" s="30">
        <f t="shared" ref="C37" si="22">(G5*$X$7*($X$4-40-0.8*Q5/2)+L5*$X$7*(0.8*Q5/2-40))/1000^2</f>
        <v>37.174602460912958</v>
      </c>
      <c r="D37" s="30">
        <f t="shared" ref="D37" si="23">-(L5*$X$7*($X$4-40-0.8*Q5/2)+G5*$X$7*(0.8*Q5/2-40))/1000^2</f>
        <v>-37.174602460912958</v>
      </c>
      <c r="E37" s="29">
        <f>7.297*2+7.78</f>
        <v>22.373999999999999</v>
      </c>
      <c r="F37" s="9">
        <v>4</v>
      </c>
      <c r="G37" s="30">
        <f>$E37*$F37/2+($C37+$C38)/$F37*1.1</f>
        <v>65.194031353502126</v>
      </c>
      <c r="H37" s="30">
        <f>$E37*$F37/2+($D37+$D38)/$F37*1.1</f>
        <v>24.301968646497869</v>
      </c>
    </row>
    <row r="38" spans="1:19" x14ac:dyDescent="0.25">
      <c r="A38" s="49"/>
      <c r="B38" s="9" t="s">
        <v>44</v>
      </c>
      <c r="C38" s="30">
        <f t="shared" ref="C38" si="24">(L6*$X$7*($X$4-40-0.8*Q6/2)+G6*$X$7*(0.8*Q6/2-40))/1000^2</f>
        <v>37.174602460912958</v>
      </c>
      <c r="D38" s="30">
        <f t="shared" ref="D38" si="25">-(G6*$X$7*($X$4-40-0.8*Q6/2)+L6*$X$7*(0.8*Q6/2-40))/1000^2</f>
        <v>-37.174602460912958</v>
      </c>
      <c r="E38" s="29">
        <f t="shared" si="21"/>
        <v>22.373999999999999</v>
      </c>
      <c r="F38" s="9">
        <v>4</v>
      </c>
      <c r="G38" s="30">
        <f>-$E38*$F38/2+($C37+$C38)/$F38*1.1</f>
        <v>-24.301968646497869</v>
      </c>
      <c r="H38" s="30">
        <f>-$E38*$F38/2+($D37+$D38)/$F38*1.1</f>
        <v>-65.194031353502126</v>
      </c>
    </row>
    <row r="39" spans="1:19" x14ac:dyDescent="0.25">
      <c r="A39" s="48">
        <v>3</v>
      </c>
      <c r="B39" s="9" t="s">
        <v>43</v>
      </c>
      <c r="C39" s="30">
        <f t="shared" ref="C39" si="26">(G7*$X$7*($X$4-40-0.8*Q7/2)+L7*$X$7*(0.8*Q7/2-40))/1000^2</f>
        <v>37.174602460912958</v>
      </c>
      <c r="D39" s="30">
        <f t="shared" ref="D39" si="27">-(L7*$X$7*($X$4-40-0.8*Q7/2)+G7*$X$7*(0.8*Q7/2-40))/1000^2</f>
        <v>-37.174602460912958</v>
      </c>
      <c r="E39" s="29">
        <f>7.297*2+7.78</f>
        <v>22.373999999999999</v>
      </c>
      <c r="F39" s="9">
        <v>4</v>
      </c>
      <c r="G39" s="30">
        <f>$E39*$F39/2+($C39+$C40)/$F39*1.1</f>
        <v>65.194031353502126</v>
      </c>
      <c r="H39" s="30">
        <f>$E39*$F39/2+($D39+$D40)/$F39*1.1</f>
        <v>24.301968646497869</v>
      </c>
    </row>
    <row r="40" spans="1:19" x14ac:dyDescent="0.25">
      <c r="A40" s="49"/>
      <c r="B40" s="9" t="s">
        <v>44</v>
      </c>
      <c r="C40" s="30">
        <f t="shared" ref="C40" si="28">(L8*$X$7*($X$4-40-0.8*Q8/2)+G8*$X$7*(0.8*Q8/2-40))/1000^2</f>
        <v>37.174602460912958</v>
      </c>
      <c r="D40" s="30">
        <f t="shared" ref="D40" si="29">-(G8*$X$7*($X$4-40-0.8*Q8/2)+L8*$X$7*(0.8*Q8/2-40))/1000^2</f>
        <v>-37.174602460912958</v>
      </c>
      <c r="E40" s="29">
        <f t="shared" si="21"/>
        <v>22.373999999999999</v>
      </c>
      <c r="F40" s="9">
        <v>4</v>
      </c>
      <c r="G40" s="30">
        <f>-$E40*$F40/2+($C39+$C40)/$F40*1.1</f>
        <v>-24.301968646497869</v>
      </c>
      <c r="H40" s="30">
        <f>-$E40*$F40/2+($D39+$D40)/$F40*1.1</f>
        <v>-65.194031353502126</v>
      </c>
    </row>
    <row r="41" spans="1:19" x14ac:dyDescent="0.25">
      <c r="A41" s="48">
        <v>4</v>
      </c>
      <c r="B41" s="9" t="s">
        <v>43</v>
      </c>
      <c r="C41" s="30">
        <f t="shared" ref="C41" si="30">(G9*$X$7*($X$4-40-0.8*Q9/2)+L9*$X$7*(0.8*Q9/2-40))/1000^2</f>
        <v>37.174602460912958</v>
      </c>
      <c r="D41" s="30">
        <f t="shared" ref="D41" si="31">-(L9*$X$7*($X$4-40-0.8*Q9/2)+G9*$X$7*(0.8*Q9/2-40))/1000^2</f>
        <v>-37.174602460912958</v>
      </c>
      <c r="E41" s="29">
        <f>7.297*2+7.78</f>
        <v>22.373999999999999</v>
      </c>
      <c r="F41" s="9">
        <v>4</v>
      </c>
      <c r="G41" s="30">
        <f>$E41*$F41/2+($C41+$C42)/$F41*1.1</f>
        <v>65.194031353502126</v>
      </c>
      <c r="H41" s="30">
        <f>$E41*$F41/2+($D41+$D42)/$F41*1.1</f>
        <v>24.301968646497869</v>
      </c>
      <c r="L41" s="17"/>
      <c r="M41" s="39"/>
      <c r="N41" s="40"/>
      <c r="O41" s="40"/>
      <c r="P41" s="17"/>
      <c r="Q41" s="17"/>
      <c r="R41" s="17"/>
      <c r="S41" s="17"/>
    </row>
    <row r="42" spans="1:19" x14ac:dyDescent="0.25">
      <c r="A42" s="49"/>
      <c r="B42" s="9" t="s">
        <v>44</v>
      </c>
      <c r="C42" s="30">
        <f t="shared" ref="C42" si="32">(L10*$X$7*($X$4-40-0.8*Q10/2)+G10*$X$7*(0.8*Q10/2-40))/1000^2</f>
        <v>37.174602460912958</v>
      </c>
      <c r="D42" s="30">
        <f t="shared" ref="D42" si="33">-(G10*$X$7*($X$4-40-0.8*Q10/2)+L10*$X$7*(0.8*Q10/2-40))/1000^2</f>
        <v>-37.174602460912958</v>
      </c>
      <c r="E42" s="29">
        <f t="shared" si="21"/>
        <v>22.373999999999999</v>
      </c>
      <c r="F42" s="9">
        <v>4</v>
      </c>
      <c r="G42" s="30">
        <f>-$E42*$F42/2+($C41+$C42)/$F42*1.1</f>
        <v>-24.301968646497869</v>
      </c>
      <c r="H42" s="30">
        <f>-$E42*$F42/2+($D41+$D42)/$F42*1.1</f>
        <v>-65.194031353502126</v>
      </c>
      <c r="L42" s="17"/>
      <c r="M42" s="39"/>
      <c r="N42" s="40"/>
      <c r="O42" s="40"/>
      <c r="P42" s="17"/>
      <c r="Q42" s="17"/>
      <c r="R42" s="17"/>
      <c r="S42" s="17"/>
    </row>
    <row r="43" spans="1:19" x14ac:dyDescent="0.25">
      <c r="A43" s="7" t="s">
        <v>91</v>
      </c>
      <c r="B43" s="36" t="s">
        <v>42</v>
      </c>
      <c r="C43" s="7" t="s">
        <v>61</v>
      </c>
      <c r="D43" s="7" t="s">
        <v>60</v>
      </c>
      <c r="E43" s="7" t="s">
        <v>57</v>
      </c>
      <c r="F43" s="7" t="s">
        <v>62</v>
      </c>
      <c r="G43" s="7" t="s">
        <v>64</v>
      </c>
      <c r="H43" s="7" t="s">
        <v>65</v>
      </c>
      <c r="L43" s="42"/>
      <c r="M43" s="17"/>
      <c r="N43" s="40"/>
      <c r="O43" s="40"/>
      <c r="P43" s="41"/>
      <c r="Q43" s="17"/>
      <c r="R43" s="40"/>
      <c r="S43" s="40"/>
    </row>
    <row r="44" spans="1:19" x14ac:dyDescent="0.25">
      <c r="A44" s="7" t="s">
        <v>40</v>
      </c>
      <c r="B44" s="37"/>
      <c r="C44" s="7" t="s">
        <v>23</v>
      </c>
      <c r="D44" s="7" t="s">
        <v>23</v>
      </c>
      <c r="E44" s="7" t="s">
        <v>58</v>
      </c>
      <c r="F44" s="7" t="s">
        <v>63</v>
      </c>
      <c r="G44" s="7" t="s">
        <v>59</v>
      </c>
      <c r="H44" s="7" t="s">
        <v>59</v>
      </c>
      <c r="L44" s="42"/>
      <c r="M44" s="17"/>
      <c r="N44" s="40"/>
      <c r="O44" s="40"/>
      <c r="P44" s="41"/>
      <c r="Q44" s="17"/>
      <c r="R44" s="40"/>
      <c r="S44" s="40"/>
    </row>
    <row r="45" spans="1:19" x14ac:dyDescent="0.25">
      <c r="A45" s="48">
        <v>1</v>
      </c>
      <c r="B45" s="9" t="s">
        <v>43</v>
      </c>
      <c r="C45" s="30">
        <f t="shared" ref="C45" si="34">(G13*$X$7*($X$4-40-0.8*Q13/2)+L13*$X$7*(0.8*Q13/2-40))/1000^2</f>
        <v>37.174602460912958</v>
      </c>
      <c r="D45" s="30">
        <f t="shared" ref="D45" si="35">-(L13*$X$7*($X$4-40-0.8*Q13/2)+G13*$X$7*(0.8*Q13/2-40))/1000^2</f>
        <v>-37.174602460912958</v>
      </c>
      <c r="E45" s="29">
        <f>7.297*2+7.78</f>
        <v>22.373999999999999</v>
      </c>
      <c r="F45" s="9">
        <v>4</v>
      </c>
      <c r="G45" s="30">
        <f>$E45*$F45/2+($C45+$C46)/$F45*1.1</f>
        <v>65.194031353502126</v>
      </c>
      <c r="H45" s="30">
        <f>$E45*$F45/2+($D45+$D46)/$F45*1.1</f>
        <v>24.301968646497869</v>
      </c>
      <c r="L45" s="42"/>
      <c r="M45" s="17"/>
      <c r="N45" s="40"/>
      <c r="O45" s="40"/>
      <c r="P45" s="41"/>
      <c r="Q45" s="17"/>
      <c r="R45" s="40"/>
      <c r="S45" s="40"/>
    </row>
    <row r="46" spans="1:19" x14ac:dyDescent="0.25">
      <c r="A46" s="49"/>
      <c r="B46" s="9" t="s">
        <v>44</v>
      </c>
      <c r="C46" s="30">
        <f t="shared" ref="C46" si="36">(L14*$X$7*($X$4-40-0.8*Q14/2)+G14*$X$7*(0.8*Q14/2-40))/1000^2</f>
        <v>37.174602460912958</v>
      </c>
      <c r="D46" s="30">
        <f t="shared" ref="D46" si="37">-(G14*$X$7*($X$4-40-0.8*Q14/2)+L14*$X$7*(0.8*Q14/2-40))/1000^2</f>
        <v>-37.174602460912958</v>
      </c>
      <c r="E46" s="29">
        <f t="shared" si="21"/>
        <v>22.373999999999999</v>
      </c>
      <c r="F46" s="9">
        <v>4</v>
      </c>
      <c r="G46" s="30">
        <f>-$E46*$F46/2+($C45+$C46)/$F46*1.1</f>
        <v>-24.301968646497869</v>
      </c>
      <c r="H46" s="30">
        <f>-$E46*$F46/2+($D45+$D46)/$F46*1.1</f>
        <v>-65.194031353502126</v>
      </c>
      <c r="L46" s="42"/>
      <c r="M46" s="17"/>
      <c r="N46" s="40"/>
      <c r="O46" s="40"/>
      <c r="P46" s="41"/>
      <c r="Q46" s="17"/>
      <c r="R46" s="40"/>
      <c r="S46" s="40"/>
    </row>
    <row r="47" spans="1:19" x14ac:dyDescent="0.25">
      <c r="A47" s="48">
        <v>2</v>
      </c>
      <c r="B47" s="9" t="s">
        <v>43</v>
      </c>
      <c r="C47" s="30">
        <f t="shared" ref="C47" si="38">(G15*$X$7*($X$4-40-0.8*Q15/2)+L15*$X$7*(0.8*Q15/2-40))/1000^2</f>
        <v>37.174602460912958</v>
      </c>
      <c r="D47" s="30">
        <f t="shared" ref="D47" si="39">-(L15*$X$7*($X$4-40-0.8*Q15/2)+G15*$X$7*(0.8*Q15/2-40))/1000^2</f>
        <v>-37.174602460912958</v>
      </c>
      <c r="E47" s="29">
        <f>7.297*2+7.78</f>
        <v>22.373999999999999</v>
      </c>
      <c r="F47" s="9">
        <v>4</v>
      </c>
      <c r="G47" s="30">
        <f>$E47*$F47/2+($C47+$C48)/$F47*1.1</f>
        <v>65.194031353502126</v>
      </c>
      <c r="H47" s="30">
        <f>$E47*$F47/2+($D47+$D48)/$F47*1.1</f>
        <v>24.301968646497869</v>
      </c>
      <c r="L47" s="42"/>
      <c r="M47" s="17"/>
      <c r="N47" s="40"/>
      <c r="O47" s="40"/>
      <c r="P47" s="41"/>
      <c r="Q47" s="17"/>
      <c r="R47" s="40"/>
      <c r="S47" s="40"/>
    </row>
    <row r="48" spans="1:19" x14ac:dyDescent="0.25">
      <c r="A48" s="49"/>
      <c r="B48" s="9" t="s">
        <v>44</v>
      </c>
      <c r="C48" s="30">
        <f t="shared" ref="C48" si="40">(L16*$X$7*($X$4-40-0.8*Q16/2)+G16*$X$7*(0.8*Q16/2-40))/1000^2</f>
        <v>37.174602460912958</v>
      </c>
      <c r="D48" s="30">
        <f t="shared" ref="D48" si="41">-(G16*$X$7*($X$4-40-0.8*Q16/2)+L16*$X$7*(0.8*Q16/2-40))/1000^2</f>
        <v>-37.174602460912958</v>
      </c>
      <c r="E48" s="29">
        <f t="shared" si="21"/>
        <v>22.373999999999999</v>
      </c>
      <c r="F48" s="9">
        <v>4</v>
      </c>
      <c r="G48" s="30">
        <f>-$E48*$F48/2+($C47+$C48)/$F48*1.1</f>
        <v>-24.301968646497869</v>
      </c>
      <c r="H48" s="30">
        <f>-$E48*$F48/2+($D47+$D48)/$F48*1.1</f>
        <v>-65.194031353502126</v>
      </c>
      <c r="L48" s="42"/>
      <c r="M48" s="17"/>
      <c r="N48" s="40"/>
      <c r="O48" s="40"/>
      <c r="P48" s="41"/>
      <c r="Q48" s="17"/>
      <c r="R48" s="40"/>
      <c r="S48" s="40"/>
    </row>
    <row r="49" spans="1:19" x14ac:dyDescent="0.25">
      <c r="A49" s="48">
        <v>3</v>
      </c>
      <c r="B49" s="9" t="s">
        <v>43</v>
      </c>
      <c r="C49" s="30">
        <f t="shared" ref="C49" si="42">(G17*$X$7*($X$4-40-0.8*Q17/2)+L17*$X$7*(0.8*Q17/2-40))/1000^2</f>
        <v>37.174602460912958</v>
      </c>
      <c r="D49" s="30">
        <f t="shared" ref="D49" si="43">-(L17*$X$7*($X$4-40-0.8*Q17/2)+G17*$X$7*(0.8*Q17/2-40))/1000^2</f>
        <v>-37.174602460912958</v>
      </c>
      <c r="E49" s="29">
        <f>7.297*2+7.78</f>
        <v>22.373999999999999</v>
      </c>
      <c r="F49" s="9">
        <v>4</v>
      </c>
      <c r="G49" s="30">
        <f>$E49*$F49/2+($C49+$C50)/$F49*1.1</f>
        <v>65.194031353502126</v>
      </c>
      <c r="H49" s="30">
        <f>$E49*$F49/2+($D49+$D50)/$F49*1.1</f>
        <v>24.301968646497869</v>
      </c>
      <c r="L49" s="17"/>
      <c r="M49" s="39"/>
      <c r="N49" s="40"/>
      <c r="O49" s="40"/>
      <c r="P49" s="17"/>
      <c r="Q49" s="17"/>
      <c r="R49" s="17"/>
      <c r="S49" s="17"/>
    </row>
    <row r="50" spans="1:19" x14ac:dyDescent="0.25">
      <c r="A50" s="49"/>
      <c r="B50" s="9" t="s">
        <v>44</v>
      </c>
      <c r="C50" s="30">
        <f t="shared" ref="C50" si="44">(L18*$X$7*($X$4-40-0.8*Q18/2)+G18*$X$7*(0.8*Q18/2-40))/1000^2</f>
        <v>37.174602460912958</v>
      </c>
      <c r="D50" s="30">
        <f t="shared" ref="D50" si="45">-(G18*$X$7*($X$4-40-0.8*Q18/2)+L18*$X$7*(0.8*Q18/2-40))/1000^2</f>
        <v>-37.174602460912958</v>
      </c>
      <c r="E50" s="29">
        <f t="shared" si="21"/>
        <v>22.373999999999999</v>
      </c>
      <c r="F50" s="9">
        <v>4</v>
      </c>
      <c r="G50" s="30">
        <f>-$E50*$F50/2+($C49+$C50)/$F50*1.1</f>
        <v>-24.301968646497869</v>
      </c>
      <c r="H50" s="30">
        <f>-$E50*$F50/2+($D49+$D50)/$F50*1.1</f>
        <v>-65.194031353502126</v>
      </c>
      <c r="L50" s="17"/>
      <c r="M50" s="39"/>
      <c r="N50" s="40"/>
      <c r="O50" s="40"/>
      <c r="P50" s="17"/>
      <c r="Q50" s="17"/>
      <c r="R50" s="17"/>
      <c r="S50" s="17"/>
    </row>
    <row r="51" spans="1:19" x14ac:dyDescent="0.25">
      <c r="A51" s="48">
        <v>4</v>
      </c>
      <c r="B51" s="9" t="s">
        <v>43</v>
      </c>
      <c r="C51" s="30">
        <f t="shared" ref="C51" si="46">(G19*$X$7*($X$4-40-0.8*Q19/2)+L19*$X$7*(0.8*Q19/2-40))/1000^2</f>
        <v>37.174602460912958</v>
      </c>
      <c r="D51" s="30">
        <f t="shared" ref="D51" si="47">-(L19*$X$7*($X$4-40-0.8*Q19/2)+G19*$X$7*(0.8*Q19/2-40))/1000^2</f>
        <v>-37.174602460912958</v>
      </c>
      <c r="E51" s="29">
        <f>7.297*2+7.78</f>
        <v>22.373999999999999</v>
      </c>
      <c r="F51" s="9">
        <v>4</v>
      </c>
      <c r="G51" s="30">
        <f>$E51*$F51/2+($C51+$C52)/$F51*1.1</f>
        <v>65.194031353502126</v>
      </c>
      <c r="H51" s="30">
        <f>$E51*$F51/2+($D51+$D52)/$F51*1.1</f>
        <v>24.301968646497869</v>
      </c>
      <c r="L51" s="42"/>
      <c r="M51" s="17"/>
      <c r="N51" s="40"/>
      <c r="O51" s="40"/>
      <c r="P51" s="41"/>
      <c r="Q51" s="17"/>
      <c r="R51" s="40"/>
      <c r="S51" s="40"/>
    </row>
    <row r="52" spans="1:19" x14ac:dyDescent="0.25">
      <c r="A52" s="49"/>
      <c r="B52" s="9" t="s">
        <v>44</v>
      </c>
      <c r="C52" s="30">
        <f t="shared" ref="C52" si="48">(L20*$X$7*($X$4-40-0.8*Q20/2)+G20*$X$7*(0.8*Q20/2-40))/1000^2</f>
        <v>37.174602460912958</v>
      </c>
      <c r="D52" s="30">
        <f t="shared" ref="D52" si="49">-(G20*$X$7*($X$4-40-0.8*Q20/2)+L20*$X$7*(0.8*Q20/2-40))/1000^2</f>
        <v>-37.174602460912958</v>
      </c>
      <c r="E52" s="29">
        <f t="shared" si="21"/>
        <v>22.373999999999999</v>
      </c>
      <c r="F52" s="9">
        <v>4</v>
      </c>
      <c r="G52" s="30">
        <f>-$E52*$F52/2+($C51+$C52)/$F52*1.1</f>
        <v>-24.301968646497869</v>
      </c>
      <c r="H52" s="30">
        <f>-$E52*$F52/2+($D51+$D52)/$F52*1.1</f>
        <v>-65.194031353502126</v>
      </c>
      <c r="L52" s="42"/>
      <c r="M52" s="17"/>
      <c r="N52" s="40"/>
      <c r="O52" s="40"/>
      <c r="P52" s="41"/>
      <c r="Q52" s="17"/>
      <c r="R52" s="40"/>
      <c r="S52" s="40"/>
    </row>
    <row r="53" spans="1:19" x14ac:dyDescent="0.25">
      <c r="A53" s="7" t="s">
        <v>91</v>
      </c>
      <c r="B53" s="36" t="s">
        <v>42</v>
      </c>
      <c r="C53" s="7" t="s">
        <v>61</v>
      </c>
      <c r="D53" s="7" t="s">
        <v>60</v>
      </c>
      <c r="E53" s="7" t="s">
        <v>57</v>
      </c>
      <c r="F53" s="7" t="s">
        <v>62</v>
      </c>
      <c r="G53" s="7" t="s">
        <v>64</v>
      </c>
      <c r="H53" s="7" t="s">
        <v>65</v>
      </c>
      <c r="L53" s="42"/>
      <c r="M53" s="17"/>
      <c r="N53" s="40"/>
      <c r="O53" s="40"/>
      <c r="P53" s="41"/>
      <c r="Q53" s="17"/>
      <c r="R53" s="40"/>
      <c r="S53" s="40"/>
    </row>
    <row r="54" spans="1:19" x14ac:dyDescent="0.25">
      <c r="A54" s="7" t="s">
        <v>40</v>
      </c>
      <c r="B54" s="37"/>
      <c r="C54" s="7" t="s">
        <v>23</v>
      </c>
      <c r="D54" s="7" t="s">
        <v>23</v>
      </c>
      <c r="E54" s="7" t="s">
        <v>58</v>
      </c>
      <c r="F54" s="7" t="s">
        <v>63</v>
      </c>
      <c r="G54" s="7" t="s">
        <v>59</v>
      </c>
      <c r="H54" s="7" t="s">
        <v>59</v>
      </c>
      <c r="L54" s="42"/>
      <c r="M54" s="17"/>
      <c r="N54" s="40"/>
      <c r="O54" s="40"/>
      <c r="P54" s="41"/>
      <c r="Q54" s="17"/>
      <c r="R54" s="40"/>
      <c r="S54" s="40"/>
    </row>
    <row r="55" spans="1:19" x14ac:dyDescent="0.25">
      <c r="A55" s="48">
        <v>1</v>
      </c>
      <c r="B55" s="9" t="s">
        <v>43</v>
      </c>
      <c r="C55" s="30">
        <f t="shared" ref="C55" si="50">(G23*$X$7*($X$4-40-0.8*Q23/2)+L23*$X$7*(0.8*Q23/2-40))/1000^2</f>
        <v>37.174602460912958</v>
      </c>
      <c r="D55" s="30">
        <f t="shared" ref="D55" si="51">-(L23*$X$7*($X$4-40-0.8*Q23/2)+G23*$X$7*(0.8*Q23/2-40))/1000^2</f>
        <v>-37.174602460912958</v>
      </c>
      <c r="E55" s="29">
        <f>7.297*2+7.78</f>
        <v>22.373999999999999</v>
      </c>
      <c r="F55" s="9">
        <v>4</v>
      </c>
      <c r="G55" s="30">
        <f>$E55*$F55/2+($C55+$C56)/$F55*1.1</f>
        <v>65.194031353502126</v>
      </c>
      <c r="H55" s="30">
        <f>$E55*$F55/2+($D55+$D56)/$F55*1.1</f>
        <v>24.301968646497869</v>
      </c>
      <c r="L55" s="42"/>
      <c r="M55" s="17"/>
      <c r="N55" s="40"/>
      <c r="O55" s="40"/>
      <c r="P55" s="41"/>
      <c r="Q55" s="17"/>
      <c r="R55" s="40"/>
      <c r="S55" s="40"/>
    </row>
    <row r="56" spans="1:19" x14ac:dyDescent="0.25">
      <c r="A56" s="49"/>
      <c r="B56" s="9" t="s">
        <v>44</v>
      </c>
      <c r="C56" s="30">
        <f t="shared" ref="C56" si="52">(L24*$X$7*($X$4-40-0.8*Q24/2)+G24*$X$7*(0.8*Q24/2-40))/1000^2</f>
        <v>37.174602460912958</v>
      </c>
      <c r="D56" s="30">
        <f t="shared" ref="D56" si="53">-(G24*$X$7*($X$4-40-0.8*Q24/2)+L24*$X$7*(0.8*Q24/2-40))/1000^2</f>
        <v>-37.174602460912958</v>
      </c>
      <c r="E56" s="29">
        <f t="shared" ref="E56:E62" si="54">7.297*2+7.78</f>
        <v>22.373999999999999</v>
      </c>
      <c r="F56" s="9">
        <v>4</v>
      </c>
      <c r="G56" s="30">
        <f>-$E56*$F56/2+($C55+$C56)/$F56*1.1</f>
        <v>-24.301968646497869</v>
      </c>
      <c r="H56" s="30">
        <f>-$E56*$F56/2+($D55+$D56)/$F56*1.1</f>
        <v>-65.194031353502126</v>
      </c>
      <c r="L56" s="42"/>
      <c r="M56" s="17"/>
      <c r="N56" s="40"/>
      <c r="O56" s="40"/>
      <c r="P56" s="41"/>
      <c r="Q56" s="17"/>
      <c r="R56" s="40"/>
      <c r="S56" s="40"/>
    </row>
    <row r="57" spans="1:19" x14ac:dyDescent="0.25">
      <c r="A57" s="48">
        <v>2</v>
      </c>
      <c r="B57" s="9" t="s">
        <v>43</v>
      </c>
      <c r="C57" s="30">
        <f t="shared" ref="C57" si="55">(G25*$X$7*($X$4-40-0.8*Q25/2)+L25*$X$7*(0.8*Q25/2-40))/1000^2</f>
        <v>37.174602460912958</v>
      </c>
      <c r="D57" s="30">
        <f t="shared" ref="D57" si="56">-(L25*$X$7*($X$4-40-0.8*Q25/2)+G25*$X$7*(0.8*Q25/2-40))/1000^2</f>
        <v>-37.174602460912958</v>
      </c>
      <c r="E57" s="29">
        <f>7.297*2+7.78</f>
        <v>22.373999999999999</v>
      </c>
      <c r="F57" s="9">
        <v>4</v>
      </c>
      <c r="G57" s="30">
        <f>$E57*$F57/2+($C57+$C58)/$F57*1.1</f>
        <v>65.194031353502126</v>
      </c>
      <c r="H57" s="30">
        <f>$E57*$F57/2+($D57+$D58)/$F57*1.1</f>
        <v>24.301968646497869</v>
      </c>
      <c r="L57" s="42"/>
      <c r="M57" s="17"/>
      <c r="N57" s="40"/>
      <c r="O57" s="40"/>
      <c r="P57" s="41"/>
      <c r="Q57" s="17"/>
      <c r="R57" s="40"/>
      <c r="S57" s="40"/>
    </row>
    <row r="58" spans="1:19" x14ac:dyDescent="0.25">
      <c r="A58" s="49"/>
      <c r="B58" s="9" t="s">
        <v>44</v>
      </c>
      <c r="C58" s="30">
        <f t="shared" ref="C58" si="57">(L26*$X$7*($X$4-40-0.8*Q26/2)+G26*$X$7*(0.8*Q26/2-40))/1000^2</f>
        <v>37.174602460912958</v>
      </c>
      <c r="D58" s="30">
        <f t="shared" ref="D58" si="58">-(G26*$X$7*($X$4-40-0.8*Q26/2)+L26*$X$7*(0.8*Q26/2-40))/1000^2</f>
        <v>-37.174602460912958</v>
      </c>
      <c r="E58" s="29">
        <f t="shared" si="54"/>
        <v>22.373999999999999</v>
      </c>
      <c r="F58" s="9">
        <v>4</v>
      </c>
      <c r="G58" s="30">
        <f>-$E58*$F58/2+($C57+$C58)/$F58*1.1</f>
        <v>-24.301968646497869</v>
      </c>
      <c r="H58" s="30">
        <f>-$E58*$F58/2+($D57+$D58)/$F58*1.1</f>
        <v>-65.194031353502126</v>
      </c>
      <c r="L58" s="42"/>
      <c r="M58" s="17"/>
      <c r="N58" s="40"/>
      <c r="O58" s="40"/>
      <c r="P58" s="41"/>
      <c r="Q58" s="17"/>
      <c r="R58" s="40"/>
      <c r="S58" s="40"/>
    </row>
    <row r="59" spans="1:19" x14ac:dyDescent="0.25">
      <c r="A59" s="48">
        <v>3</v>
      </c>
      <c r="B59" s="9" t="s">
        <v>43</v>
      </c>
      <c r="C59" s="30">
        <f t="shared" ref="C59" si="59">(G27*$X$7*($X$4-40-0.8*Q27/2)+L27*$X$7*(0.8*Q27/2-40))/1000^2</f>
        <v>37.174602460912958</v>
      </c>
      <c r="D59" s="30">
        <f t="shared" ref="D59" si="60">-(L27*$X$7*($X$4-40-0.8*Q27/2)+G27*$X$7*(0.8*Q27/2-40))/1000^2</f>
        <v>-37.174602460912958</v>
      </c>
      <c r="E59" s="29">
        <f>7.297*2+7.78</f>
        <v>22.373999999999999</v>
      </c>
      <c r="F59" s="9">
        <v>4</v>
      </c>
      <c r="G59" s="30">
        <f>$E59*$F59/2+($C59+$C60)/$F59*1.1</f>
        <v>65.194031353502126</v>
      </c>
      <c r="H59" s="30">
        <f>$E59*$F59/2+($D59+$D60)/$F59*1.1</f>
        <v>24.301968646497869</v>
      </c>
      <c r="L59" s="42"/>
      <c r="M59" s="17"/>
      <c r="N59" s="40"/>
      <c r="O59" s="40"/>
      <c r="P59" s="41"/>
      <c r="Q59" s="17"/>
      <c r="R59" s="40"/>
      <c r="S59" s="40"/>
    </row>
    <row r="60" spans="1:19" x14ac:dyDescent="0.25">
      <c r="A60" s="49"/>
      <c r="B60" s="9" t="s">
        <v>44</v>
      </c>
      <c r="C60" s="30">
        <f t="shared" ref="C60" si="61">(L28*$X$7*($X$4-40-0.8*Q28/2)+G28*$X$7*(0.8*Q28/2-40))/1000^2</f>
        <v>37.174602460912958</v>
      </c>
      <c r="D60" s="30">
        <f t="shared" ref="D60" si="62">-(G28*$X$7*($X$4-40-0.8*Q28/2)+L28*$X$7*(0.8*Q28/2-40))/1000^2</f>
        <v>-37.174602460912958</v>
      </c>
      <c r="E60" s="29">
        <f t="shared" si="54"/>
        <v>22.373999999999999</v>
      </c>
      <c r="F60" s="9">
        <v>4</v>
      </c>
      <c r="G60" s="30">
        <f>-$E60*$F60/2+($C59+$C60)/$F60*1.1</f>
        <v>-24.301968646497869</v>
      </c>
      <c r="H60" s="30">
        <f>-$E60*$F60/2+($D59+$D60)/$F60*1.1</f>
        <v>-65.194031353502126</v>
      </c>
      <c r="L60" s="42"/>
      <c r="M60" s="17"/>
      <c r="N60" s="40"/>
      <c r="O60" s="40"/>
      <c r="P60" s="41"/>
      <c r="Q60" s="17"/>
      <c r="R60" s="40"/>
      <c r="S60" s="40"/>
    </row>
    <row r="61" spans="1:19" x14ac:dyDescent="0.25">
      <c r="A61" s="48">
        <v>4</v>
      </c>
      <c r="B61" s="9" t="s">
        <v>43</v>
      </c>
      <c r="C61" s="30">
        <f t="shared" ref="C61" si="63">(G29*$X$7*($X$4-40-0.8*Q29/2)+L29*$X$7*(0.8*Q29/2-40))/1000^2</f>
        <v>37.174602460912958</v>
      </c>
      <c r="D61" s="30">
        <f t="shared" ref="D61" si="64">-(L29*$X$7*($X$4-40-0.8*Q29/2)+G29*$X$7*(0.8*Q29/2-40))/1000^2</f>
        <v>-37.174602460912958</v>
      </c>
      <c r="E61" s="29">
        <f>7.297*2+7.78</f>
        <v>22.373999999999999</v>
      </c>
      <c r="F61" s="9">
        <v>4</v>
      </c>
      <c r="G61" s="30">
        <f>$E61*$F61/2+($C61+$C62)/$F61*1.1</f>
        <v>65.194031353502126</v>
      </c>
      <c r="H61" s="30">
        <f>$E61*$F61/2+($D61+$D62)/$F61*1.1</f>
        <v>24.301968646497869</v>
      </c>
      <c r="L61" s="42"/>
      <c r="M61" s="17"/>
      <c r="N61" s="40"/>
      <c r="O61" s="40"/>
      <c r="P61" s="41"/>
      <c r="Q61" s="17"/>
      <c r="R61" s="40"/>
      <c r="S61" s="40"/>
    </row>
    <row r="62" spans="1:19" x14ac:dyDescent="0.25">
      <c r="A62" s="49"/>
      <c r="B62" s="9" t="s">
        <v>44</v>
      </c>
      <c r="C62" s="30">
        <f t="shared" ref="C62" si="65">(L30*$X$7*($X$4-40-0.8*Q30/2)+G30*$X$7*(0.8*Q30/2-40))/1000^2</f>
        <v>37.174602460912958</v>
      </c>
      <c r="D62" s="30">
        <f t="shared" ref="D62" si="66">-(G30*$X$7*($X$4-40-0.8*Q30/2)+L30*$X$7*(0.8*Q30/2-40))/1000^2</f>
        <v>-37.174602460912958</v>
      </c>
      <c r="E62" s="29">
        <f t="shared" si="54"/>
        <v>22.373999999999999</v>
      </c>
      <c r="F62" s="9">
        <v>4</v>
      </c>
      <c r="G62" s="30">
        <f>-$E62*$F62/2+($C61+$C62)/$F62*1.1</f>
        <v>-24.301968646497869</v>
      </c>
      <c r="H62" s="30">
        <f>-$E62*$F62/2+($D61+$D62)/$F62*1.1</f>
        <v>-65.194031353502126</v>
      </c>
    </row>
    <row r="66" spans="1:37" ht="26.25" x14ac:dyDescent="0.4">
      <c r="A66" s="50" t="s">
        <v>76</v>
      </c>
      <c r="B66" s="50"/>
      <c r="C66" s="50"/>
      <c r="D66" s="50"/>
      <c r="E66" s="50"/>
      <c r="F66" s="50"/>
      <c r="G66" s="50"/>
      <c r="H66" s="50"/>
      <c r="I66" s="50"/>
    </row>
    <row r="67" spans="1:37" x14ac:dyDescent="0.25">
      <c r="Q67" t="s">
        <v>80</v>
      </c>
    </row>
    <row r="69" spans="1:37" x14ac:dyDescent="0.25">
      <c r="A69" s="7" t="s">
        <v>90</v>
      </c>
      <c r="B69" s="36" t="s">
        <v>42</v>
      </c>
      <c r="C69" s="7" t="s">
        <v>67</v>
      </c>
      <c r="D69" s="7" t="s">
        <v>68</v>
      </c>
      <c r="E69" s="7" t="s">
        <v>69</v>
      </c>
      <c r="F69" s="7" t="s">
        <v>70</v>
      </c>
      <c r="G69" s="7" t="s">
        <v>71</v>
      </c>
      <c r="H69" s="7" t="s">
        <v>72</v>
      </c>
      <c r="I69" s="7" t="s">
        <v>73</v>
      </c>
      <c r="N69" s="2"/>
      <c r="O69" s="2"/>
      <c r="Q69" s="7" t="s">
        <v>77</v>
      </c>
      <c r="R69" s="7" t="s">
        <v>77</v>
      </c>
      <c r="S69" s="7" t="s">
        <v>69</v>
      </c>
      <c r="T69" s="7" t="s">
        <v>70</v>
      </c>
      <c r="U69" s="7" t="s">
        <v>71</v>
      </c>
      <c r="V69" s="7" t="s">
        <v>72</v>
      </c>
    </row>
    <row r="70" spans="1:37" x14ac:dyDescent="0.25">
      <c r="A70" s="7" t="s">
        <v>40</v>
      </c>
      <c r="B70" s="37"/>
      <c r="C70" s="7" t="s">
        <v>2</v>
      </c>
      <c r="D70" s="7" t="s">
        <v>2</v>
      </c>
      <c r="E70" s="7" t="s">
        <v>2</v>
      </c>
      <c r="F70" s="7" t="s">
        <v>59</v>
      </c>
      <c r="G70" s="7" t="s">
        <v>59</v>
      </c>
      <c r="H70" s="7" t="s">
        <v>59</v>
      </c>
      <c r="I70" s="7" t="s">
        <v>59</v>
      </c>
      <c r="L70" s="14" t="s">
        <v>74</v>
      </c>
      <c r="M70" s="14"/>
      <c r="N70" s="14"/>
      <c r="Q70" s="7" t="s">
        <v>78</v>
      </c>
      <c r="R70" s="7" t="s">
        <v>79</v>
      </c>
      <c r="S70" s="7" t="s">
        <v>2</v>
      </c>
      <c r="T70" s="7" t="s">
        <v>59</v>
      </c>
      <c r="U70" s="7" t="s">
        <v>59</v>
      </c>
      <c r="V70" s="7" t="s">
        <v>59</v>
      </c>
    </row>
    <row r="71" spans="1:37" x14ac:dyDescent="0.25">
      <c r="A71" s="48">
        <v>1</v>
      </c>
      <c r="B71" s="9" t="s">
        <v>43</v>
      </c>
      <c r="C71" s="9">
        <f>500</f>
        <v>500</v>
      </c>
      <c r="D71" s="9">
        <v>8</v>
      </c>
      <c r="E71" s="9">
        <v>80</v>
      </c>
      <c r="F71" s="10">
        <f t="shared" ref="F71:F78" si="67">(0.9*($X$4-30)*(2*PI()*D71^2/4)/E71*$X$7)/1000</f>
        <v>84.08541032825552</v>
      </c>
      <c r="G71" s="30">
        <f t="shared" ref="G71:G78" si="68">(0.9*($X$4-30)*$X$3*0.5*$X$15*0.5)/1000</f>
        <v>363.375</v>
      </c>
      <c r="H71" s="30">
        <f>MIN(F71:G71)</f>
        <v>84.08541032825552</v>
      </c>
      <c r="I71" s="30">
        <f t="shared" ref="I71:I78" si="69">MAX(ABS(G35),ABS(H35))</f>
        <v>65.194031353502126</v>
      </c>
      <c r="J71" s="32" t="str">
        <f>IF(H71&gt;I71,"OK","NO")</f>
        <v>OK</v>
      </c>
      <c r="L71" s="2">
        <f>(500-40)/4</f>
        <v>115</v>
      </c>
      <c r="M71" s="2">
        <v>175</v>
      </c>
      <c r="N71" s="2">
        <f t="shared" ref="N71:N76" si="70">8*E3</f>
        <v>96</v>
      </c>
      <c r="Q71" s="15">
        <f t="shared" ref="Q71:Q76" si="71">ASIN(SQRT(2*D71^2/4*PI()*$X$7/($X$3*E71*0.5*$X$15)))</f>
        <v>0.3470741792688779</v>
      </c>
      <c r="R71" s="29">
        <f>DEGREES(Q71)</f>
        <v>19.885885650073636</v>
      </c>
      <c r="S71" s="9">
        <v>200</v>
      </c>
      <c r="T71" s="30">
        <f t="shared" ref="T71:T76" si="72">(0.9*($X$4-30)*(2*PI()*8^2/4)/S71*$X$7)/1000*_xlfn.COT(Q71)</f>
        <v>92.984915530198649</v>
      </c>
      <c r="U71" s="30">
        <f t="shared" ref="U71:U76" si="73">(0.9*($X$4-30)*$X$3*0.5*$X$15)*(_xlfn.COT(Q71))/(1+_xlfn.COT(Q71)^2)/1000</f>
        <v>232.46228882549656</v>
      </c>
      <c r="V71" s="30">
        <f>MIN(T71:U71)</f>
        <v>92.984915530198649</v>
      </c>
    </row>
    <row r="72" spans="1:37" x14ac:dyDescent="0.25">
      <c r="A72" s="49"/>
      <c r="B72" s="9" t="s">
        <v>44</v>
      </c>
      <c r="C72" s="9">
        <f>500</f>
        <v>500</v>
      </c>
      <c r="D72" s="9">
        <v>8</v>
      </c>
      <c r="E72" s="9">
        <v>80</v>
      </c>
      <c r="F72" s="10">
        <f t="shared" si="67"/>
        <v>84.08541032825552</v>
      </c>
      <c r="G72" s="30">
        <f t="shared" si="68"/>
        <v>363.375</v>
      </c>
      <c r="H72" s="30">
        <f t="shared" ref="H72:H78" si="74">MIN(F72:G72)</f>
        <v>84.08541032825552</v>
      </c>
      <c r="I72" s="30">
        <f t="shared" si="69"/>
        <v>65.194031353502126</v>
      </c>
      <c r="J72" s="32" t="str">
        <f t="shared" ref="J72:J78" si="75">IF(H72&gt;I72,"OK","NO")</f>
        <v>OK</v>
      </c>
      <c r="N72" s="2">
        <f t="shared" si="70"/>
        <v>96</v>
      </c>
      <c r="Q72" s="15">
        <f t="shared" si="71"/>
        <v>0.3470741792688779</v>
      </c>
      <c r="R72" s="29">
        <f t="shared" ref="R72:R76" si="76">DEGREES(Q72)</f>
        <v>19.885885650073636</v>
      </c>
      <c r="S72" s="9">
        <v>200</v>
      </c>
      <c r="T72" s="30">
        <f t="shared" si="72"/>
        <v>92.984915530198649</v>
      </c>
      <c r="U72" s="30">
        <f t="shared" si="73"/>
        <v>232.46228882549656</v>
      </c>
      <c r="V72" s="30">
        <f t="shared" ref="V72:V76" si="77">MIN(T72:U72)</f>
        <v>92.984915530198649</v>
      </c>
    </row>
    <row r="73" spans="1:37" x14ac:dyDescent="0.25">
      <c r="A73" s="48">
        <v>2</v>
      </c>
      <c r="B73" s="9" t="s">
        <v>43</v>
      </c>
      <c r="C73" s="9">
        <f>500</f>
        <v>500</v>
      </c>
      <c r="D73" s="9">
        <v>8</v>
      </c>
      <c r="E73" s="9">
        <v>80</v>
      </c>
      <c r="F73" s="10">
        <f t="shared" si="67"/>
        <v>84.08541032825552</v>
      </c>
      <c r="G73" s="30">
        <f t="shared" si="68"/>
        <v>363.375</v>
      </c>
      <c r="H73" s="30">
        <f t="shared" si="74"/>
        <v>84.08541032825552</v>
      </c>
      <c r="I73" s="30">
        <f t="shared" si="69"/>
        <v>65.194031353502126</v>
      </c>
      <c r="J73" s="32" t="str">
        <f t="shared" si="75"/>
        <v>OK</v>
      </c>
      <c r="N73" s="2">
        <f t="shared" si="70"/>
        <v>96</v>
      </c>
      <c r="Q73" s="15">
        <f t="shared" si="71"/>
        <v>0.3470741792688779</v>
      </c>
      <c r="R73" s="29">
        <f t="shared" si="76"/>
        <v>19.885885650073636</v>
      </c>
      <c r="S73" s="9">
        <v>200</v>
      </c>
      <c r="T73" s="30">
        <f t="shared" si="72"/>
        <v>92.984915530198649</v>
      </c>
      <c r="U73" s="30">
        <f t="shared" si="73"/>
        <v>232.46228882549656</v>
      </c>
      <c r="V73" s="30">
        <f t="shared" si="77"/>
        <v>92.984915530198649</v>
      </c>
    </row>
    <row r="74" spans="1:37" x14ac:dyDescent="0.25">
      <c r="A74" s="49"/>
      <c r="B74" s="9" t="s">
        <v>44</v>
      </c>
      <c r="C74" s="9">
        <f>500</f>
        <v>500</v>
      </c>
      <c r="D74" s="9">
        <v>8</v>
      </c>
      <c r="E74" s="9">
        <v>80</v>
      </c>
      <c r="F74" s="10">
        <f t="shared" si="67"/>
        <v>84.08541032825552</v>
      </c>
      <c r="G74" s="30">
        <f t="shared" si="68"/>
        <v>363.375</v>
      </c>
      <c r="H74" s="30">
        <f t="shared" si="74"/>
        <v>84.08541032825552</v>
      </c>
      <c r="I74" s="30">
        <f t="shared" si="69"/>
        <v>65.194031353502126</v>
      </c>
      <c r="J74" s="32" t="str">
        <f t="shared" si="75"/>
        <v>OK</v>
      </c>
      <c r="N74" s="2">
        <f t="shared" si="70"/>
        <v>96</v>
      </c>
      <c r="Q74" s="15">
        <f t="shared" si="71"/>
        <v>0.3470741792688779</v>
      </c>
      <c r="R74" s="29">
        <f t="shared" si="76"/>
        <v>19.885885650073636</v>
      </c>
      <c r="S74" s="9">
        <v>200</v>
      </c>
      <c r="T74" s="30">
        <f t="shared" si="72"/>
        <v>92.984915530198649</v>
      </c>
      <c r="U74" s="30">
        <f t="shared" si="73"/>
        <v>232.46228882549656</v>
      </c>
      <c r="V74" s="30">
        <f t="shared" si="77"/>
        <v>92.984915530198649</v>
      </c>
    </row>
    <row r="75" spans="1:37" x14ac:dyDescent="0.25">
      <c r="A75" s="48">
        <v>3</v>
      </c>
      <c r="B75" s="9" t="s">
        <v>43</v>
      </c>
      <c r="C75" s="9">
        <f>500</f>
        <v>500</v>
      </c>
      <c r="D75" s="9">
        <v>8</v>
      </c>
      <c r="E75" s="9">
        <v>80</v>
      </c>
      <c r="F75" s="10">
        <f t="shared" si="67"/>
        <v>84.08541032825552</v>
      </c>
      <c r="G75" s="30">
        <f t="shared" si="68"/>
        <v>363.375</v>
      </c>
      <c r="H75" s="30">
        <f t="shared" si="74"/>
        <v>84.08541032825552</v>
      </c>
      <c r="I75" s="30">
        <f t="shared" si="69"/>
        <v>65.194031353502126</v>
      </c>
      <c r="J75" s="32" t="str">
        <f t="shared" si="75"/>
        <v>OK</v>
      </c>
      <c r="N75" s="2">
        <f t="shared" si="70"/>
        <v>96</v>
      </c>
      <c r="Q75" s="15">
        <f t="shared" si="71"/>
        <v>0.3470741792688779</v>
      </c>
      <c r="R75" s="29">
        <f t="shared" si="76"/>
        <v>19.885885650073636</v>
      </c>
      <c r="S75" s="9">
        <v>200</v>
      </c>
      <c r="T75" s="30">
        <f t="shared" si="72"/>
        <v>92.984915530198649</v>
      </c>
      <c r="U75" s="30">
        <f t="shared" si="73"/>
        <v>232.46228882549656</v>
      </c>
      <c r="V75" s="30">
        <f t="shared" si="77"/>
        <v>92.984915530198649</v>
      </c>
    </row>
    <row r="76" spans="1:37" x14ac:dyDescent="0.25">
      <c r="A76" s="49"/>
      <c r="B76" s="9" t="s">
        <v>44</v>
      </c>
      <c r="C76" s="9">
        <f>500</f>
        <v>500</v>
      </c>
      <c r="D76" s="9">
        <v>8</v>
      </c>
      <c r="E76" s="9">
        <v>80</v>
      </c>
      <c r="F76" s="10">
        <f t="shared" si="67"/>
        <v>84.08541032825552</v>
      </c>
      <c r="G76" s="30">
        <f t="shared" si="68"/>
        <v>363.375</v>
      </c>
      <c r="H76" s="30">
        <f t="shared" si="74"/>
        <v>84.08541032825552</v>
      </c>
      <c r="I76" s="30">
        <f t="shared" si="69"/>
        <v>65.194031353502126</v>
      </c>
      <c r="J76" s="32" t="str">
        <f t="shared" si="75"/>
        <v>OK</v>
      </c>
      <c r="N76" s="2">
        <f t="shared" si="70"/>
        <v>96</v>
      </c>
      <c r="Q76" s="15">
        <f t="shared" si="71"/>
        <v>0.3470741792688779</v>
      </c>
      <c r="R76" s="29">
        <f t="shared" si="76"/>
        <v>19.885885650073636</v>
      </c>
      <c r="S76" s="9">
        <v>200</v>
      </c>
      <c r="T76" s="30">
        <f t="shared" si="72"/>
        <v>92.984915530198649</v>
      </c>
      <c r="U76" s="30">
        <f t="shared" si="73"/>
        <v>232.46228882549656</v>
      </c>
      <c r="V76" s="30">
        <f t="shared" si="77"/>
        <v>92.984915530198649</v>
      </c>
    </row>
    <row r="77" spans="1:37" customFormat="1" x14ac:dyDescent="0.25">
      <c r="A77" s="48">
        <v>4</v>
      </c>
      <c r="B77" s="9" t="s">
        <v>43</v>
      </c>
      <c r="C77" s="9">
        <f>500</f>
        <v>500</v>
      </c>
      <c r="D77" s="9">
        <v>8</v>
      </c>
      <c r="E77" s="9">
        <v>80</v>
      </c>
      <c r="F77" s="10">
        <f t="shared" si="67"/>
        <v>84.08541032825552</v>
      </c>
      <c r="G77" s="30">
        <f t="shared" si="68"/>
        <v>363.375</v>
      </c>
      <c r="H77" s="30">
        <f t="shared" si="74"/>
        <v>84.08541032825552</v>
      </c>
      <c r="I77" s="30">
        <f t="shared" si="69"/>
        <v>65.194031353502126</v>
      </c>
      <c r="J77" s="32" t="str">
        <f t="shared" si="75"/>
        <v>OK</v>
      </c>
      <c r="K77" s="2"/>
      <c r="L77" s="2"/>
      <c r="M77" s="2"/>
      <c r="N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customFormat="1" x14ac:dyDescent="0.25">
      <c r="A78" s="49"/>
      <c r="B78" s="9" t="s">
        <v>44</v>
      </c>
      <c r="C78" s="9">
        <f>500</f>
        <v>500</v>
      </c>
      <c r="D78" s="9">
        <v>8</v>
      </c>
      <c r="E78" s="9">
        <v>80</v>
      </c>
      <c r="F78" s="10">
        <f t="shared" si="67"/>
        <v>84.08541032825552</v>
      </c>
      <c r="G78" s="30">
        <f t="shared" si="68"/>
        <v>363.375</v>
      </c>
      <c r="H78" s="30">
        <f t="shared" si="74"/>
        <v>84.08541032825552</v>
      </c>
      <c r="I78" s="30">
        <f t="shared" si="69"/>
        <v>65.194031353502126</v>
      </c>
      <c r="J78" s="32" t="str">
        <f t="shared" si="75"/>
        <v>OK</v>
      </c>
      <c r="K78" s="2"/>
      <c r="L78" s="2"/>
      <c r="M78" s="2"/>
      <c r="N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customFormat="1" x14ac:dyDescent="0.25">
      <c r="A79" s="7" t="s">
        <v>91</v>
      </c>
      <c r="B79" s="36" t="s">
        <v>42</v>
      </c>
      <c r="C79" s="7" t="s">
        <v>67</v>
      </c>
      <c r="D79" s="7" t="s">
        <v>68</v>
      </c>
      <c r="E79" s="7" t="s">
        <v>69</v>
      </c>
      <c r="F79" s="7" t="s">
        <v>70</v>
      </c>
      <c r="G79" s="7" t="s">
        <v>71</v>
      </c>
      <c r="H79" s="7" t="s">
        <v>72</v>
      </c>
      <c r="I79" s="7" t="s">
        <v>73</v>
      </c>
      <c r="J79" s="2"/>
      <c r="K79" s="2"/>
      <c r="L79" s="2"/>
      <c r="M79" s="2"/>
      <c r="N79" s="2">
        <f t="shared" ref="N79:N84" si="78">8*E11</f>
        <v>0</v>
      </c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customFormat="1" x14ac:dyDescent="0.25">
      <c r="A80" s="7" t="s">
        <v>40</v>
      </c>
      <c r="B80" s="37"/>
      <c r="C80" s="7" t="s">
        <v>2</v>
      </c>
      <c r="D80" s="7" t="s">
        <v>2</v>
      </c>
      <c r="E80" s="7" t="s">
        <v>2</v>
      </c>
      <c r="F80" s="7" t="s">
        <v>59</v>
      </c>
      <c r="G80" s="7" t="s">
        <v>59</v>
      </c>
      <c r="H80" s="7" t="s">
        <v>59</v>
      </c>
      <c r="I80" s="7" t="s">
        <v>59</v>
      </c>
      <c r="J80" s="2"/>
      <c r="K80" s="2"/>
      <c r="L80" s="2"/>
      <c r="M80" s="2"/>
      <c r="N80" s="2" t="e">
        <f t="shared" si="78"/>
        <v>#VALUE!</v>
      </c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customFormat="1" x14ac:dyDescent="0.25">
      <c r="A81" s="48">
        <v>1</v>
      </c>
      <c r="B81" s="9" t="s">
        <v>43</v>
      </c>
      <c r="C81" s="9">
        <f>500</f>
        <v>500</v>
      </c>
      <c r="D81" s="9">
        <v>8</v>
      </c>
      <c r="E81" s="9">
        <v>80</v>
      </c>
      <c r="F81" s="10">
        <f t="shared" ref="F81:F88" si="79">(0.9*($X$4-30)*(2*PI()*D81^2/4)/E81*$X$7)/1000</f>
        <v>84.08541032825552</v>
      </c>
      <c r="G81" s="30">
        <f t="shared" ref="G81:G88" si="80">(0.9*($X$4-30)*$X$3*0.5*$X$15*0.5)/1000</f>
        <v>363.375</v>
      </c>
      <c r="H81" s="30">
        <f>MIN(F81:G81)</f>
        <v>84.08541032825552</v>
      </c>
      <c r="I81" s="30">
        <f t="shared" ref="I81:I88" si="81">MAX(ABS(G45),ABS(H45))</f>
        <v>65.194031353502126</v>
      </c>
      <c r="J81" s="32" t="str">
        <f>IF(H81&gt;I81,"OK","NO")</f>
        <v>OK</v>
      </c>
      <c r="K81" s="2"/>
      <c r="L81" s="2"/>
      <c r="M81" s="2"/>
      <c r="N81" s="2">
        <f t="shared" si="78"/>
        <v>96</v>
      </c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customFormat="1" x14ac:dyDescent="0.25">
      <c r="A82" s="49"/>
      <c r="B82" s="9" t="s">
        <v>44</v>
      </c>
      <c r="C82" s="9">
        <f>500</f>
        <v>500</v>
      </c>
      <c r="D82" s="9">
        <v>8</v>
      </c>
      <c r="E82" s="9">
        <v>80</v>
      </c>
      <c r="F82" s="10">
        <f t="shared" si="79"/>
        <v>84.08541032825552</v>
      </c>
      <c r="G82" s="30">
        <f t="shared" si="80"/>
        <v>363.375</v>
      </c>
      <c r="H82" s="30">
        <f t="shared" ref="H82:H88" si="82">MIN(F82:G82)</f>
        <v>84.08541032825552</v>
      </c>
      <c r="I82" s="30">
        <f t="shared" si="81"/>
        <v>65.194031353502126</v>
      </c>
      <c r="J82" s="32" t="str">
        <f t="shared" ref="J82:J88" si="83">IF(H82&gt;I82,"OK","NO")</f>
        <v>OK</v>
      </c>
      <c r="K82" s="2"/>
      <c r="L82" s="2"/>
      <c r="M82" s="2"/>
      <c r="N82" s="2">
        <f t="shared" si="78"/>
        <v>96</v>
      </c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customFormat="1" x14ac:dyDescent="0.25">
      <c r="A83" s="48">
        <v>2</v>
      </c>
      <c r="B83" s="9" t="s">
        <v>43</v>
      </c>
      <c r="C83" s="9">
        <f>500</f>
        <v>500</v>
      </c>
      <c r="D83" s="9">
        <v>8</v>
      </c>
      <c r="E83" s="9">
        <v>80</v>
      </c>
      <c r="F83" s="10">
        <f t="shared" si="79"/>
        <v>84.08541032825552</v>
      </c>
      <c r="G83" s="30">
        <f t="shared" si="80"/>
        <v>363.375</v>
      </c>
      <c r="H83" s="30">
        <f t="shared" si="82"/>
        <v>84.08541032825552</v>
      </c>
      <c r="I83" s="30">
        <f t="shared" si="81"/>
        <v>65.194031353502126</v>
      </c>
      <c r="J83" s="32" t="str">
        <f t="shared" si="83"/>
        <v>OK</v>
      </c>
      <c r="K83" s="2"/>
      <c r="L83" s="2"/>
      <c r="M83" s="2"/>
      <c r="N83" s="2">
        <f t="shared" si="78"/>
        <v>96</v>
      </c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customFormat="1" x14ac:dyDescent="0.25">
      <c r="A84" s="49"/>
      <c r="B84" s="9" t="s">
        <v>44</v>
      </c>
      <c r="C84" s="9">
        <f>500</f>
        <v>500</v>
      </c>
      <c r="D84" s="9">
        <v>8</v>
      </c>
      <c r="E84" s="9">
        <v>80</v>
      </c>
      <c r="F84" s="10">
        <f t="shared" si="79"/>
        <v>84.08541032825552</v>
      </c>
      <c r="G84" s="30">
        <f t="shared" si="80"/>
        <v>363.375</v>
      </c>
      <c r="H84" s="30">
        <f t="shared" si="82"/>
        <v>84.08541032825552</v>
      </c>
      <c r="I84" s="30">
        <f t="shared" si="81"/>
        <v>65.194031353502126</v>
      </c>
      <c r="J84" s="32" t="str">
        <f t="shared" si="83"/>
        <v>OK</v>
      </c>
      <c r="K84" s="2"/>
      <c r="L84" s="2"/>
      <c r="M84" s="2"/>
      <c r="N84" s="2">
        <f t="shared" si="78"/>
        <v>96</v>
      </c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customFormat="1" x14ac:dyDescent="0.25">
      <c r="A85" s="48">
        <v>3</v>
      </c>
      <c r="B85" s="9" t="s">
        <v>43</v>
      </c>
      <c r="C85" s="9">
        <f>500</f>
        <v>500</v>
      </c>
      <c r="D85" s="9">
        <v>8</v>
      </c>
      <c r="E85" s="9">
        <v>80</v>
      </c>
      <c r="F85" s="10">
        <f t="shared" si="79"/>
        <v>84.08541032825552</v>
      </c>
      <c r="G85" s="30">
        <f t="shared" si="80"/>
        <v>363.375</v>
      </c>
      <c r="H85" s="30">
        <f t="shared" si="82"/>
        <v>84.08541032825552</v>
      </c>
      <c r="I85" s="30">
        <f t="shared" si="81"/>
        <v>65.194031353502126</v>
      </c>
      <c r="J85" s="32" t="str">
        <f t="shared" si="83"/>
        <v>OK</v>
      </c>
      <c r="K85" s="2"/>
      <c r="L85" s="2"/>
      <c r="M85" s="2"/>
      <c r="N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customFormat="1" x14ac:dyDescent="0.25">
      <c r="A86" s="49"/>
      <c r="B86" s="9" t="s">
        <v>44</v>
      </c>
      <c r="C86" s="9">
        <f>500</f>
        <v>500</v>
      </c>
      <c r="D86" s="9">
        <v>8</v>
      </c>
      <c r="E86" s="9">
        <v>80</v>
      </c>
      <c r="F86" s="10">
        <f t="shared" si="79"/>
        <v>84.08541032825552</v>
      </c>
      <c r="G86" s="30">
        <f t="shared" si="80"/>
        <v>363.375</v>
      </c>
      <c r="H86" s="30">
        <f t="shared" si="82"/>
        <v>84.08541032825552</v>
      </c>
      <c r="I86" s="30">
        <f t="shared" si="81"/>
        <v>65.194031353502126</v>
      </c>
      <c r="J86" s="32" t="str">
        <f t="shared" si="83"/>
        <v>OK</v>
      </c>
      <c r="K86" s="2"/>
      <c r="L86" s="2"/>
      <c r="M86" s="2"/>
      <c r="N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customFormat="1" x14ac:dyDescent="0.25">
      <c r="A87" s="48">
        <v>4</v>
      </c>
      <c r="B87" s="9" t="s">
        <v>43</v>
      </c>
      <c r="C87" s="9">
        <f>500</f>
        <v>500</v>
      </c>
      <c r="D87" s="9">
        <v>8</v>
      </c>
      <c r="E87" s="9">
        <v>80</v>
      </c>
      <c r="F87" s="10">
        <f t="shared" si="79"/>
        <v>84.08541032825552</v>
      </c>
      <c r="G87" s="30">
        <f t="shared" si="80"/>
        <v>363.375</v>
      </c>
      <c r="H87" s="30">
        <f t="shared" si="82"/>
        <v>84.08541032825552</v>
      </c>
      <c r="I87" s="30">
        <f t="shared" si="81"/>
        <v>65.194031353502126</v>
      </c>
      <c r="J87" s="32" t="str">
        <f t="shared" si="83"/>
        <v>OK</v>
      </c>
      <c r="K87" s="2"/>
      <c r="L87" s="2"/>
      <c r="M87" s="2"/>
      <c r="N87" s="2">
        <f>8*E19</f>
        <v>96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customFormat="1" x14ac:dyDescent="0.25">
      <c r="A88" s="49"/>
      <c r="B88" s="9" t="s">
        <v>44</v>
      </c>
      <c r="C88" s="9">
        <f>500</f>
        <v>500</v>
      </c>
      <c r="D88" s="9">
        <v>8</v>
      </c>
      <c r="E88" s="9">
        <v>80</v>
      </c>
      <c r="F88" s="10">
        <f t="shared" si="79"/>
        <v>84.08541032825552</v>
      </c>
      <c r="G88" s="30">
        <f t="shared" si="80"/>
        <v>363.375</v>
      </c>
      <c r="H88" s="30">
        <f t="shared" si="82"/>
        <v>84.08541032825552</v>
      </c>
      <c r="I88" s="30">
        <f t="shared" si="81"/>
        <v>65.194031353502126</v>
      </c>
      <c r="J88" s="32" t="str">
        <f t="shared" si="83"/>
        <v>OK</v>
      </c>
      <c r="K88" s="2"/>
      <c r="L88" s="2"/>
      <c r="M88" s="2"/>
      <c r="N88" s="2">
        <f>8*C20</f>
        <v>96</v>
      </c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customFormat="1" x14ac:dyDescent="0.25">
      <c r="A89" s="7" t="s">
        <v>92</v>
      </c>
      <c r="B89" s="36" t="s">
        <v>42</v>
      </c>
      <c r="C89" s="7" t="s">
        <v>67</v>
      </c>
      <c r="D89" s="7" t="s">
        <v>68</v>
      </c>
      <c r="E89" s="7" t="s">
        <v>69</v>
      </c>
      <c r="F89" s="7" t="s">
        <v>70</v>
      </c>
      <c r="G89" s="7" t="s">
        <v>71</v>
      </c>
      <c r="H89" s="7" t="s">
        <v>72</v>
      </c>
      <c r="I89" s="7" t="s">
        <v>73</v>
      </c>
      <c r="J89" s="2"/>
      <c r="K89" s="2"/>
      <c r="L89" s="2"/>
      <c r="M89" s="2"/>
      <c r="N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customFormat="1" x14ac:dyDescent="0.25">
      <c r="A90" s="7" t="s">
        <v>40</v>
      </c>
      <c r="B90" s="37"/>
      <c r="C90" s="7" t="s">
        <v>2</v>
      </c>
      <c r="D90" s="7" t="s">
        <v>2</v>
      </c>
      <c r="E90" s="7" t="s">
        <v>2</v>
      </c>
      <c r="F90" s="7" t="s">
        <v>59</v>
      </c>
      <c r="G90" s="7" t="s">
        <v>59</v>
      </c>
      <c r="H90" s="7" t="s">
        <v>59</v>
      </c>
      <c r="I90" s="7" t="s">
        <v>59</v>
      </c>
      <c r="J90" s="2"/>
      <c r="K90" s="2"/>
      <c r="L90" s="2"/>
      <c r="M90" s="2"/>
      <c r="N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customFormat="1" x14ac:dyDescent="0.25">
      <c r="A91" s="48">
        <v>1</v>
      </c>
      <c r="B91" s="9" t="s">
        <v>43</v>
      </c>
      <c r="C91" s="9">
        <f>500</f>
        <v>500</v>
      </c>
      <c r="D91" s="9">
        <v>8</v>
      </c>
      <c r="E91" s="9">
        <v>80</v>
      </c>
      <c r="F91" s="10">
        <f t="shared" ref="F91:F98" si="84">(0.9*($X$4-30)*(2*PI()*D91^2/4)/E91*$X$7)/1000</f>
        <v>84.08541032825552</v>
      </c>
      <c r="G91" s="30">
        <f t="shared" ref="G91:G98" si="85">(0.9*($X$4-30)*$X$3*0.5*$X$15*0.5)/1000</f>
        <v>363.375</v>
      </c>
      <c r="H91" s="30">
        <f>MIN(F91:G91)</f>
        <v>84.08541032825552</v>
      </c>
      <c r="I91" s="30">
        <f t="shared" ref="I91:I98" si="86">MAX(ABS(G55),ABS(H55))</f>
        <v>65.194031353502126</v>
      </c>
      <c r="J91" s="32" t="str">
        <f>IF(H91&gt;I91,"OK","NO")</f>
        <v>OK</v>
      </c>
      <c r="K91" s="2"/>
      <c r="L91" s="2"/>
      <c r="M91" s="2"/>
      <c r="N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customFormat="1" x14ac:dyDescent="0.25">
      <c r="A92" s="49"/>
      <c r="B92" s="9" t="s">
        <v>44</v>
      </c>
      <c r="C92" s="9">
        <f>500</f>
        <v>500</v>
      </c>
      <c r="D92" s="9">
        <v>8</v>
      </c>
      <c r="E92" s="9">
        <v>80</v>
      </c>
      <c r="F92" s="10">
        <f t="shared" si="84"/>
        <v>84.08541032825552</v>
      </c>
      <c r="G92" s="30">
        <f t="shared" si="85"/>
        <v>363.375</v>
      </c>
      <c r="H92" s="30">
        <f t="shared" ref="H92:H98" si="87">MIN(F92:G92)</f>
        <v>84.08541032825552</v>
      </c>
      <c r="I92" s="30">
        <f t="shared" si="86"/>
        <v>65.194031353502126</v>
      </c>
      <c r="J92" s="32" t="str">
        <f t="shared" ref="J92:J98" si="88">IF(H92&gt;I92,"OK","NO")</f>
        <v>OK</v>
      </c>
      <c r="K92" s="2"/>
      <c r="L92" s="2"/>
      <c r="M92" s="2"/>
      <c r="N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customFormat="1" x14ac:dyDescent="0.25">
      <c r="A93" s="48">
        <v>2</v>
      </c>
      <c r="B93" s="9" t="s">
        <v>43</v>
      </c>
      <c r="C93" s="9">
        <f>500</f>
        <v>500</v>
      </c>
      <c r="D93" s="9">
        <v>8</v>
      </c>
      <c r="E93" s="9">
        <v>80</v>
      </c>
      <c r="F93" s="10">
        <f t="shared" si="84"/>
        <v>84.08541032825552</v>
      </c>
      <c r="G93" s="30">
        <f t="shared" si="85"/>
        <v>363.375</v>
      </c>
      <c r="H93" s="30">
        <f t="shared" si="87"/>
        <v>84.08541032825552</v>
      </c>
      <c r="I93" s="30">
        <f t="shared" si="86"/>
        <v>65.194031353502126</v>
      </c>
      <c r="J93" s="32" t="str">
        <f t="shared" si="88"/>
        <v>OK</v>
      </c>
      <c r="K93" s="2"/>
      <c r="L93" s="2"/>
      <c r="M93" s="2"/>
      <c r="N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customFormat="1" x14ac:dyDescent="0.25">
      <c r="A94" s="49"/>
      <c r="B94" s="9" t="s">
        <v>44</v>
      </c>
      <c r="C94" s="9">
        <f>500</f>
        <v>500</v>
      </c>
      <c r="D94" s="9">
        <v>8</v>
      </c>
      <c r="E94" s="9">
        <v>80</v>
      </c>
      <c r="F94" s="10">
        <f t="shared" si="84"/>
        <v>84.08541032825552</v>
      </c>
      <c r="G94" s="30">
        <f t="shared" si="85"/>
        <v>363.375</v>
      </c>
      <c r="H94" s="30">
        <f t="shared" si="87"/>
        <v>84.08541032825552</v>
      </c>
      <c r="I94" s="30">
        <f t="shared" si="86"/>
        <v>65.194031353502126</v>
      </c>
      <c r="J94" s="32" t="str">
        <f t="shared" si="88"/>
        <v>OK</v>
      </c>
      <c r="K94" s="2"/>
      <c r="L94" s="2"/>
      <c r="M94" s="2"/>
      <c r="N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customFormat="1" x14ac:dyDescent="0.25">
      <c r="A95" s="48">
        <v>3</v>
      </c>
      <c r="B95" s="9" t="s">
        <v>43</v>
      </c>
      <c r="C95" s="9">
        <f>500</f>
        <v>500</v>
      </c>
      <c r="D95" s="9">
        <v>8</v>
      </c>
      <c r="E95" s="9">
        <v>80</v>
      </c>
      <c r="F95" s="10">
        <f t="shared" si="84"/>
        <v>84.08541032825552</v>
      </c>
      <c r="G95" s="30">
        <f t="shared" si="85"/>
        <v>363.375</v>
      </c>
      <c r="H95" s="30">
        <f t="shared" si="87"/>
        <v>84.08541032825552</v>
      </c>
      <c r="I95" s="30">
        <f t="shared" si="86"/>
        <v>65.194031353502126</v>
      </c>
      <c r="J95" s="32" t="str">
        <f t="shared" si="88"/>
        <v>OK</v>
      </c>
      <c r="K95" s="2"/>
      <c r="L95" s="2"/>
      <c r="M95" s="2"/>
      <c r="N95" s="2" t="e">
        <f>8*C21</f>
        <v>#VALUE!</v>
      </c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customFormat="1" x14ac:dyDescent="0.25">
      <c r="A96" s="49"/>
      <c r="B96" s="9" t="s">
        <v>44</v>
      </c>
      <c r="C96" s="9">
        <f>500</f>
        <v>500</v>
      </c>
      <c r="D96" s="9">
        <v>8</v>
      </c>
      <c r="E96" s="9">
        <v>80</v>
      </c>
      <c r="F96" s="10">
        <f t="shared" si="84"/>
        <v>84.08541032825552</v>
      </c>
      <c r="G96" s="30">
        <f t="shared" si="85"/>
        <v>363.375</v>
      </c>
      <c r="H96" s="30">
        <f t="shared" si="87"/>
        <v>84.08541032825552</v>
      </c>
      <c r="I96" s="30">
        <f t="shared" si="86"/>
        <v>65.194031353502126</v>
      </c>
      <c r="J96" s="32" t="str">
        <f t="shared" si="88"/>
        <v>OK</v>
      </c>
      <c r="K96" s="2"/>
      <c r="L96" s="2"/>
      <c r="M96" s="2"/>
      <c r="N96" s="2" t="e">
        <f>8*C22</f>
        <v>#VALUE!</v>
      </c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customFormat="1" x14ac:dyDescent="0.25">
      <c r="A97" s="48">
        <v>4</v>
      </c>
      <c r="B97" s="9" t="s">
        <v>43</v>
      </c>
      <c r="C97" s="9">
        <f>500</f>
        <v>500</v>
      </c>
      <c r="D97" s="9">
        <v>8</v>
      </c>
      <c r="E97" s="9">
        <v>80</v>
      </c>
      <c r="F97" s="10">
        <f t="shared" si="84"/>
        <v>84.08541032825552</v>
      </c>
      <c r="G97" s="30">
        <f t="shared" si="85"/>
        <v>363.375</v>
      </c>
      <c r="H97" s="30">
        <f t="shared" si="87"/>
        <v>84.08541032825552</v>
      </c>
      <c r="I97" s="30">
        <f t="shared" si="86"/>
        <v>65.194031353502126</v>
      </c>
      <c r="J97" s="32" t="str">
        <f t="shared" si="88"/>
        <v>OK</v>
      </c>
      <c r="K97" s="2"/>
      <c r="L97" s="2"/>
      <c r="M97" s="2"/>
      <c r="N97" s="2">
        <f>8*C23</f>
        <v>96</v>
      </c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customFormat="1" x14ac:dyDescent="0.25">
      <c r="A98" s="49"/>
      <c r="B98" s="9" t="s">
        <v>44</v>
      </c>
      <c r="C98" s="9">
        <f>500</f>
        <v>500</v>
      </c>
      <c r="D98" s="9">
        <v>8</v>
      </c>
      <c r="E98" s="9">
        <v>80</v>
      </c>
      <c r="F98" s="10">
        <f t="shared" si="84"/>
        <v>84.08541032825552</v>
      </c>
      <c r="G98" s="30">
        <f t="shared" si="85"/>
        <v>363.375</v>
      </c>
      <c r="H98" s="30">
        <f t="shared" si="87"/>
        <v>84.08541032825552</v>
      </c>
      <c r="I98" s="30">
        <f t="shared" si="86"/>
        <v>65.194031353502126</v>
      </c>
      <c r="J98" s="32" t="str">
        <f t="shared" si="88"/>
        <v>OK</v>
      </c>
      <c r="K98" s="2"/>
      <c r="L98" s="2"/>
      <c r="M98" s="2"/>
      <c r="N98" s="2">
        <f>8*E24</f>
        <v>96</v>
      </c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101" spans="1:37" ht="26.25" x14ac:dyDescent="0.4">
      <c r="A101" s="50" t="s">
        <v>83</v>
      </c>
      <c r="B101" s="50"/>
      <c r="C101" s="50"/>
      <c r="D101" s="50"/>
      <c r="E101" s="50"/>
      <c r="F101" s="50"/>
      <c r="G101" s="50"/>
      <c r="H101" s="50"/>
      <c r="I101" s="50"/>
      <c r="J101" s="50"/>
    </row>
    <row r="102" spans="1:37" x14ac:dyDescent="0.25">
      <c r="A102" s="2" t="s">
        <v>82</v>
      </c>
      <c r="B102" s="2">
        <f>1.2*(2*3.9)</f>
        <v>9.36</v>
      </c>
    </row>
    <row r="104" spans="1:37" x14ac:dyDescent="0.25">
      <c r="A104" s="7" t="s">
        <v>90</v>
      </c>
      <c r="B104" s="36" t="s">
        <v>42</v>
      </c>
      <c r="C104" s="33" t="s">
        <v>15</v>
      </c>
      <c r="D104" s="33" t="s">
        <v>16</v>
      </c>
      <c r="E104" s="7" t="s">
        <v>81</v>
      </c>
    </row>
    <row r="105" spans="1:37" x14ac:dyDescent="0.25">
      <c r="A105" s="7" t="s">
        <v>40</v>
      </c>
      <c r="B105" s="37"/>
      <c r="C105" s="7" t="s">
        <v>6</v>
      </c>
      <c r="D105" s="7" t="s">
        <v>6</v>
      </c>
      <c r="E105" s="18" t="s">
        <v>27</v>
      </c>
    </row>
    <row r="106" spans="1:37" x14ac:dyDescent="0.25">
      <c r="A106" s="48">
        <v>1</v>
      </c>
      <c r="B106" s="9" t="s">
        <v>43</v>
      </c>
      <c r="C106" s="30">
        <f t="shared" ref="C106:C113" si="89">G3</f>
        <v>678.58401317539528</v>
      </c>
      <c r="D106" s="30">
        <f t="shared" ref="D106:D113" si="90">L3</f>
        <v>678.58401317539528</v>
      </c>
      <c r="E106" s="34">
        <f t="shared" ref="E106:E113" si="91">(C106-D106)/($X$3*$X$4)</f>
        <v>0</v>
      </c>
      <c r="F106" s="9">
        <f t="shared" ref="F106:F113" si="92">0.0018*$X$15/($B$102*1.86/1000*$X$7)</f>
        <v>4.491774653064975E-3</v>
      </c>
      <c r="G106" s="9" t="str">
        <f>IF(E106&lt;F106,"OK","NO")</f>
        <v>OK</v>
      </c>
    </row>
    <row r="107" spans="1:37" x14ac:dyDescent="0.25">
      <c r="A107" s="49"/>
      <c r="B107" s="9" t="s">
        <v>44</v>
      </c>
      <c r="C107" s="30">
        <f t="shared" si="89"/>
        <v>678.58401317539528</v>
      </c>
      <c r="D107" s="30">
        <f t="shared" si="90"/>
        <v>678.58401317539528</v>
      </c>
      <c r="E107" s="34">
        <f t="shared" si="91"/>
        <v>0</v>
      </c>
      <c r="F107" s="9">
        <f t="shared" si="92"/>
        <v>4.491774653064975E-3</v>
      </c>
      <c r="G107" s="9" t="str">
        <f t="shared" ref="G107:G113" si="93">IF(E107&lt;F107,"OK","NO")</f>
        <v>OK</v>
      </c>
    </row>
    <row r="108" spans="1:37" x14ac:dyDescent="0.25">
      <c r="A108" s="48">
        <v>2</v>
      </c>
      <c r="B108" s="9" t="s">
        <v>43</v>
      </c>
      <c r="C108" s="30">
        <f t="shared" si="89"/>
        <v>678.58401317539528</v>
      </c>
      <c r="D108" s="30">
        <f t="shared" si="90"/>
        <v>678.58401317539528</v>
      </c>
      <c r="E108" s="34">
        <f t="shared" si="91"/>
        <v>0</v>
      </c>
      <c r="F108" s="9">
        <f t="shared" si="92"/>
        <v>4.491774653064975E-3</v>
      </c>
      <c r="G108" s="9" t="str">
        <f t="shared" si="93"/>
        <v>OK</v>
      </c>
    </row>
    <row r="109" spans="1:37" x14ac:dyDescent="0.25">
      <c r="A109" s="49"/>
      <c r="B109" s="9" t="s">
        <v>44</v>
      </c>
      <c r="C109" s="30">
        <f t="shared" si="89"/>
        <v>678.58401317539528</v>
      </c>
      <c r="D109" s="30">
        <f t="shared" si="90"/>
        <v>678.58401317539528</v>
      </c>
      <c r="E109" s="34">
        <f t="shared" si="91"/>
        <v>0</v>
      </c>
      <c r="F109" s="9">
        <f t="shared" si="92"/>
        <v>4.491774653064975E-3</v>
      </c>
      <c r="G109" s="9" t="str">
        <f t="shared" si="93"/>
        <v>OK</v>
      </c>
    </row>
    <row r="110" spans="1:37" x14ac:dyDescent="0.25">
      <c r="A110" s="48">
        <v>3</v>
      </c>
      <c r="B110" s="9" t="s">
        <v>43</v>
      </c>
      <c r="C110" s="30">
        <f t="shared" si="89"/>
        <v>678.58401317539528</v>
      </c>
      <c r="D110" s="30">
        <f t="shared" si="90"/>
        <v>678.58401317539528</v>
      </c>
      <c r="E110" s="34">
        <f t="shared" si="91"/>
        <v>0</v>
      </c>
      <c r="F110" s="9">
        <f t="shared" si="92"/>
        <v>4.491774653064975E-3</v>
      </c>
      <c r="G110" s="9" t="str">
        <f t="shared" si="93"/>
        <v>OK</v>
      </c>
    </row>
    <row r="111" spans="1:37" x14ac:dyDescent="0.25">
      <c r="A111" s="49"/>
      <c r="B111" s="9" t="s">
        <v>44</v>
      </c>
      <c r="C111" s="30">
        <f t="shared" si="89"/>
        <v>678.58401317539528</v>
      </c>
      <c r="D111" s="30">
        <f t="shared" si="90"/>
        <v>678.58401317539528</v>
      </c>
      <c r="E111" s="34">
        <f t="shared" si="91"/>
        <v>0</v>
      </c>
      <c r="F111" s="9">
        <f t="shared" si="92"/>
        <v>4.491774653064975E-3</v>
      </c>
      <c r="G111" s="9" t="str">
        <f t="shared" si="93"/>
        <v>OK</v>
      </c>
    </row>
    <row r="112" spans="1:37" x14ac:dyDescent="0.25">
      <c r="A112" s="48">
        <v>4</v>
      </c>
      <c r="B112" s="9" t="s">
        <v>43</v>
      </c>
      <c r="C112" s="30">
        <f t="shared" si="89"/>
        <v>678.58401317539528</v>
      </c>
      <c r="D112" s="30">
        <f t="shared" si="90"/>
        <v>678.58401317539528</v>
      </c>
      <c r="E112" s="34">
        <f t="shared" si="91"/>
        <v>0</v>
      </c>
      <c r="F112" s="9">
        <f t="shared" si="92"/>
        <v>4.491774653064975E-3</v>
      </c>
      <c r="G112" s="9" t="str">
        <f t="shared" si="93"/>
        <v>OK</v>
      </c>
    </row>
    <row r="113" spans="1:7" x14ac:dyDescent="0.25">
      <c r="A113" s="49"/>
      <c r="B113" s="9" t="s">
        <v>44</v>
      </c>
      <c r="C113" s="30">
        <f t="shared" si="89"/>
        <v>678.58401317539528</v>
      </c>
      <c r="D113" s="30">
        <f t="shared" si="90"/>
        <v>678.58401317539528</v>
      </c>
      <c r="E113" s="34">
        <f t="shared" si="91"/>
        <v>0</v>
      </c>
      <c r="F113" s="9">
        <f t="shared" si="92"/>
        <v>4.491774653064975E-3</v>
      </c>
      <c r="G113" s="9" t="str">
        <f t="shared" si="93"/>
        <v>OK</v>
      </c>
    </row>
    <row r="114" spans="1:7" x14ac:dyDescent="0.25">
      <c r="A114" s="7" t="s">
        <v>91</v>
      </c>
      <c r="B114" s="36" t="s">
        <v>42</v>
      </c>
      <c r="C114" s="33" t="s">
        <v>15</v>
      </c>
      <c r="D114" s="33" t="s">
        <v>16</v>
      </c>
      <c r="E114" s="7" t="s">
        <v>81</v>
      </c>
    </row>
    <row r="115" spans="1:7" x14ac:dyDescent="0.25">
      <c r="A115" s="7" t="s">
        <v>40</v>
      </c>
      <c r="B115" s="37"/>
      <c r="C115" s="7" t="s">
        <v>6</v>
      </c>
      <c r="D115" s="7" t="s">
        <v>6</v>
      </c>
      <c r="E115" s="18" t="s">
        <v>27</v>
      </c>
    </row>
    <row r="116" spans="1:7" x14ac:dyDescent="0.25">
      <c r="A116" s="48">
        <v>1</v>
      </c>
      <c r="B116" s="9" t="s">
        <v>43</v>
      </c>
      <c r="C116" s="30">
        <f t="shared" ref="C116:C123" si="94">G13</f>
        <v>678.58401317539528</v>
      </c>
      <c r="D116" s="30">
        <f t="shared" ref="D116:D123" si="95">L13</f>
        <v>678.58401317539528</v>
      </c>
      <c r="E116" s="34">
        <f t="shared" ref="E116:E123" si="96">(C116-D116)/($X$3*$X$4)</f>
        <v>0</v>
      </c>
      <c r="F116" s="9">
        <f t="shared" ref="F116:F123" si="97">0.0018*$X$15/($B$102*1.86/1000*$X$7)</f>
        <v>4.491774653064975E-3</v>
      </c>
      <c r="G116" s="9" t="str">
        <f>IF(E116&lt;F116,"OK","NO")</f>
        <v>OK</v>
      </c>
    </row>
    <row r="117" spans="1:7" x14ac:dyDescent="0.25">
      <c r="A117" s="49"/>
      <c r="B117" s="9" t="s">
        <v>44</v>
      </c>
      <c r="C117" s="30">
        <f t="shared" si="94"/>
        <v>678.58401317539528</v>
      </c>
      <c r="D117" s="30">
        <f t="shared" si="95"/>
        <v>678.58401317539528</v>
      </c>
      <c r="E117" s="34">
        <f t="shared" si="96"/>
        <v>0</v>
      </c>
      <c r="F117" s="9">
        <f t="shared" si="97"/>
        <v>4.491774653064975E-3</v>
      </c>
      <c r="G117" s="9" t="str">
        <f t="shared" ref="G117:G123" si="98">IF(E117&lt;F117,"OK","NO")</f>
        <v>OK</v>
      </c>
    </row>
    <row r="118" spans="1:7" x14ac:dyDescent="0.25">
      <c r="A118" s="48">
        <v>2</v>
      </c>
      <c r="B118" s="9" t="s">
        <v>43</v>
      </c>
      <c r="C118" s="30">
        <f t="shared" si="94"/>
        <v>678.58401317539528</v>
      </c>
      <c r="D118" s="30">
        <f t="shared" si="95"/>
        <v>678.58401317539528</v>
      </c>
      <c r="E118" s="34">
        <f t="shared" si="96"/>
        <v>0</v>
      </c>
      <c r="F118" s="9">
        <f t="shared" si="97"/>
        <v>4.491774653064975E-3</v>
      </c>
      <c r="G118" s="9" t="str">
        <f t="shared" si="98"/>
        <v>OK</v>
      </c>
    </row>
    <row r="119" spans="1:7" x14ac:dyDescent="0.25">
      <c r="A119" s="49"/>
      <c r="B119" s="9" t="s">
        <v>44</v>
      </c>
      <c r="C119" s="30">
        <f t="shared" si="94"/>
        <v>678.58401317539528</v>
      </c>
      <c r="D119" s="30">
        <f t="shared" si="95"/>
        <v>678.58401317539528</v>
      </c>
      <c r="E119" s="34">
        <f t="shared" si="96"/>
        <v>0</v>
      </c>
      <c r="F119" s="9">
        <f t="shared" si="97"/>
        <v>4.491774653064975E-3</v>
      </c>
      <c r="G119" s="9" t="str">
        <f t="shared" si="98"/>
        <v>OK</v>
      </c>
    </row>
    <row r="120" spans="1:7" x14ac:dyDescent="0.25">
      <c r="A120" s="48">
        <v>3</v>
      </c>
      <c r="B120" s="9" t="s">
        <v>43</v>
      </c>
      <c r="C120" s="30">
        <f t="shared" si="94"/>
        <v>678.58401317539528</v>
      </c>
      <c r="D120" s="30">
        <f t="shared" si="95"/>
        <v>678.58401317539528</v>
      </c>
      <c r="E120" s="34">
        <f t="shared" si="96"/>
        <v>0</v>
      </c>
      <c r="F120" s="9">
        <f t="shared" si="97"/>
        <v>4.491774653064975E-3</v>
      </c>
      <c r="G120" s="9" t="str">
        <f t="shared" si="98"/>
        <v>OK</v>
      </c>
    </row>
    <row r="121" spans="1:7" x14ac:dyDescent="0.25">
      <c r="A121" s="49"/>
      <c r="B121" s="9" t="s">
        <v>44</v>
      </c>
      <c r="C121" s="30">
        <f t="shared" si="94"/>
        <v>678.58401317539528</v>
      </c>
      <c r="D121" s="30">
        <f t="shared" si="95"/>
        <v>678.58401317539528</v>
      </c>
      <c r="E121" s="34">
        <f t="shared" si="96"/>
        <v>0</v>
      </c>
      <c r="F121" s="9">
        <f t="shared" si="97"/>
        <v>4.491774653064975E-3</v>
      </c>
      <c r="G121" s="9" t="str">
        <f t="shared" si="98"/>
        <v>OK</v>
      </c>
    </row>
    <row r="122" spans="1:7" x14ac:dyDescent="0.25">
      <c r="A122" s="48">
        <v>4</v>
      </c>
      <c r="B122" s="9" t="s">
        <v>43</v>
      </c>
      <c r="C122" s="30">
        <f t="shared" si="94"/>
        <v>678.58401317539528</v>
      </c>
      <c r="D122" s="30">
        <f t="shared" si="95"/>
        <v>678.58401317539528</v>
      </c>
      <c r="E122" s="34">
        <f t="shared" si="96"/>
        <v>0</v>
      </c>
      <c r="F122" s="9">
        <f t="shared" si="97"/>
        <v>4.491774653064975E-3</v>
      </c>
      <c r="G122" s="9" t="str">
        <f t="shared" si="98"/>
        <v>OK</v>
      </c>
    </row>
    <row r="123" spans="1:7" x14ac:dyDescent="0.25">
      <c r="A123" s="49"/>
      <c r="B123" s="9" t="s">
        <v>44</v>
      </c>
      <c r="C123" s="30">
        <f t="shared" si="94"/>
        <v>678.58401317539528</v>
      </c>
      <c r="D123" s="30">
        <f t="shared" si="95"/>
        <v>678.58401317539528</v>
      </c>
      <c r="E123" s="34">
        <f t="shared" si="96"/>
        <v>0</v>
      </c>
      <c r="F123" s="9">
        <f t="shared" si="97"/>
        <v>4.491774653064975E-3</v>
      </c>
      <c r="G123" s="9" t="str">
        <f t="shared" si="98"/>
        <v>OK</v>
      </c>
    </row>
    <row r="124" spans="1:7" x14ac:dyDescent="0.25">
      <c r="A124" s="7" t="s">
        <v>92</v>
      </c>
      <c r="B124" s="36" t="s">
        <v>42</v>
      </c>
      <c r="C124" s="33" t="s">
        <v>15</v>
      </c>
      <c r="D124" s="33" t="s">
        <v>16</v>
      </c>
      <c r="E124" s="7" t="s">
        <v>81</v>
      </c>
    </row>
    <row r="125" spans="1:7" x14ac:dyDescent="0.25">
      <c r="A125" s="7" t="s">
        <v>40</v>
      </c>
      <c r="B125" s="37"/>
      <c r="C125" s="7" t="s">
        <v>6</v>
      </c>
      <c r="D125" s="7" t="s">
        <v>6</v>
      </c>
      <c r="E125" s="18" t="s">
        <v>27</v>
      </c>
    </row>
    <row r="126" spans="1:7" x14ac:dyDescent="0.25">
      <c r="A126" s="48">
        <v>1</v>
      </c>
      <c r="B126" s="9" t="s">
        <v>43</v>
      </c>
      <c r="C126" s="30">
        <f t="shared" ref="C126:C133" si="99">G23</f>
        <v>678.58401317539528</v>
      </c>
      <c r="D126" s="30">
        <f t="shared" ref="D126:D133" si="100">L23</f>
        <v>678.58401317539528</v>
      </c>
      <c r="E126" s="34">
        <f t="shared" ref="E126:E133" si="101">(C126-D126)/($X$3*$X$4)</f>
        <v>0</v>
      </c>
      <c r="F126" s="9">
        <f t="shared" ref="F126:F133" si="102">0.0018*$X$15/($B$102*1.86/1000*$X$7)</f>
        <v>4.491774653064975E-3</v>
      </c>
      <c r="G126" s="9" t="str">
        <f>IF(E126&lt;F126,"OK","NO")</f>
        <v>OK</v>
      </c>
    </row>
    <row r="127" spans="1:7" x14ac:dyDescent="0.25">
      <c r="A127" s="49"/>
      <c r="B127" s="9" t="s">
        <v>44</v>
      </c>
      <c r="C127" s="30">
        <f t="shared" si="99"/>
        <v>678.58401317539528</v>
      </c>
      <c r="D127" s="30">
        <f t="shared" si="100"/>
        <v>678.58401317539528</v>
      </c>
      <c r="E127" s="34">
        <f t="shared" si="101"/>
        <v>0</v>
      </c>
      <c r="F127" s="9">
        <f t="shared" si="102"/>
        <v>4.491774653064975E-3</v>
      </c>
      <c r="G127" s="9" t="str">
        <f t="shared" ref="G127:G133" si="103">IF(E127&lt;F127,"OK","NO")</f>
        <v>OK</v>
      </c>
    </row>
    <row r="128" spans="1:7" x14ac:dyDescent="0.25">
      <c r="A128" s="48">
        <v>2</v>
      </c>
      <c r="B128" s="9" t="s">
        <v>43</v>
      </c>
      <c r="C128" s="30">
        <f t="shared" si="99"/>
        <v>678.58401317539528</v>
      </c>
      <c r="D128" s="30">
        <f t="shared" si="100"/>
        <v>678.58401317539528</v>
      </c>
      <c r="E128" s="34">
        <f t="shared" si="101"/>
        <v>0</v>
      </c>
      <c r="F128" s="9">
        <f t="shared" si="102"/>
        <v>4.491774653064975E-3</v>
      </c>
      <c r="G128" s="9" t="str">
        <f t="shared" si="103"/>
        <v>OK</v>
      </c>
    </row>
    <row r="129" spans="1:7" x14ac:dyDescent="0.25">
      <c r="A129" s="49"/>
      <c r="B129" s="9" t="s">
        <v>44</v>
      </c>
      <c r="C129" s="30">
        <f t="shared" si="99"/>
        <v>678.58401317539528</v>
      </c>
      <c r="D129" s="30">
        <f t="shared" si="100"/>
        <v>678.58401317539528</v>
      </c>
      <c r="E129" s="34">
        <f t="shared" si="101"/>
        <v>0</v>
      </c>
      <c r="F129" s="9">
        <f t="shared" si="102"/>
        <v>4.491774653064975E-3</v>
      </c>
      <c r="G129" s="9" t="str">
        <f t="shared" si="103"/>
        <v>OK</v>
      </c>
    </row>
    <row r="130" spans="1:7" x14ac:dyDescent="0.25">
      <c r="A130" s="48">
        <v>3</v>
      </c>
      <c r="B130" s="9" t="s">
        <v>43</v>
      </c>
      <c r="C130" s="30">
        <f t="shared" si="99"/>
        <v>678.58401317539528</v>
      </c>
      <c r="D130" s="30">
        <f t="shared" si="100"/>
        <v>678.58401317539528</v>
      </c>
      <c r="E130" s="34">
        <f t="shared" si="101"/>
        <v>0</v>
      </c>
      <c r="F130" s="9">
        <f t="shared" si="102"/>
        <v>4.491774653064975E-3</v>
      </c>
      <c r="G130" s="9" t="str">
        <f t="shared" si="103"/>
        <v>OK</v>
      </c>
    </row>
    <row r="131" spans="1:7" x14ac:dyDescent="0.25">
      <c r="A131" s="49"/>
      <c r="B131" s="9" t="s">
        <v>44</v>
      </c>
      <c r="C131" s="30">
        <f t="shared" si="99"/>
        <v>678.58401317539528</v>
      </c>
      <c r="D131" s="30">
        <f t="shared" si="100"/>
        <v>678.58401317539528</v>
      </c>
      <c r="E131" s="34">
        <f t="shared" si="101"/>
        <v>0</v>
      </c>
      <c r="F131" s="9">
        <f t="shared" si="102"/>
        <v>4.491774653064975E-3</v>
      </c>
      <c r="G131" s="9" t="str">
        <f t="shared" si="103"/>
        <v>OK</v>
      </c>
    </row>
    <row r="132" spans="1:7" x14ac:dyDescent="0.25">
      <c r="A132" s="48">
        <v>4</v>
      </c>
      <c r="B132" s="9" t="s">
        <v>43</v>
      </c>
      <c r="C132" s="30">
        <f t="shared" si="99"/>
        <v>678.58401317539528</v>
      </c>
      <c r="D132" s="30">
        <f t="shared" si="100"/>
        <v>678.58401317539528</v>
      </c>
      <c r="E132" s="34">
        <f t="shared" si="101"/>
        <v>0</v>
      </c>
      <c r="F132" s="9">
        <f t="shared" si="102"/>
        <v>4.491774653064975E-3</v>
      </c>
      <c r="G132" s="9" t="str">
        <f t="shared" si="103"/>
        <v>OK</v>
      </c>
    </row>
    <row r="133" spans="1:7" x14ac:dyDescent="0.25">
      <c r="A133" s="49"/>
      <c r="B133" s="9" t="s">
        <v>44</v>
      </c>
      <c r="C133" s="30">
        <f t="shared" si="99"/>
        <v>678.58401317539528</v>
      </c>
      <c r="D133" s="30">
        <f t="shared" si="100"/>
        <v>678.58401317539528</v>
      </c>
      <c r="E133" s="34">
        <f t="shared" si="101"/>
        <v>0</v>
      </c>
      <c r="F133" s="9">
        <f t="shared" si="102"/>
        <v>4.491774653064975E-3</v>
      </c>
      <c r="G133" s="9" t="str">
        <f t="shared" si="103"/>
        <v>OK</v>
      </c>
    </row>
  </sheetData>
  <mergeCells count="60">
    <mergeCell ref="A15:A16"/>
    <mergeCell ref="A7:A8"/>
    <mergeCell ref="B1:B2"/>
    <mergeCell ref="C1:G1"/>
    <mergeCell ref="H1:L1"/>
    <mergeCell ref="A3:A4"/>
    <mergeCell ref="A5:A6"/>
    <mergeCell ref="A9:A10"/>
    <mergeCell ref="B11:B12"/>
    <mergeCell ref="C11:G11"/>
    <mergeCell ref="H11:L11"/>
    <mergeCell ref="A13:A14"/>
    <mergeCell ref="A37:A38"/>
    <mergeCell ref="A17:A18"/>
    <mergeCell ref="A19:A20"/>
    <mergeCell ref="B21:B22"/>
    <mergeCell ref="C21:G21"/>
    <mergeCell ref="A25:A26"/>
    <mergeCell ref="A27:A28"/>
    <mergeCell ref="A29:A30"/>
    <mergeCell ref="A31:H31"/>
    <mergeCell ref="A35:A36"/>
    <mergeCell ref="H21:L21"/>
    <mergeCell ref="A23:A24"/>
    <mergeCell ref="A71:A72"/>
    <mergeCell ref="A39:A40"/>
    <mergeCell ref="A41:A42"/>
    <mergeCell ref="A45:A46"/>
    <mergeCell ref="A47:A48"/>
    <mergeCell ref="A49:A50"/>
    <mergeCell ref="A51:A52"/>
    <mergeCell ref="A55:A56"/>
    <mergeCell ref="A57:A58"/>
    <mergeCell ref="A59:A60"/>
    <mergeCell ref="A61:A62"/>
    <mergeCell ref="A66:I66"/>
    <mergeCell ref="A101:J101"/>
    <mergeCell ref="A73:A74"/>
    <mergeCell ref="A75:A76"/>
    <mergeCell ref="A77:A78"/>
    <mergeCell ref="A81:A82"/>
    <mergeCell ref="A83:A84"/>
    <mergeCell ref="A85:A86"/>
    <mergeCell ref="A87:A88"/>
    <mergeCell ref="A91:A92"/>
    <mergeCell ref="A93:A94"/>
    <mergeCell ref="A95:A96"/>
    <mergeCell ref="A97:A98"/>
    <mergeCell ref="A132:A133"/>
    <mergeCell ref="A106:A107"/>
    <mergeCell ref="A108:A109"/>
    <mergeCell ref="A110:A111"/>
    <mergeCell ref="A112:A113"/>
    <mergeCell ref="A116:A117"/>
    <mergeCell ref="A118:A119"/>
    <mergeCell ref="A120:A121"/>
    <mergeCell ref="A122:A123"/>
    <mergeCell ref="A126:A127"/>
    <mergeCell ref="A128:A129"/>
    <mergeCell ref="A130:A131"/>
  </mergeCells>
  <conditionalFormatting sqref="N3:N30 P3:P30">
    <cfRule type="cellIs" dxfId="16" priority="3" operator="equal">
      <formula>"NO"</formula>
    </cfRule>
    <cfRule type="cellIs" dxfId="15" priority="4" operator="equal">
      <formula>"OK"</formula>
    </cfRule>
  </conditionalFormatting>
  <conditionalFormatting sqref="J71:J98 G106:G133">
    <cfRule type="cellIs" dxfId="14" priority="1" operator="equal">
      <formula>"OK"</formula>
    </cfRule>
    <cfRule type="cellIs" dxfId="13" priority="2" operator="equal">
      <formula>"NO"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3BA7-0794-4984-B0FE-09C143024A94}">
  <sheetPr>
    <pageSetUpPr fitToPage="1"/>
  </sheetPr>
  <dimension ref="A1:AN147"/>
  <sheetViews>
    <sheetView tabSelected="1" topLeftCell="E65" zoomScale="70" zoomScaleNormal="70" workbookViewId="0">
      <selection activeCell="P83" sqref="P83:X85"/>
    </sheetView>
  </sheetViews>
  <sheetFormatPr defaultRowHeight="15" x14ac:dyDescent="0.25"/>
  <cols>
    <col min="1" max="1" width="9.140625" style="2"/>
    <col min="2" max="2" width="11.42578125" style="2" customWidth="1"/>
    <col min="3" max="3" width="14.42578125" style="2" customWidth="1"/>
    <col min="4" max="4" width="16.42578125" style="2" customWidth="1"/>
    <col min="5" max="5" width="14" style="2" customWidth="1"/>
    <col min="6" max="6" width="11.42578125" style="2" customWidth="1"/>
    <col min="7" max="7" width="12" style="2" customWidth="1"/>
    <col min="8" max="8" width="12.5703125" style="2" customWidth="1"/>
    <col min="9" max="9" width="13" style="2" customWidth="1"/>
    <col min="10" max="10" width="6.7109375" style="2" customWidth="1"/>
    <col min="11" max="11" width="15.7109375" style="2" customWidth="1"/>
    <col min="12" max="12" width="13.85546875" style="2" customWidth="1"/>
    <col min="13" max="13" width="19.28515625" style="2" customWidth="1"/>
    <col min="15" max="15" width="16.7109375" customWidth="1"/>
    <col min="17" max="17" width="6.7109375" customWidth="1"/>
    <col min="18" max="18" width="7.7109375" customWidth="1"/>
    <col min="19" max="19" width="7.85546875" customWidth="1"/>
    <col min="20" max="20" width="9.42578125" customWidth="1"/>
    <col min="21" max="21" width="8.42578125" customWidth="1"/>
    <col min="22" max="22" width="8.140625" customWidth="1"/>
    <col min="23" max="23" width="10.28515625" style="2" customWidth="1"/>
    <col min="24" max="24" width="11.85546875" style="2" customWidth="1"/>
    <col min="25" max="25" width="14.85546875" style="2" customWidth="1"/>
    <col min="26" max="26" width="16.5703125" style="2" customWidth="1"/>
    <col min="27" max="27" width="16.85546875" style="2" customWidth="1"/>
    <col min="28" max="28" width="16" style="2" customWidth="1"/>
    <col min="29" max="29" width="18.7109375" style="2" customWidth="1"/>
    <col min="30" max="30" width="16.28515625" style="2" customWidth="1"/>
    <col min="31" max="31" width="16" style="2" customWidth="1"/>
    <col min="32" max="32" width="13.85546875" style="2" customWidth="1"/>
    <col min="33" max="33" width="15" style="2" customWidth="1"/>
    <col min="34" max="34" width="7.85546875" style="2" customWidth="1"/>
    <col min="35" max="35" width="15" style="2" customWidth="1"/>
    <col min="36" max="16384" width="9.140625" style="2"/>
  </cols>
  <sheetData>
    <row r="1" spans="1:40" x14ac:dyDescent="0.25">
      <c r="A1" s="7" t="s">
        <v>90</v>
      </c>
      <c r="B1" s="52" t="s">
        <v>42</v>
      </c>
      <c r="C1" s="54" t="s">
        <v>15</v>
      </c>
      <c r="D1" s="55"/>
      <c r="E1" s="55"/>
      <c r="F1" s="55"/>
      <c r="G1" s="56"/>
      <c r="H1" s="54" t="s">
        <v>16</v>
      </c>
      <c r="I1" s="55"/>
      <c r="J1" s="55"/>
      <c r="K1" s="55"/>
      <c r="L1" s="56"/>
      <c r="M1" s="7" t="s">
        <v>48</v>
      </c>
      <c r="O1" s="7" t="s">
        <v>47</v>
      </c>
      <c r="P1" s="2"/>
      <c r="Q1" s="7" t="s">
        <v>54</v>
      </c>
      <c r="AC1"/>
      <c r="AD1"/>
      <c r="AE1" s="7" t="s">
        <v>11</v>
      </c>
      <c r="AF1" s="7" t="s">
        <v>46</v>
      </c>
      <c r="AH1" s="14" t="s">
        <v>4</v>
      </c>
      <c r="AI1" s="14"/>
      <c r="AJ1" s="14"/>
      <c r="AL1" s="7" t="s">
        <v>0</v>
      </c>
      <c r="AM1" s="7" t="s">
        <v>1</v>
      </c>
      <c r="AN1" s="7" t="s">
        <v>13</v>
      </c>
    </row>
    <row r="2" spans="1:40" x14ac:dyDescent="0.25">
      <c r="A2" s="7" t="s">
        <v>40</v>
      </c>
      <c r="B2" s="53"/>
      <c r="C2" s="7" t="s">
        <v>25</v>
      </c>
      <c r="D2" s="7" t="s">
        <v>26</v>
      </c>
      <c r="E2" s="7" t="s">
        <v>25</v>
      </c>
      <c r="F2" s="7" t="s">
        <v>26</v>
      </c>
      <c r="G2" s="7" t="s">
        <v>41</v>
      </c>
      <c r="H2" s="7" t="s">
        <v>25</v>
      </c>
      <c r="I2" s="7" t="s">
        <v>26</v>
      </c>
      <c r="J2" s="7" t="s">
        <v>25</v>
      </c>
      <c r="K2" s="7" t="s">
        <v>26</v>
      </c>
      <c r="L2" s="7" t="s">
        <v>41</v>
      </c>
      <c r="M2" s="18" t="s">
        <v>27</v>
      </c>
      <c r="N2" s="17"/>
      <c r="O2" s="18" t="s">
        <v>27</v>
      </c>
      <c r="P2" s="2"/>
      <c r="Q2" s="7" t="s">
        <v>2</v>
      </c>
      <c r="T2" s="2" t="s">
        <v>84</v>
      </c>
      <c r="U2" s="2" t="s">
        <v>0</v>
      </c>
      <c r="V2" s="2" t="s">
        <v>85</v>
      </c>
      <c r="W2" s="2" t="s">
        <v>54</v>
      </c>
      <c r="X2" s="17" t="s">
        <v>87</v>
      </c>
      <c r="Y2"/>
      <c r="Z2" s="2" t="s">
        <v>88</v>
      </c>
      <c r="AC2"/>
      <c r="AD2"/>
      <c r="AE2" s="7" t="s">
        <v>27</v>
      </c>
      <c r="AF2" s="7" t="s">
        <v>27</v>
      </c>
      <c r="AH2" s="14" t="s">
        <v>5</v>
      </c>
      <c r="AI2" s="14"/>
      <c r="AJ2" s="14"/>
      <c r="AL2" s="7" t="s">
        <v>2</v>
      </c>
      <c r="AM2" s="7" t="s">
        <v>2</v>
      </c>
      <c r="AN2" s="7" t="s">
        <v>2</v>
      </c>
    </row>
    <row r="3" spans="1:40" x14ac:dyDescent="0.25">
      <c r="A3" s="51">
        <v>1</v>
      </c>
      <c r="B3" s="9" t="s">
        <v>43</v>
      </c>
      <c r="C3" s="9">
        <v>20</v>
      </c>
      <c r="D3" s="9">
        <v>2</v>
      </c>
      <c r="E3" s="9">
        <v>18</v>
      </c>
      <c r="F3" s="9">
        <v>2</v>
      </c>
      <c r="G3" s="10">
        <f>(C3^2/4*D3+E3^2/4*F3)*PI()</f>
        <v>1137.2565405995051</v>
      </c>
      <c r="H3" s="9">
        <v>18</v>
      </c>
      <c r="I3" s="9">
        <v>2</v>
      </c>
      <c r="J3" s="9">
        <v>18</v>
      </c>
      <c r="K3" s="9">
        <v>2</v>
      </c>
      <c r="L3" s="10">
        <f>(H3^2/4*I3+J3^2/4*K3)*PI()</f>
        <v>1017.8760197630929</v>
      </c>
      <c r="M3" s="15">
        <f t="shared" ref="M3:M8" si="0">G3/($AL$3*$AM$3)</f>
        <v>7.5817102706633678E-3</v>
      </c>
      <c r="N3" s="16" t="str">
        <f t="shared" ref="N3:N8" si="1">IF($AE$3&lt;=M3,"OK","NO")</f>
        <v>OK</v>
      </c>
      <c r="O3" s="23">
        <f t="shared" ref="O3:O8" si="2">L3/($AL$3*$AM$3)</f>
        <v>6.7858401317539528E-3</v>
      </c>
      <c r="P3" s="28" t="str">
        <f t="shared" ref="P3:P8" si="3">IF(O3&gt;$AE$3,"OK","NO")</f>
        <v>OK</v>
      </c>
      <c r="Q3" s="10">
        <f t="shared" ref="Q3:Q8" si="4">ABS($AI$6*(G3-L3)/($AI$14*0.8*$AI$3))</f>
        <v>11.449538443389915</v>
      </c>
      <c r="T3" s="2">
        <f>$AI$3*$AI$14*0.8</f>
        <v>4080</v>
      </c>
      <c r="U3" s="2">
        <f>L3*$AI$15*3.5/1000-G3*$AI$6</f>
        <v>303125.44559563219</v>
      </c>
      <c r="V3" s="2" t="e">
        <f>$AI$6,$AI$6,L3*$AI$15*(3.5/1000)*($AI$4-40)</f>
        <v>#VALUE!</v>
      </c>
      <c r="W3" t="e">
        <f>CONCATENATE(T3," y^2 ",IF(U3&gt;0," + "," "),U3," y",IF(V3&gt;0," + "," "),V3, " = 0 ")</f>
        <v>#VALUE!</v>
      </c>
      <c r="X3" s="2" t="e">
        <f>U3^2-4*T3*V3</f>
        <v>#VALUE!</v>
      </c>
      <c r="Y3" t="e">
        <f>IF(X3&gt;0,"2 soluzioni distinte",IF(X3=0,"2 soluzioni coincidenti","nessuna soluzione"))</f>
        <v>#VALUE!</v>
      </c>
      <c r="Z3" s="2" t="e">
        <f>IF(X3&lt;0," ",(-U3+SQRT(X3))/(2*T3))</f>
        <v>#VALUE!</v>
      </c>
      <c r="AA3" s="3" t="e">
        <f>IF(X3&lt;0," ",(-U3-SQRT(X3))/(2*T3))</f>
        <v>#VALUE!</v>
      </c>
      <c r="AC3"/>
      <c r="AD3"/>
      <c r="AE3" s="24">
        <f>1.4/$AI$5</f>
        <v>3.1111111111111109E-3</v>
      </c>
      <c r="AF3" s="20">
        <f>3.5/$AI$5</f>
        <v>7.7777777777777776E-3</v>
      </c>
      <c r="AH3" s="2" t="s">
        <v>0</v>
      </c>
      <c r="AI3" s="2">
        <f>300</f>
        <v>300</v>
      </c>
      <c r="AJ3" s="2" t="s">
        <v>2</v>
      </c>
      <c r="AL3" s="35">
        <v>300</v>
      </c>
      <c r="AM3" s="35">
        <v>500</v>
      </c>
      <c r="AN3" s="35">
        <f>AM3-40</f>
        <v>460</v>
      </c>
    </row>
    <row r="4" spans="1:40" x14ac:dyDescent="0.25">
      <c r="A4" s="51"/>
      <c r="B4" s="9" t="s">
        <v>44</v>
      </c>
      <c r="C4" s="9">
        <v>18</v>
      </c>
      <c r="D4" s="9">
        <v>2</v>
      </c>
      <c r="E4" s="9">
        <v>18</v>
      </c>
      <c r="F4" s="9">
        <v>2</v>
      </c>
      <c r="G4" s="10">
        <f t="shared" ref="G4:G8" si="5">(C4^2/4*D4+E4^2/4*F4)*PI()</f>
        <v>1017.8760197630929</v>
      </c>
      <c r="H4" s="9">
        <v>18</v>
      </c>
      <c r="I4" s="9">
        <v>2</v>
      </c>
      <c r="J4" s="9">
        <v>18</v>
      </c>
      <c r="K4" s="9">
        <v>2</v>
      </c>
      <c r="L4" s="10">
        <f t="shared" ref="L4:L8" si="6">(H4^2/4*I4+J4^2/4*K4)*PI()</f>
        <v>1017.8760197630929</v>
      </c>
      <c r="M4" s="15">
        <f t="shared" si="0"/>
        <v>6.7858401317539528E-3</v>
      </c>
      <c r="N4" s="16" t="str">
        <f t="shared" si="1"/>
        <v>OK</v>
      </c>
      <c r="O4" s="15">
        <f t="shared" si="2"/>
        <v>6.7858401317539528E-3</v>
      </c>
      <c r="P4" s="28" t="str">
        <f t="shared" si="3"/>
        <v>OK</v>
      </c>
      <c r="Q4" s="10">
        <f t="shared" si="4"/>
        <v>0</v>
      </c>
      <c r="T4" s="2">
        <f t="shared" ref="T4:T8" si="7">$AI$3*$AI$14*0.8</f>
        <v>4080</v>
      </c>
      <c r="U4" s="2">
        <f>G4*$AI$15*3.5/1000-L4*$AI$6</f>
        <v>349839.56244466302</v>
      </c>
      <c r="V4" s="2">
        <f t="shared" ref="V4:V8" ca="1" si="8">IF($AI$15*(3.5/1000)*(AA4-40)/(AA4)&gt;$AI$6,$AI$6,L4*$AI$15*(3.5/1000)*($AI$4-40))</f>
        <v>0</v>
      </c>
      <c r="W4" t="e">
        <f t="shared" ref="W4:W8" ca="1" si="9">CONCATENATE(T4," y^2 ",IF(U4&gt;0," + "," "),U4," y",IF(V4&gt;0," + "," "),V4, " = 0 ")</f>
        <v>#VALUE!</v>
      </c>
      <c r="X4" s="2" t="e">
        <f t="shared" ref="X4:X8" ca="1" si="10">U4^2-4*T4*V4</f>
        <v>#VALUE!</v>
      </c>
      <c r="Y4" t="e">
        <f t="shared" ref="Y4:Y8" ca="1" si="11">IF(X4&gt;0,"2 soluzioni distinte",IF(X4=0,"2 soluzioni coincidenti","nessuna soluzione"))</f>
        <v>#VALUE!</v>
      </c>
      <c r="Z4" s="2" t="e">
        <f t="shared" ref="Z4:Z8" ca="1" si="12">IF(X4&lt;0," ",(-U4+SQRT(X4))/(2*T4))</f>
        <v>#VALUE!</v>
      </c>
      <c r="AA4" s="3" t="e">
        <f t="shared" ref="AA4:AA8" ca="1" si="13">IF(X4&lt;0," ",(-U4-SQRT(X4))/(2*T4))</f>
        <v>#VALUE!</v>
      </c>
      <c r="AC4"/>
      <c r="AD4"/>
      <c r="AE4" s="21"/>
      <c r="AH4" s="2" t="s">
        <v>1</v>
      </c>
      <c r="AI4" s="2">
        <v>500</v>
      </c>
      <c r="AJ4" s="2" t="s">
        <v>2</v>
      </c>
      <c r="AL4" s="35"/>
      <c r="AM4" s="35"/>
      <c r="AN4" s="35"/>
    </row>
    <row r="5" spans="1:40" x14ac:dyDescent="0.25">
      <c r="A5" s="51">
        <v>2</v>
      </c>
      <c r="B5" s="9" t="s">
        <v>43</v>
      </c>
      <c r="C5" s="9">
        <v>18</v>
      </c>
      <c r="D5" s="9">
        <v>2</v>
      </c>
      <c r="E5" s="9">
        <v>18</v>
      </c>
      <c r="F5" s="9">
        <v>2</v>
      </c>
      <c r="G5" s="10">
        <f t="shared" si="5"/>
        <v>1017.8760197630929</v>
      </c>
      <c r="H5" s="9">
        <v>18</v>
      </c>
      <c r="I5" s="9">
        <v>2</v>
      </c>
      <c r="J5" s="9">
        <v>18</v>
      </c>
      <c r="K5" s="9">
        <v>2</v>
      </c>
      <c r="L5" s="10">
        <f t="shared" si="6"/>
        <v>1017.8760197630929</v>
      </c>
      <c r="M5" s="15">
        <f t="shared" si="0"/>
        <v>6.7858401317539528E-3</v>
      </c>
      <c r="N5" s="16" t="str">
        <f t="shared" si="1"/>
        <v>OK</v>
      </c>
      <c r="O5" s="15">
        <f t="shared" si="2"/>
        <v>6.7858401317539528E-3</v>
      </c>
      <c r="P5" s="28" t="str">
        <f t="shared" si="3"/>
        <v>OK</v>
      </c>
      <c r="Q5" s="10">
        <f t="shared" si="4"/>
        <v>0</v>
      </c>
      <c r="T5" s="2">
        <f>$AI$3*$AI$14*0.8</f>
        <v>4080</v>
      </c>
      <c r="U5" s="2">
        <f>L5*$AI$15*3.5/1000-G5*$AI$6</f>
        <v>349839.56244466302</v>
      </c>
      <c r="V5" s="2">
        <f t="shared" ca="1" si="8"/>
        <v>0</v>
      </c>
      <c r="W5" t="e">
        <f t="shared" ca="1" si="9"/>
        <v>#VALUE!</v>
      </c>
      <c r="X5" s="2" t="e">
        <f t="shared" ca="1" si="10"/>
        <v>#VALUE!</v>
      </c>
      <c r="Y5" t="e">
        <f t="shared" ca="1" si="11"/>
        <v>#VALUE!</v>
      </c>
      <c r="Z5" s="2" t="e">
        <f t="shared" ca="1" si="12"/>
        <v>#VALUE!</v>
      </c>
      <c r="AA5" s="3" t="e">
        <f t="shared" ca="1" si="13"/>
        <v>#VALUE!</v>
      </c>
      <c r="AC5"/>
      <c r="AD5"/>
      <c r="AE5" s="21"/>
      <c r="AH5" s="2" t="s">
        <v>10</v>
      </c>
      <c r="AI5" s="2">
        <f>450</f>
        <v>450</v>
      </c>
      <c r="AJ5" s="2" t="s">
        <v>3</v>
      </c>
      <c r="AL5" s="35">
        <v>300</v>
      </c>
      <c r="AM5" s="35">
        <v>500</v>
      </c>
      <c r="AN5" s="35">
        <f t="shared" ref="AN5" si="14">AM5-40</f>
        <v>460</v>
      </c>
    </row>
    <row r="6" spans="1:40" x14ac:dyDescent="0.25">
      <c r="A6" s="51"/>
      <c r="B6" s="9" t="s">
        <v>44</v>
      </c>
      <c r="C6" s="9">
        <v>18</v>
      </c>
      <c r="D6" s="9">
        <v>2</v>
      </c>
      <c r="E6" s="9">
        <v>18</v>
      </c>
      <c r="F6" s="9">
        <v>2</v>
      </c>
      <c r="G6" s="10">
        <f t="shared" si="5"/>
        <v>1017.8760197630929</v>
      </c>
      <c r="H6" s="9">
        <v>18</v>
      </c>
      <c r="I6" s="9">
        <v>2</v>
      </c>
      <c r="J6" s="9">
        <v>18</v>
      </c>
      <c r="K6" s="9">
        <v>2</v>
      </c>
      <c r="L6" s="10">
        <f t="shared" si="6"/>
        <v>1017.8760197630929</v>
      </c>
      <c r="M6" s="15">
        <f t="shared" si="0"/>
        <v>6.7858401317539528E-3</v>
      </c>
      <c r="N6" s="16" t="str">
        <f t="shared" si="1"/>
        <v>OK</v>
      </c>
      <c r="O6" s="15">
        <f t="shared" si="2"/>
        <v>6.7858401317539528E-3</v>
      </c>
      <c r="P6" s="28" t="str">
        <f t="shared" si="3"/>
        <v>OK</v>
      </c>
      <c r="Q6" s="10">
        <f t="shared" si="4"/>
        <v>0</v>
      </c>
      <c r="T6" s="2">
        <f t="shared" si="7"/>
        <v>4080</v>
      </c>
      <c r="U6" s="2">
        <f>G6*$AI$15*3.5/1000-L6*$AI$6</f>
        <v>349839.56244466302</v>
      </c>
      <c r="V6" s="2">
        <f t="shared" ca="1" si="8"/>
        <v>0</v>
      </c>
      <c r="W6" t="e">
        <f t="shared" ca="1" si="9"/>
        <v>#VALUE!</v>
      </c>
      <c r="X6" s="2" t="e">
        <f t="shared" ca="1" si="10"/>
        <v>#VALUE!</v>
      </c>
      <c r="Y6" t="e">
        <f t="shared" ca="1" si="11"/>
        <v>#VALUE!</v>
      </c>
      <c r="Z6" s="2" t="e">
        <f t="shared" ca="1" si="12"/>
        <v>#VALUE!</v>
      </c>
      <c r="AA6" s="3" t="e">
        <f t="shared" ca="1" si="13"/>
        <v>#VALUE!</v>
      </c>
      <c r="AC6"/>
      <c r="AD6"/>
      <c r="AE6" s="21"/>
      <c r="AH6" s="2" t="s">
        <v>56</v>
      </c>
      <c r="AI6" s="2">
        <f>AI5/1.15</f>
        <v>391.304347826087</v>
      </c>
      <c r="AL6" s="35"/>
      <c r="AM6" s="35"/>
      <c r="AN6" s="35"/>
    </row>
    <row r="7" spans="1:40" x14ac:dyDescent="0.25">
      <c r="A7" s="51">
        <v>3</v>
      </c>
      <c r="B7" s="9" t="s">
        <v>43</v>
      </c>
      <c r="C7" s="9">
        <v>18</v>
      </c>
      <c r="D7" s="9">
        <v>2</v>
      </c>
      <c r="E7" s="9">
        <v>18</v>
      </c>
      <c r="F7" s="9">
        <v>2</v>
      </c>
      <c r="G7" s="10">
        <f t="shared" si="5"/>
        <v>1017.8760197630929</v>
      </c>
      <c r="H7" s="9">
        <v>18</v>
      </c>
      <c r="I7" s="9">
        <v>2</v>
      </c>
      <c r="J7" s="9">
        <v>14</v>
      </c>
      <c r="K7" s="9">
        <v>2</v>
      </c>
      <c r="L7" s="10">
        <f t="shared" si="6"/>
        <v>816.81408993334617</v>
      </c>
      <c r="M7" s="15">
        <f t="shared" si="0"/>
        <v>6.7858401317539528E-3</v>
      </c>
      <c r="N7" s="16" t="str">
        <f t="shared" si="1"/>
        <v>OK</v>
      </c>
      <c r="O7" s="15">
        <f t="shared" si="2"/>
        <v>5.4454272662223082E-3</v>
      </c>
      <c r="P7" s="28" t="str">
        <f t="shared" si="3"/>
        <v>OK</v>
      </c>
      <c r="Q7" s="10">
        <f t="shared" si="4"/>
        <v>19.283433167814586</v>
      </c>
      <c r="T7" s="2">
        <f>$AI$3*$AI$14*0.8</f>
        <v>4080</v>
      </c>
      <c r="U7" s="2">
        <f>L7*$AI$15*3.5/1000-G7*$AI$6</f>
        <v>202059.0440197991</v>
      </c>
      <c r="V7" s="2">
        <f t="shared" ca="1" si="8"/>
        <v>0</v>
      </c>
      <c r="W7" t="e">
        <f t="shared" ca="1" si="9"/>
        <v>#VALUE!</v>
      </c>
      <c r="X7" s="2" t="e">
        <f t="shared" ca="1" si="10"/>
        <v>#VALUE!</v>
      </c>
      <c r="Y7" t="e">
        <f t="shared" ca="1" si="11"/>
        <v>#VALUE!</v>
      </c>
      <c r="Z7" s="2" t="e">
        <f t="shared" ca="1" si="12"/>
        <v>#VALUE!</v>
      </c>
      <c r="AA7" s="3" t="e">
        <f t="shared" ca="1" si="13"/>
        <v>#VALUE!</v>
      </c>
      <c r="AC7"/>
      <c r="AD7"/>
      <c r="AE7" s="21"/>
      <c r="AH7" s="2" t="s">
        <v>7</v>
      </c>
      <c r="AI7" s="3">
        <f>1.4/AI5*AI3*AI4</f>
        <v>466.66666666666663</v>
      </c>
      <c r="AJ7" s="2" t="s">
        <v>6</v>
      </c>
      <c r="AL7" s="35">
        <v>300</v>
      </c>
      <c r="AM7" s="35">
        <v>500</v>
      </c>
      <c r="AN7" s="35">
        <f t="shared" ref="AN7" si="15">AM7-40</f>
        <v>460</v>
      </c>
    </row>
    <row r="8" spans="1:40" x14ac:dyDescent="0.25">
      <c r="A8" s="51"/>
      <c r="B8" s="9" t="s">
        <v>44</v>
      </c>
      <c r="C8" s="9">
        <v>20</v>
      </c>
      <c r="D8" s="9">
        <v>2</v>
      </c>
      <c r="E8" s="9">
        <v>18</v>
      </c>
      <c r="F8" s="9">
        <v>2</v>
      </c>
      <c r="G8" s="10">
        <f t="shared" si="5"/>
        <v>1137.2565405995051</v>
      </c>
      <c r="H8" s="9">
        <v>18</v>
      </c>
      <c r="I8" s="9">
        <v>2</v>
      </c>
      <c r="J8" s="9">
        <v>14</v>
      </c>
      <c r="K8" s="9">
        <v>2</v>
      </c>
      <c r="L8" s="10">
        <f t="shared" si="6"/>
        <v>816.81408993334617</v>
      </c>
      <c r="M8" s="15">
        <f t="shared" si="0"/>
        <v>7.5817102706633678E-3</v>
      </c>
      <c r="N8" s="16" t="str">
        <f t="shared" si="1"/>
        <v>OK</v>
      </c>
      <c r="O8" s="15">
        <f t="shared" si="2"/>
        <v>5.4454272662223082E-3</v>
      </c>
      <c r="P8" s="28" t="str">
        <f t="shared" si="3"/>
        <v>OK</v>
      </c>
      <c r="Q8" s="10">
        <f t="shared" si="4"/>
        <v>30.732971611204501</v>
      </c>
      <c r="T8" s="2">
        <f t="shared" si="7"/>
        <v>4080</v>
      </c>
      <c r="U8" s="2">
        <f>G8*$AI$15*3.5/1000-L8*$AI$6</f>
        <v>516260.65258410946</v>
      </c>
      <c r="V8" s="2">
        <f t="shared" ca="1" si="8"/>
        <v>0</v>
      </c>
      <c r="W8" t="e">
        <f t="shared" ca="1" si="9"/>
        <v>#VALUE!</v>
      </c>
      <c r="X8" s="2" t="e">
        <f t="shared" ca="1" si="10"/>
        <v>#VALUE!</v>
      </c>
      <c r="Y8" t="e">
        <f t="shared" ca="1" si="11"/>
        <v>#VALUE!</v>
      </c>
      <c r="Z8" s="2" t="e">
        <f t="shared" ca="1" si="12"/>
        <v>#VALUE!</v>
      </c>
      <c r="AA8" s="3" t="e">
        <f t="shared" ca="1" si="13"/>
        <v>#VALUE!</v>
      </c>
      <c r="AC8"/>
      <c r="AD8"/>
      <c r="AE8" s="21"/>
      <c r="AH8" s="2" t="s">
        <v>8</v>
      </c>
      <c r="AI8" s="3">
        <f>3.5/AI5*AI3*AI4</f>
        <v>1166.6666666666667</v>
      </c>
      <c r="AJ8" s="2" t="s">
        <v>6</v>
      </c>
      <c r="AL8" s="35"/>
      <c r="AM8" s="35"/>
      <c r="AN8" s="35"/>
    </row>
    <row r="9" spans="1:40" x14ac:dyDescent="0.25">
      <c r="A9" s="51">
        <v>4</v>
      </c>
      <c r="B9" s="9" t="s">
        <v>43</v>
      </c>
      <c r="C9" s="9">
        <v>20</v>
      </c>
      <c r="D9" s="9">
        <v>2</v>
      </c>
      <c r="E9" s="9">
        <v>18</v>
      </c>
      <c r="F9" s="9">
        <v>2</v>
      </c>
      <c r="G9" s="10">
        <f t="shared" ref="G9:G10" si="16">(C9^2/4*D9+E9^2/4*F9)*PI()</f>
        <v>1137.2565405995051</v>
      </c>
      <c r="H9" s="9">
        <v>18</v>
      </c>
      <c r="I9" s="9">
        <v>2</v>
      </c>
      <c r="J9" s="9">
        <v>18</v>
      </c>
      <c r="K9" s="9">
        <v>2</v>
      </c>
      <c r="L9" s="10">
        <f t="shared" ref="L9:L10" si="17">(H9^2/4*I9+J9^2/4*K9)*PI()</f>
        <v>1017.8760197630929</v>
      </c>
      <c r="M9" s="15">
        <f t="shared" ref="M9:M10" si="18">G9/($AL$3*$AM$3)</f>
        <v>7.5817102706633678E-3</v>
      </c>
      <c r="N9" s="16" t="str">
        <f t="shared" ref="N9:N10" si="19">IF($AE$3&lt;=M9,"OK","NO")</f>
        <v>OK</v>
      </c>
      <c r="O9" s="15">
        <f t="shared" ref="O9:O10" si="20">L9/($AL$3*$AM$3)</f>
        <v>6.7858401317539528E-3</v>
      </c>
      <c r="P9" s="28" t="str">
        <f t="shared" ref="P9:P10" si="21">IF(O9&gt;$AE$3,"OK","NO")</f>
        <v>OK</v>
      </c>
      <c r="Q9" s="10">
        <f t="shared" ref="Q9:Q10" si="22">ABS($AI$6*(G9-L9)/($AI$14*0.8*$AI$3))</f>
        <v>11.449538443389915</v>
      </c>
      <c r="AC9"/>
      <c r="AD9"/>
      <c r="AE9" s="17"/>
      <c r="AH9" s="2" t="s">
        <v>11</v>
      </c>
      <c r="AI9" s="4">
        <f>AI7/(AI4*AI3)</f>
        <v>3.1111111111111109E-3</v>
      </c>
      <c r="AL9" s="7" t="s">
        <v>0</v>
      </c>
      <c r="AM9" s="7" t="s">
        <v>1</v>
      </c>
      <c r="AN9" s="7" t="s">
        <v>13</v>
      </c>
    </row>
    <row r="10" spans="1:40" x14ac:dyDescent="0.25">
      <c r="A10" s="51"/>
      <c r="B10" s="9" t="s">
        <v>44</v>
      </c>
      <c r="C10" s="9">
        <v>20</v>
      </c>
      <c r="D10" s="9">
        <v>2</v>
      </c>
      <c r="E10" s="9">
        <v>18</v>
      </c>
      <c r="F10" s="9">
        <v>2</v>
      </c>
      <c r="G10" s="10">
        <f t="shared" si="16"/>
        <v>1137.2565405995051</v>
      </c>
      <c r="H10" s="9">
        <v>18</v>
      </c>
      <c r="I10" s="9">
        <v>2</v>
      </c>
      <c r="J10" s="9">
        <v>18</v>
      </c>
      <c r="K10" s="9">
        <v>2</v>
      </c>
      <c r="L10" s="10">
        <f t="shared" si="17"/>
        <v>1017.8760197630929</v>
      </c>
      <c r="M10" s="15">
        <f t="shared" si="18"/>
        <v>7.5817102706633678E-3</v>
      </c>
      <c r="N10" s="16" t="str">
        <f t="shared" si="19"/>
        <v>OK</v>
      </c>
      <c r="O10" s="15">
        <f t="shared" si="20"/>
        <v>6.7858401317539528E-3</v>
      </c>
      <c r="P10" s="28" t="str">
        <f t="shared" si="21"/>
        <v>OK</v>
      </c>
      <c r="Q10" s="10">
        <f t="shared" si="22"/>
        <v>11.449538443389915</v>
      </c>
      <c r="S10" s="2"/>
      <c r="AC10"/>
      <c r="AD10"/>
      <c r="AE10" s="17"/>
      <c r="AH10" s="2" t="s">
        <v>9</v>
      </c>
      <c r="AI10" s="5">
        <f>0.25*AI9</f>
        <v>7.7777777777777773E-4</v>
      </c>
      <c r="AL10" s="7" t="s">
        <v>2</v>
      </c>
      <c r="AM10" s="7" t="s">
        <v>2</v>
      </c>
      <c r="AN10" s="7" t="s">
        <v>2</v>
      </c>
    </row>
    <row r="11" spans="1:40" x14ac:dyDescent="0.25">
      <c r="A11" s="7" t="s">
        <v>91</v>
      </c>
      <c r="B11" s="52" t="s">
        <v>42</v>
      </c>
      <c r="C11" s="54" t="s">
        <v>15</v>
      </c>
      <c r="D11" s="55"/>
      <c r="E11" s="55"/>
      <c r="F11" s="55"/>
      <c r="G11" s="56"/>
      <c r="H11" s="54" t="s">
        <v>16</v>
      </c>
      <c r="I11" s="55"/>
      <c r="J11" s="55"/>
      <c r="K11" s="55"/>
      <c r="L11" s="56"/>
      <c r="M11" s="7" t="s">
        <v>48</v>
      </c>
      <c r="O11" s="7" t="s">
        <v>47</v>
      </c>
      <c r="P11" s="2"/>
      <c r="Q11" s="7" t="s">
        <v>54</v>
      </c>
      <c r="S11" s="2"/>
      <c r="AC11"/>
      <c r="AD11"/>
      <c r="AE11" s="21"/>
      <c r="AH11" s="2" t="s">
        <v>9</v>
      </c>
      <c r="AI11" s="5">
        <f>0.5*AI9</f>
        <v>1.5555555555555555E-3</v>
      </c>
      <c r="AJ11" s="6" t="s">
        <v>12</v>
      </c>
      <c r="AL11" s="35">
        <v>300</v>
      </c>
      <c r="AM11" s="35">
        <v>500</v>
      </c>
      <c r="AN11" s="35">
        <f>AM11-40</f>
        <v>460</v>
      </c>
    </row>
    <row r="12" spans="1:40" x14ac:dyDescent="0.25">
      <c r="A12" s="7" t="s">
        <v>40</v>
      </c>
      <c r="B12" s="53"/>
      <c r="C12" s="7" t="s">
        <v>25</v>
      </c>
      <c r="D12" s="7" t="s">
        <v>26</v>
      </c>
      <c r="E12" s="7" t="s">
        <v>25</v>
      </c>
      <c r="F12" s="7" t="s">
        <v>26</v>
      </c>
      <c r="G12" s="7" t="s">
        <v>41</v>
      </c>
      <c r="H12" s="7" t="s">
        <v>25</v>
      </c>
      <c r="I12" s="7" t="s">
        <v>26</v>
      </c>
      <c r="J12" s="7" t="s">
        <v>25</v>
      </c>
      <c r="K12" s="7" t="s">
        <v>26</v>
      </c>
      <c r="L12" s="7" t="s">
        <v>41</v>
      </c>
      <c r="M12" s="18" t="s">
        <v>27</v>
      </c>
      <c r="N12" s="17"/>
      <c r="O12" s="18" t="s">
        <v>27</v>
      </c>
      <c r="P12" s="2"/>
      <c r="Q12" s="7" t="s">
        <v>2</v>
      </c>
      <c r="S12" s="2"/>
      <c r="AC12"/>
      <c r="AD12"/>
      <c r="AE12" s="21"/>
      <c r="AL12" s="35"/>
      <c r="AM12" s="35"/>
      <c r="AN12" s="35"/>
    </row>
    <row r="13" spans="1:40" x14ac:dyDescent="0.25">
      <c r="A13" s="51">
        <v>1</v>
      </c>
      <c r="B13" s="9" t="s">
        <v>43</v>
      </c>
      <c r="C13" s="9">
        <v>20</v>
      </c>
      <c r="D13" s="9">
        <v>2</v>
      </c>
      <c r="E13" s="9">
        <v>18</v>
      </c>
      <c r="F13" s="9">
        <v>2</v>
      </c>
      <c r="G13" s="10">
        <f>(C13^2/4*D13+E13^2/4*F13)*PI()</f>
        <v>1137.2565405995051</v>
      </c>
      <c r="H13" s="9">
        <v>18</v>
      </c>
      <c r="I13" s="9">
        <v>2</v>
      </c>
      <c r="J13" s="9">
        <v>18</v>
      </c>
      <c r="K13" s="9">
        <v>2</v>
      </c>
      <c r="L13" s="10">
        <f>(H13^2/4*I13+J13^2/4*K13)*PI()</f>
        <v>1017.8760197630929</v>
      </c>
      <c r="M13" s="15">
        <f t="shared" ref="M13:M20" si="23">G13/($AL$3*$AM$3)</f>
        <v>7.5817102706633678E-3</v>
      </c>
      <c r="N13" s="16" t="str">
        <f t="shared" ref="N13:N20" si="24">IF($AE$3&lt;=M13,"OK","NO")</f>
        <v>OK</v>
      </c>
      <c r="O13" s="23">
        <f t="shared" ref="O13:O20" si="25">L13/($AL$3*$AM$3)</f>
        <v>6.7858401317539528E-3</v>
      </c>
      <c r="P13" s="28" t="str">
        <f t="shared" ref="P13:P20" si="26">IF(O13&gt;$AE$3,"OK","NO")</f>
        <v>OK</v>
      </c>
      <c r="Q13" s="10">
        <f t="shared" ref="Q13:Q20" si="27">ABS($AI$6*(G13-L13)/($AI$14*0.8*$AI$3))</f>
        <v>11.449538443389915</v>
      </c>
      <c r="S13" s="2"/>
      <c r="AC13"/>
      <c r="AD13"/>
      <c r="AE13" s="21"/>
      <c r="AI13" s="2">
        <f>269*1000^2/(0.9*AN3*391)</f>
        <v>1661.7863276375454</v>
      </c>
      <c r="AL13" s="35">
        <v>300</v>
      </c>
      <c r="AM13" s="35">
        <v>500</v>
      </c>
      <c r="AN13" s="35">
        <f t="shared" ref="AN13" si="28">AM13-40</f>
        <v>460</v>
      </c>
    </row>
    <row r="14" spans="1:40" x14ac:dyDescent="0.25">
      <c r="A14" s="51"/>
      <c r="B14" s="9" t="s">
        <v>44</v>
      </c>
      <c r="C14" s="9">
        <v>18</v>
      </c>
      <c r="D14" s="9">
        <v>2</v>
      </c>
      <c r="E14" s="9">
        <v>18</v>
      </c>
      <c r="F14" s="9">
        <v>2</v>
      </c>
      <c r="G14" s="10">
        <f t="shared" ref="G14:G20" si="29">(C14^2/4*D14+E14^2/4*F14)*PI()</f>
        <v>1017.8760197630929</v>
      </c>
      <c r="H14" s="9">
        <v>18</v>
      </c>
      <c r="I14" s="9">
        <v>2</v>
      </c>
      <c r="J14" s="9">
        <v>18</v>
      </c>
      <c r="K14" s="9">
        <v>2</v>
      </c>
      <c r="L14" s="10">
        <f t="shared" ref="L14:L20" si="30">(H14^2/4*I14+J14^2/4*K14)*PI()</f>
        <v>1017.8760197630929</v>
      </c>
      <c r="M14" s="15">
        <f t="shared" si="23"/>
        <v>6.7858401317539528E-3</v>
      </c>
      <c r="N14" s="16" t="str">
        <f t="shared" si="24"/>
        <v>OK</v>
      </c>
      <c r="O14" s="15">
        <f t="shared" si="25"/>
        <v>6.7858401317539528E-3</v>
      </c>
      <c r="P14" s="28" t="str">
        <f t="shared" si="26"/>
        <v>OK</v>
      </c>
      <c r="Q14" s="10">
        <f t="shared" si="27"/>
        <v>0</v>
      </c>
      <c r="S14" s="2"/>
      <c r="AC14"/>
      <c r="AD14"/>
      <c r="AE14" s="21"/>
      <c r="AH14" s="2" t="s">
        <v>55</v>
      </c>
      <c r="AI14" s="2">
        <f>0.85*30/1.5</f>
        <v>17</v>
      </c>
      <c r="AL14" s="35"/>
      <c r="AM14" s="35"/>
      <c r="AN14" s="35"/>
    </row>
    <row r="15" spans="1:40" x14ac:dyDescent="0.25">
      <c r="A15" s="51">
        <v>2</v>
      </c>
      <c r="B15" s="9" t="s">
        <v>43</v>
      </c>
      <c r="C15" s="9">
        <v>18</v>
      </c>
      <c r="D15" s="9">
        <v>2</v>
      </c>
      <c r="E15" s="9">
        <v>18</v>
      </c>
      <c r="F15" s="9">
        <v>2</v>
      </c>
      <c r="G15" s="10">
        <f t="shared" si="29"/>
        <v>1017.8760197630929</v>
      </c>
      <c r="H15" s="9">
        <v>18</v>
      </c>
      <c r="I15" s="9">
        <v>2</v>
      </c>
      <c r="J15" s="9">
        <v>18</v>
      </c>
      <c r="K15" s="9">
        <v>2</v>
      </c>
      <c r="L15" s="10">
        <f t="shared" si="30"/>
        <v>1017.8760197630929</v>
      </c>
      <c r="M15" s="15">
        <f t="shared" si="23"/>
        <v>6.7858401317539528E-3</v>
      </c>
      <c r="N15" s="16" t="str">
        <f t="shared" si="24"/>
        <v>OK</v>
      </c>
      <c r="O15" s="15">
        <f t="shared" si="25"/>
        <v>6.7858401317539528E-3</v>
      </c>
      <c r="P15" s="28" t="str">
        <f t="shared" si="26"/>
        <v>OK</v>
      </c>
      <c r="Q15" s="10">
        <f t="shared" si="27"/>
        <v>0</v>
      </c>
      <c r="S15" s="2"/>
      <c r="AC15"/>
      <c r="AD15"/>
      <c r="AE15" s="21"/>
      <c r="AH15" s="2" t="s">
        <v>86</v>
      </c>
      <c r="AI15" s="2">
        <v>210000</v>
      </c>
      <c r="AL15" s="35">
        <v>300</v>
      </c>
      <c r="AM15" s="35">
        <v>500</v>
      </c>
      <c r="AN15" s="35">
        <f t="shared" ref="AN15" si="31">AM15-40</f>
        <v>460</v>
      </c>
    </row>
    <row r="16" spans="1:40" x14ac:dyDescent="0.25">
      <c r="A16" s="51"/>
      <c r="B16" s="9" t="s">
        <v>44</v>
      </c>
      <c r="C16" s="9">
        <v>18</v>
      </c>
      <c r="D16" s="9">
        <v>2</v>
      </c>
      <c r="E16" s="9">
        <v>18</v>
      </c>
      <c r="F16" s="9">
        <v>2</v>
      </c>
      <c r="G16" s="10">
        <f t="shared" si="29"/>
        <v>1017.8760197630929</v>
      </c>
      <c r="H16" s="9">
        <v>18</v>
      </c>
      <c r="I16" s="9">
        <v>2</v>
      </c>
      <c r="J16" s="9">
        <v>18</v>
      </c>
      <c r="K16" s="9">
        <v>2</v>
      </c>
      <c r="L16" s="10">
        <f t="shared" si="30"/>
        <v>1017.8760197630929</v>
      </c>
      <c r="M16" s="15">
        <f t="shared" si="23"/>
        <v>6.7858401317539528E-3</v>
      </c>
      <c r="N16" s="16" t="str">
        <f t="shared" si="24"/>
        <v>OK</v>
      </c>
      <c r="O16" s="15">
        <f t="shared" si="25"/>
        <v>6.7858401317539528E-3</v>
      </c>
      <c r="P16" s="28" t="str">
        <f t="shared" si="26"/>
        <v>OK</v>
      </c>
      <c r="Q16" s="10">
        <f t="shared" si="27"/>
        <v>0</v>
      </c>
      <c r="AC16"/>
      <c r="AD16"/>
      <c r="AE16" s="21"/>
      <c r="AL16" s="35"/>
      <c r="AM16" s="35"/>
      <c r="AN16" s="35"/>
    </row>
    <row r="17" spans="1:40" x14ac:dyDescent="0.25">
      <c r="A17" s="51">
        <v>3</v>
      </c>
      <c r="B17" s="9" t="s">
        <v>43</v>
      </c>
      <c r="C17" s="9">
        <v>18</v>
      </c>
      <c r="D17" s="9">
        <v>2</v>
      </c>
      <c r="E17" s="9">
        <v>18</v>
      </c>
      <c r="F17" s="9">
        <v>2</v>
      </c>
      <c r="G17" s="10">
        <f t="shared" si="29"/>
        <v>1017.8760197630929</v>
      </c>
      <c r="H17" s="9">
        <v>18</v>
      </c>
      <c r="I17" s="9">
        <v>2</v>
      </c>
      <c r="J17" s="9">
        <v>14</v>
      </c>
      <c r="K17" s="9">
        <v>2</v>
      </c>
      <c r="L17" s="10">
        <f t="shared" si="30"/>
        <v>816.81408993334617</v>
      </c>
      <c r="M17" s="15">
        <f t="shared" si="23"/>
        <v>6.7858401317539528E-3</v>
      </c>
      <c r="N17" s="16" t="str">
        <f t="shared" si="24"/>
        <v>OK</v>
      </c>
      <c r="O17" s="15">
        <f t="shared" si="25"/>
        <v>5.4454272662223082E-3</v>
      </c>
      <c r="P17" s="28" t="str">
        <f t="shared" si="26"/>
        <v>OK</v>
      </c>
      <c r="Q17" s="10">
        <f t="shared" si="27"/>
        <v>19.283433167814586</v>
      </c>
      <c r="AC17"/>
      <c r="AD17"/>
      <c r="AE17" s="17"/>
      <c r="AL17" s="7" t="s">
        <v>0</v>
      </c>
      <c r="AM17" s="7" t="s">
        <v>1</v>
      </c>
      <c r="AN17" s="7" t="s">
        <v>13</v>
      </c>
    </row>
    <row r="18" spans="1:40" x14ac:dyDescent="0.25">
      <c r="A18" s="51"/>
      <c r="B18" s="9" t="s">
        <v>44</v>
      </c>
      <c r="C18" s="9">
        <v>18</v>
      </c>
      <c r="D18" s="9">
        <v>2</v>
      </c>
      <c r="E18" s="9">
        <v>18</v>
      </c>
      <c r="F18" s="9">
        <v>2</v>
      </c>
      <c r="G18" s="10">
        <f t="shared" si="29"/>
        <v>1017.8760197630929</v>
      </c>
      <c r="H18" s="9">
        <v>18</v>
      </c>
      <c r="I18" s="9">
        <v>2</v>
      </c>
      <c r="J18" s="9">
        <v>14</v>
      </c>
      <c r="K18" s="9">
        <v>2</v>
      </c>
      <c r="L18" s="10">
        <f t="shared" si="30"/>
        <v>816.81408993334617</v>
      </c>
      <c r="M18" s="15">
        <f t="shared" si="23"/>
        <v>6.7858401317539528E-3</v>
      </c>
      <c r="N18" s="16" t="str">
        <f t="shared" si="24"/>
        <v>OK</v>
      </c>
      <c r="O18" s="15">
        <f t="shared" si="25"/>
        <v>5.4454272662223082E-3</v>
      </c>
      <c r="P18" s="28" t="str">
        <f t="shared" si="26"/>
        <v>OK</v>
      </c>
      <c r="Q18" s="10">
        <f t="shared" si="27"/>
        <v>19.283433167814586</v>
      </c>
      <c r="AC18"/>
      <c r="AD18"/>
      <c r="AE18" s="17"/>
      <c r="AL18" s="7" t="s">
        <v>2</v>
      </c>
      <c r="AM18" s="7" t="s">
        <v>2</v>
      </c>
      <c r="AN18" s="7" t="s">
        <v>2</v>
      </c>
    </row>
    <row r="19" spans="1:40" x14ac:dyDescent="0.25">
      <c r="A19" s="51">
        <v>4</v>
      </c>
      <c r="B19" s="9" t="s">
        <v>43</v>
      </c>
      <c r="C19" s="9">
        <v>18</v>
      </c>
      <c r="D19" s="9">
        <v>2</v>
      </c>
      <c r="E19" s="9">
        <v>18</v>
      </c>
      <c r="F19" s="9">
        <v>2</v>
      </c>
      <c r="G19" s="10">
        <f t="shared" si="29"/>
        <v>1017.8760197630929</v>
      </c>
      <c r="H19" s="9">
        <v>18</v>
      </c>
      <c r="I19" s="9">
        <v>2</v>
      </c>
      <c r="J19" s="9">
        <v>18</v>
      </c>
      <c r="K19" s="9">
        <v>2</v>
      </c>
      <c r="L19" s="10">
        <f t="shared" si="30"/>
        <v>1017.8760197630929</v>
      </c>
      <c r="M19" s="15">
        <f t="shared" si="23"/>
        <v>6.7858401317539528E-3</v>
      </c>
      <c r="N19" s="16" t="str">
        <f t="shared" si="24"/>
        <v>OK</v>
      </c>
      <c r="O19" s="15">
        <f t="shared" si="25"/>
        <v>6.7858401317539528E-3</v>
      </c>
      <c r="P19" s="28" t="str">
        <f t="shared" si="26"/>
        <v>OK</v>
      </c>
      <c r="Q19" s="10">
        <f t="shared" si="27"/>
        <v>0</v>
      </c>
      <c r="AC19"/>
      <c r="AD19"/>
      <c r="AE19" s="21"/>
      <c r="AL19" s="35">
        <v>300</v>
      </c>
      <c r="AM19" s="35">
        <v>500</v>
      </c>
      <c r="AN19" s="35">
        <f>AM19-40</f>
        <v>460</v>
      </c>
    </row>
    <row r="20" spans="1:40" x14ac:dyDescent="0.25">
      <c r="A20" s="51"/>
      <c r="B20" s="9" t="s">
        <v>44</v>
      </c>
      <c r="C20" s="9">
        <v>20</v>
      </c>
      <c r="D20" s="9">
        <v>2</v>
      </c>
      <c r="E20" s="9">
        <v>18</v>
      </c>
      <c r="F20" s="9">
        <v>2</v>
      </c>
      <c r="G20" s="10">
        <f t="shared" si="29"/>
        <v>1137.2565405995051</v>
      </c>
      <c r="H20" s="9">
        <v>18</v>
      </c>
      <c r="I20" s="9">
        <v>2</v>
      </c>
      <c r="J20" s="9">
        <v>18</v>
      </c>
      <c r="K20" s="9">
        <v>2</v>
      </c>
      <c r="L20" s="10">
        <f t="shared" si="30"/>
        <v>1017.8760197630929</v>
      </c>
      <c r="M20" s="15">
        <f t="shared" si="23"/>
        <v>7.5817102706633678E-3</v>
      </c>
      <c r="N20" s="16" t="str">
        <f t="shared" si="24"/>
        <v>OK</v>
      </c>
      <c r="O20" s="15">
        <f t="shared" si="25"/>
        <v>6.7858401317539528E-3</v>
      </c>
      <c r="P20" s="28" t="str">
        <f t="shared" si="26"/>
        <v>OK</v>
      </c>
      <c r="Q20" s="10">
        <f t="shared" si="27"/>
        <v>11.449538443389915</v>
      </c>
      <c r="AC20"/>
      <c r="AD20"/>
      <c r="AE20" s="21"/>
      <c r="AL20" s="35"/>
      <c r="AM20" s="35"/>
      <c r="AN20" s="35"/>
    </row>
    <row r="21" spans="1:40" x14ac:dyDescent="0.25">
      <c r="A21" s="7" t="s">
        <v>92</v>
      </c>
      <c r="B21" s="52" t="s">
        <v>42</v>
      </c>
      <c r="C21" s="54" t="s">
        <v>15</v>
      </c>
      <c r="D21" s="55"/>
      <c r="E21" s="55"/>
      <c r="F21" s="55"/>
      <c r="G21" s="56"/>
      <c r="H21" s="54" t="s">
        <v>16</v>
      </c>
      <c r="I21" s="55"/>
      <c r="J21" s="55"/>
      <c r="K21" s="55"/>
      <c r="L21" s="56"/>
      <c r="M21" s="7" t="s">
        <v>48</v>
      </c>
      <c r="O21" s="7" t="s">
        <v>47</v>
      </c>
      <c r="P21" s="2"/>
      <c r="Q21" s="7" t="s">
        <v>54</v>
      </c>
      <c r="AC21"/>
      <c r="AD21"/>
      <c r="AE21" s="21"/>
      <c r="AL21" s="35">
        <v>300</v>
      </c>
      <c r="AM21" s="35">
        <v>500</v>
      </c>
      <c r="AN21" s="35">
        <f t="shared" ref="AN21" si="32">AM21-40</f>
        <v>460</v>
      </c>
    </row>
    <row r="22" spans="1:40" x14ac:dyDescent="0.25">
      <c r="A22" s="7" t="s">
        <v>40</v>
      </c>
      <c r="B22" s="53"/>
      <c r="C22" s="7" t="s">
        <v>25</v>
      </c>
      <c r="D22" s="7" t="s">
        <v>26</v>
      </c>
      <c r="E22" s="7" t="s">
        <v>25</v>
      </c>
      <c r="F22" s="7" t="s">
        <v>26</v>
      </c>
      <c r="G22" s="7" t="s">
        <v>41</v>
      </c>
      <c r="H22" s="7" t="s">
        <v>25</v>
      </c>
      <c r="I22" s="7" t="s">
        <v>26</v>
      </c>
      <c r="J22" s="7" t="s">
        <v>25</v>
      </c>
      <c r="K22" s="7" t="s">
        <v>26</v>
      </c>
      <c r="L22" s="7" t="s">
        <v>41</v>
      </c>
      <c r="M22" s="18" t="s">
        <v>27</v>
      </c>
      <c r="N22" s="17"/>
      <c r="O22" s="18" t="s">
        <v>27</v>
      </c>
      <c r="P22" s="2"/>
      <c r="Q22" s="7" t="s">
        <v>2</v>
      </c>
      <c r="AC22"/>
      <c r="AD22"/>
      <c r="AE22" s="21"/>
      <c r="AL22" s="35"/>
      <c r="AM22" s="35"/>
      <c r="AN22" s="35"/>
    </row>
    <row r="23" spans="1:40" x14ac:dyDescent="0.25">
      <c r="A23" s="51">
        <v>1</v>
      </c>
      <c r="B23" s="9" t="s">
        <v>43</v>
      </c>
      <c r="C23" s="9">
        <v>18</v>
      </c>
      <c r="D23" s="9">
        <v>2</v>
      </c>
      <c r="E23" s="9">
        <v>14</v>
      </c>
      <c r="F23" s="9">
        <v>2</v>
      </c>
      <c r="G23" s="10">
        <f>(C23^2/4*D23+E23^2/4*F23)*PI()</f>
        <v>816.81408993334617</v>
      </c>
      <c r="H23" s="9">
        <v>14</v>
      </c>
      <c r="I23" s="9">
        <v>2</v>
      </c>
      <c r="J23" s="9">
        <v>14</v>
      </c>
      <c r="K23" s="9">
        <v>2</v>
      </c>
      <c r="L23" s="10">
        <f>(H23^2/4*I23+J23^2/4*K23)*PI()</f>
        <v>615.75216010359941</v>
      </c>
      <c r="M23" s="15">
        <f t="shared" ref="M23:M30" si="33">G23/($AL$3*$AM$3)</f>
        <v>5.4454272662223082E-3</v>
      </c>
      <c r="N23" s="16" t="str">
        <f t="shared" ref="N23:N30" si="34">IF($AE$3&lt;=M23,"OK","NO")</f>
        <v>OK</v>
      </c>
      <c r="O23" s="23">
        <f t="shared" ref="O23:O30" si="35">L23/($AL$3*$AM$3)</f>
        <v>4.1050144006906627E-3</v>
      </c>
      <c r="P23" s="28" t="str">
        <f t="shared" ref="P23:P30" si="36">IF(O23&gt;$AE$3,"OK","NO")</f>
        <v>OK</v>
      </c>
      <c r="Q23" s="10">
        <f t="shared" ref="Q23:Q30" si="37">ABS($AI$6*(G23-L23)/($AI$14*0.8*$AI$3))</f>
        <v>19.283433167814586</v>
      </c>
      <c r="AC23"/>
      <c r="AD23"/>
      <c r="AE23" s="21"/>
      <c r="AL23" s="35">
        <v>300</v>
      </c>
      <c r="AM23" s="35">
        <v>500</v>
      </c>
      <c r="AN23" s="35">
        <f t="shared" ref="AN23" si="38">AM23-40</f>
        <v>460</v>
      </c>
    </row>
    <row r="24" spans="1:40" x14ac:dyDescent="0.25">
      <c r="A24" s="51"/>
      <c r="B24" s="9" t="s">
        <v>44</v>
      </c>
      <c r="C24" s="9">
        <v>18</v>
      </c>
      <c r="D24" s="9">
        <v>2</v>
      </c>
      <c r="E24" s="9">
        <v>12</v>
      </c>
      <c r="F24" s="9">
        <v>2</v>
      </c>
      <c r="G24" s="10">
        <f t="shared" ref="G24:G30" si="39">(C24^2/4*D24+E24^2/4*F24)*PI()</f>
        <v>735.1326809400116</v>
      </c>
      <c r="H24" s="9">
        <v>14</v>
      </c>
      <c r="I24" s="9">
        <v>2</v>
      </c>
      <c r="J24" s="9">
        <v>14</v>
      </c>
      <c r="K24" s="9">
        <v>2</v>
      </c>
      <c r="L24" s="10">
        <f t="shared" ref="L24:L30" si="40">(H24^2/4*I24+J24^2/4*K24)*PI()</f>
        <v>615.75216010359941</v>
      </c>
      <c r="M24" s="15">
        <f t="shared" si="33"/>
        <v>4.9008845396000776E-3</v>
      </c>
      <c r="N24" s="16" t="str">
        <f t="shared" si="34"/>
        <v>OK</v>
      </c>
      <c r="O24" s="15">
        <f t="shared" si="35"/>
        <v>4.1050144006906627E-3</v>
      </c>
      <c r="P24" s="28" t="str">
        <f t="shared" si="36"/>
        <v>OK</v>
      </c>
      <c r="Q24" s="10">
        <f t="shared" si="37"/>
        <v>11.449538443389915</v>
      </c>
      <c r="AC24"/>
      <c r="AD24"/>
      <c r="AE24" s="21"/>
      <c r="AL24" s="35"/>
      <c r="AM24" s="35"/>
      <c r="AN24" s="35"/>
    </row>
    <row r="25" spans="1:40" x14ac:dyDescent="0.25">
      <c r="A25" s="51">
        <v>2</v>
      </c>
      <c r="B25" s="9" t="s">
        <v>43</v>
      </c>
      <c r="C25" s="9">
        <v>18</v>
      </c>
      <c r="D25" s="9">
        <v>2</v>
      </c>
      <c r="E25" s="9">
        <v>12</v>
      </c>
      <c r="F25" s="9">
        <v>2</v>
      </c>
      <c r="G25" s="10">
        <f t="shared" si="39"/>
        <v>735.1326809400116</v>
      </c>
      <c r="H25" s="9">
        <v>14</v>
      </c>
      <c r="I25" s="9">
        <v>2</v>
      </c>
      <c r="J25" s="9">
        <v>14</v>
      </c>
      <c r="K25" s="9">
        <v>2</v>
      </c>
      <c r="L25" s="10">
        <f t="shared" si="40"/>
        <v>615.75216010359941</v>
      </c>
      <c r="M25" s="15">
        <f t="shared" si="33"/>
        <v>4.9008845396000776E-3</v>
      </c>
      <c r="N25" s="16" t="str">
        <f t="shared" si="34"/>
        <v>OK</v>
      </c>
      <c r="O25" s="15">
        <f t="shared" si="35"/>
        <v>4.1050144006906627E-3</v>
      </c>
      <c r="P25" s="28" t="str">
        <f t="shared" si="36"/>
        <v>OK</v>
      </c>
      <c r="Q25" s="10">
        <f t="shared" si="37"/>
        <v>11.449538443389915</v>
      </c>
      <c r="AC25"/>
      <c r="AD25"/>
      <c r="AE25" s="21"/>
      <c r="AL25" s="38"/>
      <c r="AM25" s="38"/>
      <c r="AN25" s="38"/>
    </row>
    <row r="26" spans="1:40" x14ac:dyDescent="0.25">
      <c r="A26" s="51"/>
      <c r="B26" s="9" t="s">
        <v>44</v>
      </c>
      <c r="C26" s="9">
        <v>18</v>
      </c>
      <c r="D26" s="9">
        <v>2</v>
      </c>
      <c r="E26" s="9">
        <v>12</v>
      </c>
      <c r="F26" s="9">
        <v>2</v>
      </c>
      <c r="G26" s="10">
        <f t="shared" si="39"/>
        <v>735.1326809400116</v>
      </c>
      <c r="H26" s="9">
        <v>14</v>
      </c>
      <c r="I26" s="9">
        <v>2</v>
      </c>
      <c r="J26" s="9">
        <v>14</v>
      </c>
      <c r="K26" s="9">
        <v>2</v>
      </c>
      <c r="L26" s="10">
        <f t="shared" si="40"/>
        <v>615.75216010359941</v>
      </c>
      <c r="M26" s="15">
        <f t="shared" si="33"/>
        <v>4.9008845396000776E-3</v>
      </c>
      <c r="N26" s="16" t="str">
        <f t="shared" si="34"/>
        <v>OK</v>
      </c>
      <c r="O26" s="15">
        <f t="shared" si="35"/>
        <v>4.1050144006906627E-3</v>
      </c>
      <c r="P26" s="28" t="str">
        <f t="shared" si="36"/>
        <v>OK</v>
      </c>
      <c r="Q26" s="10">
        <f t="shared" si="37"/>
        <v>11.449538443389915</v>
      </c>
      <c r="AC26"/>
      <c r="AD26"/>
      <c r="AE26" s="21"/>
      <c r="AL26" s="38"/>
      <c r="AM26" s="38"/>
      <c r="AN26" s="38"/>
    </row>
    <row r="27" spans="1:40" x14ac:dyDescent="0.25">
      <c r="A27" s="51">
        <v>3</v>
      </c>
      <c r="B27" s="9" t="s">
        <v>43</v>
      </c>
      <c r="C27" s="9">
        <v>18</v>
      </c>
      <c r="D27" s="9">
        <v>2</v>
      </c>
      <c r="E27" s="9">
        <v>12</v>
      </c>
      <c r="F27" s="9">
        <v>2</v>
      </c>
      <c r="G27" s="10">
        <f t="shared" si="39"/>
        <v>735.1326809400116</v>
      </c>
      <c r="H27" s="9">
        <v>14</v>
      </c>
      <c r="I27" s="9">
        <v>2</v>
      </c>
      <c r="J27" s="9">
        <v>14</v>
      </c>
      <c r="K27" s="9">
        <v>2</v>
      </c>
      <c r="L27" s="10">
        <f t="shared" si="40"/>
        <v>615.75216010359941</v>
      </c>
      <c r="M27" s="15">
        <f t="shared" si="33"/>
        <v>4.9008845396000776E-3</v>
      </c>
      <c r="N27" s="16" t="str">
        <f t="shared" si="34"/>
        <v>OK</v>
      </c>
      <c r="O27" s="15">
        <f t="shared" si="35"/>
        <v>4.1050144006906627E-3</v>
      </c>
      <c r="P27" s="28" t="str">
        <f t="shared" si="36"/>
        <v>OK</v>
      </c>
      <c r="Q27" s="10">
        <f t="shared" si="37"/>
        <v>11.449538443389915</v>
      </c>
      <c r="AC27"/>
      <c r="AD27"/>
      <c r="AE27" s="21"/>
      <c r="AL27" s="38"/>
      <c r="AM27" s="38"/>
      <c r="AN27" s="38"/>
    </row>
    <row r="28" spans="1:40" x14ac:dyDescent="0.25">
      <c r="A28" s="51"/>
      <c r="B28" s="9" t="s">
        <v>44</v>
      </c>
      <c r="C28" s="9">
        <v>18</v>
      </c>
      <c r="D28" s="9">
        <v>2</v>
      </c>
      <c r="E28" s="9">
        <v>12</v>
      </c>
      <c r="F28" s="9">
        <v>2</v>
      </c>
      <c r="G28" s="10">
        <f t="shared" si="39"/>
        <v>735.1326809400116</v>
      </c>
      <c r="H28" s="9">
        <v>14</v>
      </c>
      <c r="I28" s="9">
        <v>2</v>
      </c>
      <c r="J28" s="9">
        <v>14</v>
      </c>
      <c r="K28" s="9">
        <v>2</v>
      </c>
      <c r="L28" s="10">
        <f t="shared" si="40"/>
        <v>615.75216010359941</v>
      </c>
      <c r="M28" s="15">
        <f t="shared" si="33"/>
        <v>4.9008845396000776E-3</v>
      </c>
      <c r="N28" s="16" t="str">
        <f t="shared" si="34"/>
        <v>OK</v>
      </c>
      <c r="O28" s="15">
        <f t="shared" si="35"/>
        <v>4.1050144006906627E-3</v>
      </c>
      <c r="P28" s="28" t="str">
        <f t="shared" si="36"/>
        <v>OK</v>
      </c>
      <c r="Q28" s="10">
        <f t="shared" si="37"/>
        <v>11.449538443389915</v>
      </c>
      <c r="AC28"/>
      <c r="AD28"/>
      <c r="AE28" s="21"/>
      <c r="AL28" s="38"/>
      <c r="AM28" s="38"/>
      <c r="AN28" s="38"/>
    </row>
    <row r="29" spans="1:40" x14ac:dyDescent="0.25">
      <c r="A29" s="51">
        <v>4</v>
      </c>
      <c r="B29" s="9" t="s">
        <v>43</v>
      </c>
      <c r="C29" s="9">
        <v>18</v>
      </c>
      <c r="D29" s="9">
        <v>2</v>
      </c>
      <c r="E29" s="9">
        <v>12</v>
      </c>
      <c r="F29" s="9">
        <v>2</v>
      </c>
      <c r="G29" s="10">
        <f t="shared" si="39"/>
        <v>735.1326809400116</v>
      </c>
      <c r="H29" s="9">
        <v>14</v>
      </c>
      <c r="I29" s="9">
        <v>2</v>
      </c>
      <c r="J29" s="9">
        <v>14</v>
      </c>
      <c r="K29" s="9">
        <v>2</v>
      </c>
      <c r="L29" s="10">
        <f t="shared" si="40"/>
        <v>615.75216010359941</v>
      </c>
      <c r="M29" s="15">
        <f t="shared" si="33"/>
        <v>4.9008845396000776E-3</v>
      </c>
      <c r="N29" s="16" t="str">
        <f t="shared" si="34"/>
        <v>OK</v>
      </c>
      <c r="O29" s="15">
        <f t="shared" si="35"/>
        <v>4.1050144006906627E-3</v>
      </c>
      <c r="P29" s="28" t="str">
        <f t="shared" si="36"/>
        <v>OK</v>
      </c>
      <c r="Q29" s="10">
        <f t="shared" si="37"/>
        <v>11.449538443389915</v>
      </c>
      <c r="AC29"/>
      <c r="AD29"/>
      <c r="AE29" s="21"/>
      <c r="AL29" s="38"/>
      <c r="AM29" s="38"/>
      <c r="AN29" s="38"/>
    </row>
    <row r="30" spans="1:40" x14ac:dyDescent="0.25">
      <c r="A30" s="51"/>
      <c r="B30" s="9" t="s">
        <v>44</v>
      </c>
      <c r="C30" s="9">
        <v>18</v>
      </c>
      <c r="D30" s="9">
        <v>2</v>
      </c>
      <c r="E30" s="9">
        <v>14</v>
      </c>
      <c r="F30" s="9">
        <v>2</v>
      </c>
      <c r="G30" s="10">
        <f t="shared" si="39"/>
        <v>816.81408993334617</v>
      </c>
      <c r="H30" s="9">
        <v>14</v>
      </c>
      <c r="I30" s="9">
        <v>2</v>
      </c>
      <c r="J30" s="9">
        <v>14</v>
      </c>
      <c r="K30" s="9">
        <v>2</v>
      </c>
      <c r="L30" s="10">
        <f t="shared" si="40"/>
        <v>615.75216010359941</v>
      </c>
      <c r="M30" s="15">
        <f t="shared" si="33"/>
        <v>5.4454272662223082E-3</v>
      </c>
      <c r="N30" s="16" t="str">
        <f t="shared" si="34"/>
        <v>OK</v>
      </c>
      <c r="O30" s="15">
        <f t="shared" si="35"/>
        <v>4.1050144006906627E-3</v>
      </c>
      <c r="P30" s="28" t="str">
        <f t="shared" si="36"/>
        <v>OK</v>
      </c>
      <c r="Q30" s="10">
        <f t="shared" si="37"/>
        <v>19.283433167814586</v>
      </c>
    </row>
    <row r="31" spans="1:40" x14ac:dyDescent="0.25">
      <c r="A31" s="7" t="s">
        <v>93</v>
      </c>
      <c r="B31" s="52" t="s">
        <v>42</v>
      </c>
      <c r="C31" s="54" t="s">
        <v>15</v>
      </c>
      <c r="D31" s="55"/>
      <c r="E31" s="55"/>
      <c r="F31" s="55"/>
      <c r="G31" s="56"/>
      <c r="H31" s="54" t="s">
        <v>16</v>
      </c>
      <c r="I31" s="55"/>
      <c r="J31" s="55"/>
      <c r="K31" s="55"/>
      <c r="L31" s="56"/>
      <c r="M31" s="7" t="s">
        <v>48</v>
      </c>
      <c r="O31" s="7" t="s">
        <v>47</v>
      </c>
      <c r="P31" s="2"/>
      <c r="Q31" s="7" t="s">
        <v>54</v>
      </c>
    </row>
    <row r="32" spans="1:40" x14ac:dyDescent="0.25">
      <c r="A32" s="7" t="s">
        <v>40</v>
      </c>
      <c r="B32" s="53"/>
      <c r="C32" s="7" t="s">
        <v>25</v>
      </c>
      <c r="D32" s="7" t="s">
        <v>26</v>
      </c>
      <c r="E32" s="7" t="s">
        <v>25</v>
      </c>
      <c r="F32" s="7" t="s">
        <v>26</v>
      </c>
      <c r="G32" s="7" t="s">
        <v>41</v>
      </c>
      <c r="H32" s="7" t="s">
        <v>25</v>
      </c>
      <c r="I32" s="7" t="s">
        <v>26</v>
      </c>
      <c r="J32" s="7" t="s">
        <v>25</v>
      </c>
      <c r="K32" s="7" t="s">
        <v>26</v>
      </c>
      <c r="L32" s="7" t="s">
        <v>41</v>
      </c>
      <c r="M32" s="18" t="s">
        <v>27</v>
      </c>
      <c r="N32" s="17"/>
      <c r="O32" s="18" t="s">
        <v>27</v>
      </c>
      <c r="P32" s="2"/>
      <c r="Q32" s="7" t="s">
        <v>2</v>
      </c>
    </row>
    <row r="33" spans="1:17" x14ac:dyDescent="0.25">
      <c r="A33" s="51">
        <v>1</v>
      </c>
      <c r="B33" s="9" t="s">
        <v>43</v>
      </c>
      <c r="C33" s="9">
        <v>14</v>
      </c>
      <c r="D33" s="9">
        <v>2</v>
      </c>
      <c r="E33" s="9">
        <v>12</v>
      </c>
      <c r="F33" s="9">
        <v>2</v>
      </c>
      <c r="G33" s="10">
        <f>(C33^2/4*D33+E33^2/4*F33)*PI()</f>
        <v>534.07075111026484</v>
      </c>
      <c r="H33" s="9">
        <v>14</v>
      </c>
      <c r="I33" s="9">
        <v>2</v>
      </c>
      <c r="J33" s="9">
        <v>12</v>
      </c>
      <c r="K33" s="9">
        <v>2</v>
      </c>
      <c r="L33" s="10">
        <f>(H33^2/4*I33+J33^2/4*K33)*PI()</f>
        <v>534.07075111026484</v>
      </c>
      <c r="M33" s="15">
        <f t="shared" ref="M33:M40" si="41">G33/($AL$3*$AM$3)</f>
        <v>3.5604716740684321E-3</v>
      </c>
      <c r="N33" s="16" t="str">
        <f t="shared" ref="N33:N40" si="42">IF($AE$3&lt;=M33,"OK","NO")</f>
        <v>OK</v>
      </c>
      <c r="O33" s="23">
        <f t="shared" ref="O33:O40" si="43">L33/($AL$3*$AM$3)</f>
        <v>3.5604716740684321E-3</v>
      </c>
      <c r="P33" s="28" t="str">
        <f t="shared" ref="P33:P40" si="44">IF(O33&gt;$AE$3,"OK","NO")</f>
        <v>OK</v>
      </c>
      <c r="Q33" s="10">
        <f t="shared" ref="Q33:Q40" si="45">ABS($AI$6*(G33-L33)/($AI$14*0.8*$AI$3))</f>
        <v>0</v>
      </c>
    </row>
    <row r="34" spans="1:17" x14ac:dyDescent="0.25">
      <c r="A34" s="51"/>
      <c r="B34" s="9" t="s">
        <v>44</v>
      </c>
      <c r="C34" s="9">
        <v>14</v>
      </c>
      <c r="D34" s="9">
        <v>2</v>
      </c>
      <c r="E34" s="9">
        <v>12</v>
      </c>
      <c r="F34" s="9">
        <v>2</v>
      </c>
      <c r="G34" s="10">
        <f t="shared" ref="G34:G40" si="46">(C34^2/4*D34+E34^2/4*F34)*PI()</f>
        <v>534.07075111026484</v>
      </c>
      <c r="H34" s="9">
        <v>14</v>
      </c>
      <c r="I34" s="9">
        <v>2</v>
      </c>
      <c r="J34" s="9">
        <v>12</v>
      </c>
      <c r="K34" s="9">
        <v>2</v>
      </c>
      <c r="L34" s="10">
        <f t="shared" ref="L34:L40" si="47">(H34^2/4*I34+J34^2/4*K34)*PI()</f>
        <v>534.07075111026484</v>
      </c>
      <c r="M34" s="15">
        <f t="shared" si="41"/>
        <v>3.5604716740684321E-3</v>
      </c>
      <c r="N34" s="16" t="str">
        <f t="shared" si="42"/>
        <v>OK</v>
      </c>
      <c r="O34" s="15">
        <f t="shared" si="43"/>
        <v>3.5604716740684321E-3</v>
      </c>
      <c r="P34" s="28" t="str">
        <f t="shared" si="44"/>
        <v>OK</v>
      </c>
      <c r="Q34" s="10">
        <f t="shared" si="45"/>
        <v>0</v>
      </c>
    </row>
    <row r="35" spans="1:17" x14ac:dyDescent="0.25">
      <c r="A35" s="51">
        <v>2</v>
      </c>
      <c r="B35" s="9" t="s">
        <v>43</v>
      </c>
      <c r="C35" s="9">
        <v>14</v>
      </c>
      <c r="D35" s="9">
        <v>2</v>
      </c>
      <c r="E35" s="9">
        <v>12</v>
      </c>
      <c r="F35" s="9">
        <v>2</v>
      </c>
      <c r="G35" s="10">
        <f t="shared" si="46"/>
        <v>534.07075111026484</v>
      </c>
      <c r="H35" s="9">
        <v>14</v>
      </c>
      <c r="I35" s="9">
        <v>2</v>
      </c>
      <c r="J35" s="9">
        <v>12</v>
      </c>
      <c r="K35" s="9">
        <v>2</v>
      </c>
      <c r="L35" s="10">
        <f t="shared" si="47"/>
        <v>534.07075111026484</v>
      </c>
      <c r="M35" s="15">
        <f t="shared" si="41"/>
        <v>3.5604716740684321E-3</v>
      </c>
      <c r="N35" s="16" t="str">
        <f t="shared" si="42"/>
        <v>OK</v>
      </c>
      <c r="O35" s="15">
        <f t="shared" si="43"/>
        <v>3.5604716740684321E-3</v>
      </c>
      <c r="P35" s="28" t="str">
        <f t="shared" si="44"/>
        <v>OK</v>
      </c>
      <c r="Q35" s="10">
        <f t="shared" si="45"/>
        <v>0</v>
      </c>
    </row>
    <row r="36" spans="1:17" x14ac:dyDescent="0.25">
      <c r="A36" s="51"/>
      <c r="B36" s="9" t="s">
        <v>44</v>
      </c>
      <c r="C36" s="9">
        <v>14</v>
      </c>
      <c r="D36" s="9">
        <v>2</v>
      </c>
      <c r="E36" s="9">
        <v>12</v>
      </c>
      <c r="F36" s="9">
        <v>2</v>
      </c>
      <c r="G36" s="10">
        <f t="shared" si="46"/>
        <v>534.07075111026484</v>
      </c>
      <c r="H36" s="9">
        <v>14</v>
      </c>
      <c r="I36" s="9">
        <v>2</v>
      </c>
      <c r="J36" s="9">
        <v>12</v>
      </c>
      <c r="K36" s="9">
        <v>2</v>
      </c>
      <c r="L36" s="10">
        <f t="shared" si="47"/>
        <v>534.07075111026484</v>
      </c>
      <c r="M36" s="15">
        <f t="shared" si="41"/>
        <v>3.5604716740684321E-3</v>
      </c>
      <c r="N36" s="16" t="str">
        <f t="shared" si="42"/>
        <v>OK</v>
      </c>
      <c r="O36" s="15">
        <f t="shared" si="43"/>
        <v>3.5604716740684321E-3</v>
      </c>
      <c r="P36" s="28" t="str">
        <f t="shared" si="44"/>
        <v>OK</v>
      </c>
      <c r="Q36" s="10">
        <f t="shared" si="45"/>
        <v>0</v>
      </c>
    </row>
    <row r="37" spans="1:17" x14ac:dyDescent="0.25">
      <c r="A37" s="51">
        <v>3</v>
      </c>
      <c r="B37" s="9" t="s">
        <v>43</v>
      </c>
      <c r="C37" s="9">
        <v>14</v>
      </c>
      <c r="D37" s="9">
        <v>2</v>
      </c>
      <c r="E37" s="9">
        <v>12</v>
      </c>
      <c r="F37" s="9">
        <v>2</v>
      </c>
      <c r="G37" s="10">
        <f t="shared" si="46"/>
        <v>534.07075111026484</v>
      </c>
      <c r="H37" s="9">
        <v>14</v>
      </c>
      <c r="I37" s="9">
        <v>2</v>
      </c>
      <c r="J37" s="9">
        <v>12</v>
      </c>
      <c r="K37" s="9">
        <v>2</v>
      </c>
      <c r="L37" s="10">
        <f t="shared" si="47"/>
        <v>534.07075111026484</v>
      </c>
      <c r="M37" s="15">
        <f t="shared" si="41"/>
        <v>3.5604716740684321E-3</v>
      </c>
      <c r="N37" s="16" t="str">
        <f t="shared" si="42"/>
        <v>OK</v>
      </c>
      <c r="O37" s="15">
        <f t="shared" si="43"/>
        <v>3.5604716740684321E-3</v>
      </c>
      <c r="P37" s="28" t="str">
        <f t="shared" si="44"/>
        <v>OK</v>
      </c>
      <c r="Q37" s="10">
        <f t="shared" si="45"/>
        <v>0</v>
      </c>
    </row>
    <row r="38" spans="1:17" x14ac:dyDescent="0.25">
      <c r="A38" s="51"/>
      <c r="B38" s="9" t="s">
        <v>44</v>
      </c>
      <c r="C38" s="9">
        <v>14</v>
      </c>
      <c r="D38" s="9">
        <v>2</v>
      </c>
      <c r="E38" s="9">
        <v>12</v>
      </c>
      <c r="F38" s="9">
        <v>2</v>
      </c>
      <c r="G38" s="10">
        <f t="shared" si="46"/>
        <v>534.07075111026484</v>
      </c>
      <c r="H38" s="9">
        <v>14</v>
      </c>
      <c r="I38" s="9">
        <v>2</v>
      </c>
      <c r="J38" s="9">
        <v>12</v>
      </c>
      <c r="K38" s="9">
        <v>2</v>
      </c>
      <c r="L38" s="10">
        <f t="shared" si="47"/>
        <v>534.07075111026484</v>
      </c>
      <c r="M38" s="15">
        <f t="shared" si="41"/>
        <v>3.5604716740684321E-3</v>
      </c>
      <c r="N38" s="16" t="str">
        <f t="shared" si="42"/>
        <v>OK</v>
      </c>
      <c r="O38" s="15">
        <f t="shared" si="43"/>
        <v>3.5604716740684321E-3</v>
      </c>
      <c r="P38" s="28" t="str">
        <f t="shared" si="44"/>
        <v>OK</v>
      </c>
      <c r="Q38" s="10">
        <f t="shared" si="45"/>
        <v>0</v>
      </c>
    </row>
    <row r="39" spans="1:17" x14ac:dyDescent="0.25">
      <c r="A39" s="51">
        <v>4</v>
      </c>
      <c r="B39" s="9" t="s">
        <v>43</v>
      </c>
      <c r="C39" s="9">
        <v>14</v>
      </c>
      <c r="D39" s="9">
        <v>2</v>
      </c>
      <c r="E39" s="9">
        <v>12</v>
      </c>
      <c r="F39" s="9">
        <v>2</v>
      </c>
      <c r="G39" s="10">
        <f t="shared" si="46"/>
        <v>534.07075111026484</v>
      </c>
      <c r="H39" s="9">
        <v>14</v>
      </c>
      <c r="I39" s="9">
        <v>2</v>
      </c>
      <c r="J39" s="9">
        <v>12</v>
      </c>
      <c r="K39" s="9">
        <v>2</v>
      </c>
      <c r="L39" s="10">
        <f t="shared" si="47"/>
        <v>534.07075111026484</v>
      </c>
      <c r="M39" s="15">
        <f t="shared" si="41"/>
        <v>3.5604716740684321E-3</v>
      </c>
      <c r="N39" s="16" t="str">
        <f t="shared" si="42"/>
        <v>OK</v>
      </c>
      <c r="O39" s="15">
        <f t="shared" si="43"/>
        <v>3.5604716740684321E-3</v>
      </c>
      <c r="P39" s="28" t="str">
        <f t="shared" si="44"/>
        <v>OK</v>
      </c>
      <c r="Q39" s="10">
        <f t="shared" si="45"/>
        <v>0</v>
      </c>
    </row>
    <row r="40" spans="1:17" x14ac:dyDescent="0.25">
      <c r="A40" s="51"/>
      <c r="B40" s="9" t="s">
        <v>44</v>
      </c>
      <c r="C40" s="9">
        <v>14</v>
      </c>
      <c r="D40" s="9">
        <v>2</v>
      </c>
      <c r="E40" s="9">
        <v>12</v>
      </c>
      <c r="F40" s="9">
        <v>2</v>
      </c>
      <c r="G40" s="10">
        <f t="shared" si="46"/>
        <v>534.07075111026484</v>
      </c>
      <c r="H40" s="9">
        <v>14</v>
      </c>
      <c r="I40" s="9">
        <v>2</v>
      </c>
      <c r="J40" s="9">
        <v>12</v>
      </c>
      <c r="K40" s="9">
        <v>2</v>
      </c>
      <c r="L40" s="10">
        <f t="shared" si="47"/>
        <v>534.07075111026484</v>
      </c>
      <c r="M40" s="15">
        <f t="shared" si="41"/>
        <v>3.5604716740684321E-3</v>
      </c>
      <c r="N40" s="16" t="str">
        <f t="shared" si="42"/>
        <v>OK</v>
      </c>
      <c r="O40" s="15">
        <f t="shared" si="43"/>
        <v>3.5604716740684321E-3</v>
      </c>
      <c r="P40" s="28" t="str">
        <f t="shared" si="44"/>
        <v>OK</v>
      </c>
      <c r="Q40" s="10">
        <f t="shared" si="45"/>
        <v>0</v>
      </c>
    </row>
    <row r="41" spans="1:17" ht="23.25" x14ac:dyDescent="0.35">
      <c r="A41" s="43"/>
      <c r="B41" s="43"/>
      <c r="C41" s="43"/>
      <c r="D41" s="43"/>
      <c r="E41" s="43"/>
      <c r="F41" s="43"/>
      <c r="G41" s="43"/>
      <c r="H41" s="43"/>
    </row>
    <row r="42" spans="1:17" ht="23.25" x14ac:dyDescent="0.35">
      <c r="A42" s="43"/>
      <c r="B42" s="43"/>
      <c r="C42" s="43"/>
      <c r="D42" s="43"/>
      <c r="E42" s="43"/>
      <c r="F42" s="43"/>
      <c r="G42" s="43"/>
      <c r="H42" s="43"/>
    </row>
    <row r="43" spans="1:17" ht="23.25" x14ac:dyDescent="0.35">
      <c r="A43" s="43"/>
      <c r="B43" s="43"/>
      <c r="C43" s="43"/>
      <c r="D43" s="43"/>
      <c r="E43" s="43"/>
      <c r="F43" s="43"/>
      <c r="G43" s="43"/>
      <c r="H43" s="43"/>
    </row>
    <row r="44" spans="1:17" ht="23.25" x14ac:dyDescent="0.35">
      <c r="A44" s="43"/>
      <c r="B44" s="43"/>
      <c r="C44" s="43"/>
      <c r="D44" s="43"/>
      <c r="E44" s="43"/>
      <c r="F44" s="43"/>
      <c r="G44" s="43"/>
      <c r="H44" s="43"/>
    </row>
    <row r="45" spans="1:17" ht="23.25" x14ac:dyDescent="0.35">
      <c r="A45" s="57" t="s">
        <v>75</v>
      </c>
      <c r="B45" s="57"/>
      <c r="C45" s="57"/>
      <c r="D45" s="57"/>
      <c r="E45" s="57"/>
      <c r="F45" s="57"/>
      <c r="G45" s="57"/>
      <c r="H45" s="57"/>
    </row>
    <row r="47" spans="1:17" ht="17.25" x14ac:dyDescent="0.25">
      <c r="A47" s="7" t="s">
        <v>90</v>
      </c>
      <c r="B47" s="36" t="s">
        <v>42</v>
      </c>
      <c r="C47" s="7" t="s">
        <v>103</v>
      </c>
      <c r="D47" s="7" t="s">
        <v>104</v>
      </c>
      <c r="E47" s="7" t="s">
        <v>94</v>
      </c>
      <c r="F47" s="7" t="s">
        <v>62</v>
      </c>
      <c r="G47" s="7" t="s">
        <v>96</v>
      </c>
      <c r="H47" s="7" t="s">
        <v>95</v>
      </c>
    </row>
    <row r="48" spans="1:17" x14ac:dyDescent="0.25">
      <c r="A48" s="7" t="s">
        <v>40</v>
      </c>
      <c r="B48" s="37"/>
      <c r="C48" s="7" t="s">
        <v>23</v>
      </c>
      <c r="D48" s="7" t="s">
        <v>23</v>
      </c>
      <c r="E48" s="7" t="s">
        <v>58</v>
      </c>
      <c r="F48" s="7" t="s">
        <v>63</v>
      </c>
      <c r="G48" s="7" t="s">
        <v>59</v>
      </c>
      <c r="H48" s="7" t="s">
        <v>59</v>
      </c>
    </row>
    <row r="49" spans="1:19" x14ac:dyDescent="0.25">
      <c r="A49" s="48">
        <v>1</v>
      </c>
      <c r="B49" s="9" t="s">
        <v>43</v>
      </c>
      <c r="C49" s="30">
        <f>(G3*$AI$6*($AI$4-40-0.8*Q3/2)+L3*$AI$6*(0.8*Q3/2-40))/1000^2</f>
        <v>188.56026279397773</v>
      </c>
      <c r="D49" s="30">
        <f>-(L3*$AI$6*($AI$4-40-0.8*Q3/2)+G3*$AI$6*(0.8*Q3/2-40))/1000^2</f>
        <v>-165.63108843083191</v>
      </c>
      <c r="E49" s="29">
        <f>7.297*2+7.78</f>
        <v>22.373999999999999</v>
      </c>
      <c r="F49" s="9">
        <v>4</v>
      </c>
      <c r="G49" s="30">
        <f>$E49*$F49/2+($C49+$C50)/$F49*1.1</f>
        <v>142.60564281372368</v>
      </c>
      <c r="H49" s="30">
        <f>$E49*$F49/2+($D49+$D50)/$F49*1.1</f>
        <v>-46.804119863858567</v>
      </c>
    </row>
    <row r="50" spans="1:19" x14ac:dyDescent="0.25">
      <c r="A50" s="49"/>
      <c r="B50" s="9" t="s">
        <v>44</v>
      </c>
      <c r="C50" s="30">
        <f>(L4*$AI$6*($AI$4-40-0.8*Q4/2)+G4*$AI$6*(0.8*Q4/2-40))/1000^2</f>
        <v>167.28571107410832</v>
      </c>
      <c r="D50" s="30">
        <f>-(G4*$AI$6*($AI$4-40-0.8*Q4/2)+L4*$AI$6*(0.8*Q4/2-40))/1000^2</f>
        <v>-167.28571107410832</v>
      </c>
      <c r="E50" s="29">
        <f t="shared" ref="E50:E66" si="48">7.297*2+7.78</f>
        <v>22.373999999999999</v>
      </c>
      <c r="F50" s="9">
        <v>4</v>
      </c>
      <c r="G50" s="30">
        <f>-$E50*$F50/2+($C49+$C50)/$F50*1.1</f>
        <v>53.109642813723674</v>
      </c>
      <c r="H50" s="30">
        <f>-$E50*$F50/2+($D49+$D50)/$F50*1.1</f>
        <v>-136.30011986385855</v>
      </c>
    </row>
    <row r="51" spans="1:19" x14ac:dyDescent="0.25">
      <c r="A51" s="48">
        <v>2</v>
      </c>
      <c r="B51" s="9" t="s">
        <v>43</v>
      </c>
      <c r="C51" s="30">
        <f t="shared" ref="C51" si="49">(G5*$AI$6*($AI$4-40-0.8*Q5/2)+L5*$AI$6*(0.8*Q5/2-40))/1000^2</f>
        <v>167.28571107410832</v>
      </c>
      <c r="D51" s="30">
        <f t="shared" ref="D51" si="50">-(L5*$AI$6*($AI$4-40-0.8*Q5/2)+G5*$AI$6*(0.8*Q5/2-40))/1000^2</f>
        <v>-167.28571107410832</v>
      </c>
      <c r="E51" s="29">
        <f>7.297*2+7.78</f>
        <v>22.373999999999999</v>
      </c>
      <c r="F51" s="9">
        <v>4</v>
      </c>
      <c r="G51" s="30">
        <f>$E51*$F51/2+($C51+$C52)/$F51*1.1</f>
        <v>136.75514109075959</v>
      </c>
      <c r="H51" s="30">
        <f>$E51*$F51/2+($D51+$D52)/$F51*1.1</f>
        <v>-47.259141090759591</v>
      </c>
    </row>
    <row r="52" spans="1:19" x14ac:dyDescent="0.25">
      <c r="A52" s="49"/>
      <c r="B52" s="9" t="s">
        <v>44</v>
      </c>
      <c r="C52" s="30">
        <f t="shared" ref="C52" si="51">(L6*$AI$6*($AI$4-40-0.8*Q6/2)+G6*$AI$6*(0.8*Q6/2-40))/1000^2</f>
        <v>167.28571107410832</v>
      </c>
      <c r="D52" s="30">
        <f t="shared" ref="D52" si="52">-(G6*$AI$6*($AI$4-40-0.8*Q6/2)+L6*$AI$6*(0.8*Q6/2-40))/1000^2</f>
        <v>-167.28571107410832</v>
      </c>
      <c r="E52" s="29">
        <f t="shared" si="48"/>
        <v>22.373999999999999</v>
      </c>
      <c r="F52" s="9">
        <v>4</v>
      </c>
      <c r="G52" s="30">
        <f>-$E52*$F52/2+($C51+$C52)/$F52*1.1</f>
        <v>47.259141090759591</v>
      </c>
      <c r="H52" s="30">
        <f>-$E52*$F52/2+($D51+$D52)/$F52*1.1</f>
        <v>-136.75514109075959</v>
      </c>
    </row>
    <row r="53" spans="1:19" x14ac:dyDescent="0.25">
      <c r="A53" s="48">
        <v>3</v>
      </c>
      <c r="B53" s="9" t="s">
        <v>43</v>
      </c>
      <c r="C53" s="30">
        <f t="shared" ref="C53" si="53">(G7*$AI$6*($AI$4-40-0.8*Q7/2)+L7*$AI$6*(0.8*Q7/2-40))/1000^2</f>
        <v>169.82590687008394</v>
      </c>
      <c r="D53" s="30">
        <f t="shared" ref="D53" si="54">-(L7*$AI$6*($AI$4-40-0.8*Q7/2)+G7*$AI$6*(0.8*Q7/2-40))/1000^2</f>
        <v>-131.70142420176563</v>
      </c>
      <c r="E53" s="29">
        <f>7.297*2+7.78</f>
        <v>22.373999999999999</v>
      </c>
      <c r="F53" s="9">
        <v>5.5</v>
      </c>
      <c r="G53" s="30">
        <f>$E53*$F53/2+($C53+$C54)/$F53*1.1</f>
        <v>121.6471710537549</v>
      </c>
      <c r="H53" s="30">
        <f>$E53*$F53/2+($D53+$D54)/$F53*1.1</f>
        <v>-2.8877471903035286</v>
      </c>
    </row>
    <row r="54" spans="1:19" x14ac:dyDescent="0.25">
      <c r="A54" s="49"/>
      <c r="B54" s="9" t="s">
        <v>44</v>
      </c>
      <c r="C54" s="30">
        <f t="shared" ref="C54" si="55">(L8*$AI$6*($AI$4-40-0.8*Q8/2)+G8*$AI$6*(0.8*Q8/2-40))/1000^2</f>
        <v>130.76744839869059</v>
      </c>
      <c r="D54" s="30">
        <f t="shared" ref="D54" si="56">-(G8*$AI$6*($AI$4-40-0.8*Q8/2)+L8*$AI$6*(0.8*Q8/2-40))/1000^2</f>
        <v>-190.37981174975192</v>
      </c>
      <c r="E54" s="29">
        <f t="shared" si="48"/>
        <v>22.373999999999999</v>
      </c>
      <c r="F54" s="9">
        <v>5.5</v>
      </c>
      <c r="G54" s="30">
        <f>-$E54*$F54/2+($C53+$C54)/$F54*1.1</f>
        <v>-1.409828946245085</v>
      </c>
      <c r="H54" s="30">
        <f>-$E54*$F54/2+($D53+$D54)/$F54*1.1</f>
        <v>-125.94474719030352</v>
      </c>
    </row>
    <row r="55" spans="1:19" x14ac:dyDescent="0.25">
      <c r="A55" s="48">
        <v>4</v>
      </c>
      <c r="B55" s="9" t="s">
        <v>43</v>
      </c>
      <c r="C55" s="30">
        <f t="shared" ref="C55" si="57">(G9*$AI$6*($AI$4-40-0.8*Q9/2)+L9*$AI$6*(0.8*Q9/2-40))/1000^2</f>
        <v>188.56026279397773</v>
      </c>
      <c r="D55" s="30">
        <f t="shared" ref="D55" si="58">-(L9*$AI$6*($AI$4-40-0.8*Q9/2)+G9*$AI$6*(0.8*Q9/2-40))/1000^2</f>
        <v>-165.63108843083191</v>
      </c>
      <c r="E55" s="29">
        <f>7.297*2+7.78</f>
        <v>22.373999999999999</v>
      </c>
      <c r="F55" s="9">
        <v>4</v>
      </c>
      <c r="G55" s="30">
        <f>$E55*$F55/2+($C55+$C56)/$F55*1.1</f>
        <v>142.15062158682267</v>
      </c>
      <c r="H55" s="30">
        <f>$E55*$F55/2+($D55+$D56)/$F55*1.1</f>
        <v>-52.654621586822664</v>
      </c>
      <c r="L55" s="17"/>
      <c r="M55" s="39"/>
      <c r="N55" s="40"/>
      <c r="O55" s="40"/>
      <c r="P55" s="17"/>
      <c r="Q55" s="17"/>
      <c r="R55" s="17"/>
      <c r="S55" s="17"/>
    </row>
    <row r="56" spans="1:19" x14ac:dyDescent="0.25">
      <c r="A56" s="49"/>
      <c r="B56" s="9" t="s">
        <v>44</v>
      </c>
      <c r="C56" s="30">
        <f t="shared" ref="C56" si="59">(L10*$AI$6*($AI$4-40-0.8*Q10/2)+G10*$AI$6*(0.8*Q10/2-40))/1000^2</f>
        <v>165.63108843083191</v>
      </c>
      <c r="D56" s="30">
        <f t="shared" ref="D56" si="60">-(G10*$AI$6*($AI$4-40-0.8*Q10/2)+L10*$AI$6*(0.8*Q10/2-40))/1000^2</f>
        <v>-188.56026279397773</v>
      </c>
      <c r="E56" s="29">
        <f t="shared" si="48"/>
        <v>22.373999999999999</v>
      </c>
      <c r="F56" s="9">
        <v>4</v>
      </c>
      <c r="G56" s="30">
        <f>-$E56*$F56/2+($C55+$C56)/$F56*1.1</f>
        <v>52.654621586822664</v>
      </c>
      <c r="H56" s="30">
        <f>-$E56*$F56/2+($D55+$D56)/$F56*1.1</f>
        <v>-142.15062158682267</v>
      </c>
      <c r="L56" s="17"/>
      <c r="M56" s="39"/>
      <c r="N56" s="40"/>
      <c r="O56" s="40"/>
      <c r="P56" s="17"/>
      <c r="Q56" s="17"/>
      <c r="R56" s="17"/>
      <c r="S56" s="17"/>
    </row>
    <row r="57" spans="1:19" ht="17.25" x14ac:dyDescent="0.25">
      <c r="A57" s="7" t="s">
        <v>91</v>
      </c>
      <c r="B57" s="36" t="s">
        <v>42</v>
      </c>
      <c r="C57" s="7" t="s">
        <v>103</v>
      </c>
      <c r="D57" s="7" t="s">
        <v>104</v>
      </c>
      <c r="E57" s="7" t="s">
        <v>94</v>
      </c>
      <c r="F57" s="7" t="s">
        <v>62</v>
      </c>
      <c r="G57" s="7" t="s">
        <v>96</v>
      </c>
      <c r="H57" s="7" t="s">
        <v>95</v>
      </c>
      <c r="L57" s="42"/>
      <c r="M57" s="17"/>
      <c r="N57" s="40"/>
      <c r="O57" s="40"/>
      <c r="P57" s="41"/>
      <c r="Q57" s="17"/>
      <c r="R57" s="40"/>
      <c r="S57" s="40"/>
    </row>
    <row r="58" spans="1:19" x14ac:dyDescent="0.25">
      <c r="A58" s="7" t="s">
        <v>40</v>
      </c>
      <c r="B58" s="37"/>
      <c r="C58" s="7" t="s">
        <v>23</v>
      </c>
      <c r="D58" s="7" t="s">
        <v>23</v>
      </c>
      <c r="E58" s="7" t="s">
        <v>58</v>
      </c>
      <c r="F58" s="7" t="s">
        <v>63</v>
      </c>
      <c r="G58" s="7" t="s">
        <v>59</v>
      </c>
      <c r="H58" s="7" t="s">
        <v>59</v>
      </c>
      <c r="L58" s="42"/>
      <c r="M58" s="17"/>
      <c r="N58" s="40"/>
      <c r="O58" s="40"/>
      <c r="P58" s="41"/>
      <c r="Q58" s="17"/>
      <c r="R58" s="40"/>
      <c r="S58" s="40"/>
    </row>
    <row r="59" spans="1:19" x14ac:dyDescent="0.25">
      <c r="A59" s="48">
        <v>1</v>
      </c>
      <c r="B59" s="9" t="s">
        <v>43</v>
      </c>
      <c r="C59" s="30">
        <f t="shared" ref="C59" si="61">(G13*$AI$6*($AI$4-40-0.8*Q13/2)+L13*$AI$6*(0.8*Q13/2-40))/1000^2</f>
        <v>188.56026279397773</v>
      </c>
      <c r="D59" s="30">
        <f t="shared" ref="D59" si="62">-(L13*$AI$6*($AI$4-40-0.8*Q13/2)+G13*$AI$6*(0.8*Q13/2-40))/1000^2</f>
        <v>-165.63108843083191</v>
      </c>
      <c r="E59" s="29">
        <f>7.297*2+7.78</f>
        <v>22.373999999999999</v>
      </c>
      <c r="F59" s="9">
        <v>4</v>
      </c>
      <c r="G59" s="30">
        <f>$E59*$F59/2+($C59+$C60)/$F59*1.1</f>
        <v>142.60564281372368</v>
      </c>
      <c r="H59" s="30">
        <f>$E59*$F59/2+($D59+$D60)/$F59*1.1</f>
        <v>-46.804119863858567</v>
      </c>
      <c r="L59" s="42"/>
      <c r="M59" s="17"/>
      <c r="N59" s="40"/>
      <c r="O59" s="40"/>
      <c r="P59" s="41"/>
      <c r="Q59" s="17"/>
      <c r="R59" s="40"/>
      <c r="S59" s="40"/>
    </row>
    <row r="60" spans="1:19" x14ac:dyDescent="0.25">
      <c r="A60" s="49"/>
      <c r="B60" s="9" t="s">
        <v>44</v>
      </c>
      <c r="C60" s="30">
        <f t="shared" ref="C60" si="63">(L14*$AI$6*($AI$4-40-0.8*Q14/2)+G14*$AI$6*(0.8*Q14/2-40))/1000^2</f>
        <v>167.28571107410832</v>
      </c>
      <c r="D60" s="30">
        <f t="shared" ref="D60" si="64">-(G14*$AI$6*($AI$4-40-0.8*Q14/2)+L14*$AI$6*(0.8*Q14/2-40))/1000^2</f>
        <v>-167.28571107410832</v>
      </c>
      <c r="E60" s="29">
        <f t="shared" si="48"/>
        <v>22.373999999999999</v>
      </c>
      <c r="F60" s="9">
        <v>4</v>
      </c>
      <c r="G60" s="30">
        <f>-$E60*$F60/2+($C59+$C60)/$F60*1.1</f>
        <v>53.109642813723674</v>
      </c>
      <c r="H60" s="30">
        <f>-$E60*$F60/2+($D59+$D60)/$F60*1.1</f>
        <v>-136.30011986385855</v>
      </c>
      <c r="L60" s="42"/>
      <c r="M60" s="17"/>
      <c r="N60" s="40"/>
      <c r="O60" s="40"/>
      <c r="P60" s="41"/>
      <c r="Q60" s="17"/>
      <c r="R60" s="40"/>
      <c r="S60" s="40"/>
    </row>
    <row r="61" spans="1:19" x14ac:dyDescent="0.25">
      <c r="A61" s="48">
        <v>2</v>
      </c>
      <c r="B61" s="9" t="s">
        <v>43</v>
      </c>
      <c r="C61" s="30">
        <f t="shared" ref="C61" si="65">(G15*$AI$6*($AI$4-40-0.8*Q15/2)+L15*$AI$6*(0.8*Q15/2-40))/1000^2</f>
        <v>167.28571107410832</v>
      </c>
      <c r="D61" s="30">
        <f t="shared" ref="D61" si="66">-(L15*$AI$6*($AI$4-40-0.8*Q15/2)+G15*$AI$6*(0.8*Q15/2-40))/1000^2</f>
        <v>-167.28571107410832</v>
      </c>
      <c r="E61" s="29">
        <f>7.297*2+7.78</f>
        <v>22.373999999999999</v>
      </c>
      <c r="F61" s="9">
        <v>4</v>
      </c>
      <c r="G61" s="30">
        <f>$E61*$F61/2+($C61+$C62)/$F61*1.1</f>
        <v>136.75514109075959</v>
      </c>
      <c r="H61" s="30">
        <f>$E61*$F61/2+($D61+$D62)/$F61*1.1</f>
        <v>-47.259141090759591</v>
      </c>
      <c r="L61" s="42"/>
      <c r="M61" s="17"/>
      <c r="N61" s="40"/>
      <c r="O61" s="40"/>
      <c r="P61" s="41"/>
      <c r="Q61" s="17"/>
      <c r="R61" s="40"/>
      <c r="S61" s="40"/>
    </row>
    <row r="62" spans="1:19" x14ac:dyDescent="0.25">
      <c r="A62" s="49"/>
      <c r="B62" s="9" t="s">
        <v>44</v>
      </c>
      <c r="C62" s="30">
        <f t="shared" ref="C62" si="67">(L16*$AI$6*($AI$4-40-0.8*Q16/2)+G16*$AI$6*(0.8*Q16/2-40))/1000^2</f>
        <v>167.28571107410832</v>
      </c>
      <c r="D62" s="30">
        <f t="shared" ref="D62" si="68">-(G16*$AI$6*($AI$4-40-0.8*Q16/2)+L16*$AI$6*(0.8*Q16/2-40))/1000^2</f>
        <v>-167.28571107410832</v>
      </c>
      <c r="E62" s="29">
        <f t="shared" si="48"/>
        <v>22.373999999999999</v>
      </c>
      <c r="F62" s="9">
        <v>4</v>
      </c>
      <c r="G62" s="30">
        <f>-$E62*$F62/2+($C61+$C62)/$F62*1.1</f>
        <v>47.259141090759591</v>
      </c>
      <c r="H62" s="30">
        <f>-$E62*$F62/2+($D61+$D62)/$F62*1.1</f>
        <v>-136.75514109075959</v>
      </c>
      <c r="L62" s="42"/>
      <c r="M62" s="17"/>
      <c r="N62" s="40"/>
      <c r="O62" s="40"/>
      <c r="P62" s="41"/>
      <c r="Q62" s="17"/>
      <c r="R62" s="40"/>
      <c r="S62" s="40"/>
    </row>
    <row r="63" spans="1:19" x14ac:dyDescent="0.25">
      <c r="A63" s="48">
        <v>3</v>
      </c>
      <c r="B63" s="9" t="s">
        <v>43</v>
      </c>
      <c r="C63" s="30">
        <f t="shared" ref="C63" si="69">(G17*$AI$6*($AI$4-40-0.8*Q17/2)+L17*$AI$6*(0.8*Q17/2-40))/1000^2</f>
        <v>169.82590687008394</v>
      </c>
      <c r="D63" s="30">
        <f t="shared" ref="D63" si="70">-(L17*$AI$6*($AI$4-40-0.8*Q17/2)+G17*$AI$6*(0.8*Q17/2-40))/1000^2</f>
        <v>-131.70142420176563</v>
      </c>
      <c r="E63" s="29">
        <f>7.297*2+7.78</f>
        <v>22.373999999999999</v>
      </c>
      <c r="F63" s="9">
        <v>5.5</v>
      </c>
      <c r="G63" s="30">
        <f>$E63*$F63/2+($C63+$C64)/$F63*1.1</f>
        <v>121.83396621436991</v>
      </c>
      <c r="H63" s="30">
        <f>$E63*$F63/2+($D63+$D64)/$F63*1.1</f>
        <v>1.2230337856300793</v>
      </c>
      <c r="L63" s="17"/>
      <c r="M63" s="39"/>
      <c r="N63" s="40"/>
      <c r="O63" s="40"/>
      <c r="P63" s="17"/>
      <c r="Q63" s="17"/>
      <c r="R63" s="17"/>
      <c r="S63" s="17"/>
    </row>
    <row r="64" spans="1:19" x14ac:dyDescent="0.25">
      <c r="A64" s="49"/>
      <c r="B64" s="9" t="s">
        <v>44</v>
      </c>
      <c r="C64" s="30">
        <f t="shared" ref="C64" si="71">(L18*$AI$6*($AI$4-40-0.8*Q18/2)+G18*$AI$6*(0.8*Q18/2-40))/1000^2</f>
        <v>131.70142420176563</v>
      </c>
      <c r="D64" s="30">
        <f t="shared" ref="D64" si="72">-(G18*$AI$6*($AI$4-40-0.8*Q18/2)+L18*$AI$6*(0.8*Q18/2-40))/1000^2</f>
        <v>-169.82590687008394</v>
      </c>
      <c r="E64" s="29">
        <f t="shared" si="48"/>
        <v>22.373999999999999</v>
      </c>
      <c r="F64" s="9">
        <v>5.5</v>
      </c>
      <c r="G64" s="30">
        <f>-$E64*$F64/2+($C63+$C64)/$F64*1.1</f>
        <v>-1.2230337856300793</v>
      </c>
      <c r="H64" s="30">
        <f>-$E64*$F64/2+($D63+$D64)/$F64*1.1</f>
        <v>-121.83396621436991</v>
      </c>
      <c r="L64" s="17"/>
      <c r="M64" s="39"/>
      <c r="N64" s="40"/>
      <c r="O64" s="40"/>
      <c r="P64" s="17"/>
      <c r="Q64" s="17"/>
      <c r="R64" s="17"/>
      <c r="S64" s="17"/>
    </row>
    <row r="65" spans="1:19" x14ac:dyDescent="0.25">
      <c r="A65" s="48">
        <v>4</v>
      </c>
      <c r="B65" s="9" t="s">
        <v>43</v>
      </c>
      <c r="C65" s="30">
        <f t="shared" ref="C65" si="73">(G19*$AI$6*($AI$4-40-0.8*Q19/2)+L19*$AI$6*(0.8*Q19/2-40))/1000^2</f>
        <v>167.28571107410832</v>
      </c>
      <c r="D65" s="30">
        <f t="shared" ref="D65" si="74">-(L19*$AI$6*($AI$4-40-0.8*Q19/2)+G19*$AI$6*(0.8*Q19/2-40))/1000^2</f>
        <v>-167.28571107410832</v>
      </c>
      <c r="E65" s="29">
        <f>7.297*2+7.78</f>
        <v>22.373999999999999</v>
      </c>
      <c r="F65" s="9">
        <v>4</v>
      </c>
      <c r="G65" s="30">
        <f>$E65*$F65/2+($C65+$C66)/$F65*1.1</f>
        <v>136.30011986385855</v>
      </c>
      <c r="H65" s="30">
        <f>$E65*$F65/2+($D65+$D66)/$F65*1.1</f>
        <v>-53.109642813723674</v>
      </c>
      <c r="L65" s="42"/>
      <c r="M65" s="17"/>
      <c r="N65" s="40"/>
      <c r="O65" s="40"/>
      <c r="P65" s="41"/>
      <c r="Q65" s="17"/>
      <c r="R65" s="40"/>
      <c r="S65" s="40"/>
    </row>
    <row r="66" spans="1:19" x14ac:dyDescent="0.25">
      <c r="A66" s="49"/>
      <c r="B66" s="9" t="s">
        <v>44</v>
      </c>
      <c r="C66" s="30">
        <f t="shared" ref="C66" si="75">(L20*$AI$6*($AI$4-40-0.8*Q20/2)+G20*$AI$6*(0.8*Q20/2-40))/1000^2</f>
        <v>165.63108843083191</v>
      </c>
      <c r="D66" s="30">
        <f t="shared" ref="D66" si="76">-(G20*$AI$6*($AI$4-40-0.8*Q20/2)+L20*$AI$6*(0.8*Q20/2-40))/1000^2</f>
        <v>-188.56026279397773</v>
      </c>
      <c r="E66" s="29">
        <f t="shared" si="48"/>
        <v>22.373999999999999</v>
      </c>
      <c r="F66" s="9">
        <v>4</v>
      </c>
      <c r="G66" s="30">
        <f>-$E66*$F66/2+($C65+$C66)/$F66*1.1</f>
        <v>46.804119863858567</v>
      </c>
      <c r="H66" s="30">
        <f>-$E66*$F66/2+($D65+$D66)/$F66*1.1</f>
        <v>-142.60564281372368</v>
      </c>
      <c r="L66" s="42"/>
      <c r="M66" s="17"/>
      <c r="N66" s="40"/>
      <c r="O66" s="40"/>
      <c r="P66" s="41"/>
      <c r="Q66" s="17"/>
      <c r="R66" s="40"/>
      <c r="S66" s="40"/>
    </row>
    <row r="67" spans="1:19" ht="17.25" x14ac:dyDescent="0.25">
      <c r="A67" s="7" t="s">
        <v>91</v>
      </c>
      <c r="B67" s="36" t="s">
        <v>42</v>
      </c>
      <c r="C67" s="7" t="s">
        <v>103</v>
      </c>
      <c r="D67" s="7" t="s">
        <v>104</v>
      </c>
      <c r="E67" s="7" t="s">
        <v>94</v>
      </c>
      <c r="F67" s="7" t="s">
        <v>62</v>
      </c>
      <c r="G67" s="7" t="s">
        <v>96</v>
      </c>
      <c r="H67" s="7" t="s">
        <v>95</v>
      </c>
      <c r="L67" s="42"/>
      <c r="M67" s="17"/>
      <c r="N67" s="40"/>
      <c r="O67" s="40"/>
      <c r="P67" s="41"/>
      <c r="Q67" s="17"/>
      <c r="R67" s="40"/>
      <c r="S67" s="40"/>
    </row>
    <row r="68" spans="1:19" x14ac:dyDescent="0.25">
      <c r="A68" s="7" t="s">
        <v>40</v>
      </c>
      <c r="B68" s="37"/>
      <c r="C68" s="7" t="s">
        <v>23</v>
      </c>
      <c r="D68" s="7" t="s">
        <v>23</v>
      </c>
      <c r="E68" s="7" t="s">
        <v>58</v>
      </c>
      <c r="F68" s="7" t="s">
        <v>63</v>
      </c>
      <c r="G68" s="7" t="s">
        <v>59</v>
      </c>
      <c r="H68" s="7" t="s">
        <v>59</v>
      </c>
      <c r="L68" s="42"/>
      <c r="M68" s="17"/>
      <c r="N68" s="40"/>
      <c r="O68" s="40"/>
      <c r="P68" s="41"/>
      <c r="Q68" s="17"/>
      <c r="R68" s="40"/>
      <c r="S68" s="40"/>
    </row>
    <row r="69" spans="1:19" x14ac:dyDescent="0.25">
      <c r="A69" s="48">
        <v>1</v>
      </c>
      <c r="B69" s="9" t="s">
        <v>43</v>
      </c>
      <c r="C69" s="30">
        <f t="shared" ref="C69" si="77">(G23*$AI$6*($AI$4-40-0.8*Q23/2)+L23*$AI$6*(0.8*Q23/2-40))/1000^2</f>
        <v>136.78181579371687</v>
      </c>
      <c r="D69" s="30">
        <f t="shared" ref="D69" si="78">-(L23*$AI$6*($AI$4-40-0.8*Q23/2)+G23*$AI$6*(0.8*Q23/2-40))/1000^2</f>
        <v>-98.657333125398551</v>
      </c>
      <c r="E69" s="29">
        <f>7.297*2+7.78</f>
        <v>22.373999999999999</v>
      </c>
      <c r="F69" s="9">
        <v>4</v>
      </c>
      <c r="G69" s="30">
        <f>$E69*$F69/2+($C69+$C70)/$F69*1.1</f>
        <v>109.73729856974902</v>
      </c>
      <c r="H69" s="30">
        <f>$E69*$F69/2+($D69+$D70)/$F69*1.1</f>
        <v>-16.062588785826591</v>
      </c>
      <c r="L69" s="42"/>
      <c r="M69" s="17"/>
      <c r="N69" s="40"/>
      <c r="O69" s="40"/>
      <c r="P69" s="41"/>
      <c r="Q69" s="17"/>
      <c r="R69" s="40"/>
      <c r="S69" s="40"/>
    </row>
    <row r="70" spans="1:19" x14ac:dyDescent="0.25">
      <c r="A70" s="49"/>
      <c r="B70" s="9" t="s">
        <v>44</v>
      </c>
      <c r="C70" s="30">
        <f t="shared" ref="C70" si="79">(L24*$AI$6*($AI$4-40-0.8*Q24/2)+G24*$AI$6*(0.8*Q24/2-40))/1000^2</f>
        <v>99.542906278097746</v>
      </c>
      <c r="D70" s="30">
        <f t="shared" ref="D70" si="80">-(G24*$AI$6*($AI$4-40-0.8*Q24/2)+L24*$AI$6*(0.8*Q24/2-40))/1000^2</f>
        <v>-122.47208064124359</v>
      </c>
      <c r="E70" s="29">
        <f t="shared" ref="E70:E76" si="81">7.297*2+7.78</f>
        <v>22.373999999999999</v>
      </c>
      <c r="F70" s="9">
        <v>4</v>
      </c>
      <c r="G70" s="30">
        <f>-$E70*$F70/2+($C69+$C70)/$F70*1.1</f>
        <v>20.241298569749027</v>
      </c>
      <c r="H70" s="30">
        <f>-$E70*$F70/2+($D69+$D70)/$F70*1.1</f>
        <v>-105.55858878582659</v>
      </c>
      <c r="L70" s="42"/>
      <c r="M70" s="17"/>
      <c r="N70" s="40"/>
      <c r="O70" s="40"/>
      <c r="Q70" s="17"/>
      <c r="R70" s="40"/>
      <c r="S70" s="40"/>
    </row>
    <row r="71" spans="1:19" x14ac:dyDescent="0.25">
      <c r="A71" s="48">
        <v>2</v>
      </c>
      <c r="B71" s="9" t="s">
        <v>43</v>
      </c>
      <c r="C71" s="30">
        <f t="shared" ref="C71" si="82">(G25*$AI$6*($AI$4-40-0.8*Q25/2)+L25*$AI$6*(0.8*Q25/2-40))/1000^2</f>
        <v>122.47208064124359</v>
      </c>
      <c r="D71" s="30">
        <f t="shared" ref="D71" si="83">-(L25*$AI$6*($AI$4-40-0.8*Q25/2)+G25*$AI$6*(0.8*Q25/2-40))/1000^2</f>
        <v>-99.542906278097746</v>
      </c>
      <c r="E71" s="29">
        <f>7.297*2+7.78</f>
        <v>22.373999999999999</v>
      </c>
      <c r="F71" s="9">
        <v>4</v>
      </c>
      <c r="G71" s="30">
        <f>$E71*$F71/2+($C71+$C72)/$F71*1.1</f>
        <v>105.80212140281887</v>
      </c>
      <c r="H71" s="30">
        <f>$E71*$F71/2+($D71+$D72)/$F71*1.1</f>
        <v>-16.306121402818874</v>
      </c>
      <c r="L71" s="42"/>
      <c r="M71" s="17"/>
      <c r="N71" s="40"/>
      <c r="O71" s="40"/>
      <c r="Q71" s="17"/>
      <c r="R71" s="40"/>
      <c r="S71" s="40"/>
    </row>
    <row r="72" spans="1:19" x14ac:dyDescent="0.25">
      <c r="A72" s="49"/>
      <c r="B72" s="9" t="s">
        <v>44</v>
      </c>
      <c r="C72" s="30">
        <f t="shared" ref="C72" si="84">(L26*$AI$6*($AI$4-40-0.8*Q26/2)+G26*$AI$6*(0.8*Q26/2-40))/1000^2</f>
        <v>99.542906278097746</v>
      </c>
      <c r="D72" s="30">
        <f t="shared" ref="D72" si="85">-(G26*$AI$6*($AI$4-40-0.8*Q26/2)+L26*$AI$6*(0.8*Q26/2-40))/1000^2</f>
        <v>-122.47208064124359</v>
      </c>
      <c r="E72" s="29">
        <f t="shared" si="81"/>
        <v>22.373999999999999</v>
      </c>
      <c r="F72" s="9">
        <v>4</v>
      </c>
      <c r="G72" s="30">
        <f>-$E72*$F72/2+($C71+$C72)/$F72*1.1</f>
        <v>16.306121402818874</v>
      </c>
      <c r="H72" s="30">
        <f>-$E72*$F72/2+($D71+$D72)/$F72*1.1</f>
        <v>-105.80212140281887</v>
      </c>
      <c r="L72" s="42"/>
      <c r="M72" s="17"/>
      <c r="N72" s="40"/>
      <c r="O72" s="40"/>
      <c r="Q72" s="17"/>
      <c r="R72" s="40"/>
      <c r="S72" s="40"/>
    </row>
    <row r="73" spans="1:19" x14ac:dyDescent="0.25">
      <c r="A73" s="48">
        <v>3</v>
      </c>
      <c r="B73" s="9" t="s">
        <v>43</v>
      </c>
      <c r="C73" s="30">
        <f t="shared" ref="C73" si="86">(G27*$AI$6*($AI$4-40-0.8*Q27/2)+L27*$AI$6*(0.8*Q27/2-40))/1000^2</f>
        <v>122.47208064124359</v>
      </c>
      <c r="D73" s="30">
        <f t="shared" ref="D73" si="87">-(L27*$AI$6*($AI$4-40-0.8*Q27/2)+G27*$AI$6*(0.8*Q27/2-40))/1000^2</f>
        <v>-99.542906278097746</v>
      </c>
      <c r="E73" s="29">
        <f>7.297*2+7.78</f>
        <v>22.373999999999999</v>
      </c>
      <c r="F73" s="9">
        <v>5.5</v>
      </c>
      <c r="G73" s="30">
        <f>$E73*$F73/2+($C73+$C74)/$F73*1.1</f>
        <v>105.93149738386828</v>
      </c>
      <c r="H73" s="30">
        <f>$E73*$F73/2+($D73+$D74)/$F73*1.1</f>
        <v>17.125502616131719</v>
      </c>
      <c r="L73" s="42"/>
      <c r="M73" s="17"/>
      <c r="N73" s="40"/>
      <c r="O73" s="40"/>
      <c r="Q73" s="17"/>
      <c r="R73" s="40"/>
      <c r="S73" s="40"/>
    </row>
    <row r="74" spans="1:19" x14ac:dyDescent="0.25">
      <c r="A74" s="49"/>
      <c r="B74" s="9" t="s">
        <v>44</v>
      </c>
      <c r="C74" s="30">
        <f t="shared" ref="C74" si="88">(L28*$AI$6*($AI$4-40-0.8*Q28/2)+G28*$AI$6*(0.8*Q28/2-40))/1000^2</f>
        <v>99.542906278097746</v>
      </c>
      <c r="D74" s="30">
        <f t="shared" ref="D74" si="89">-(G28*$AI$6*($AI$4-40-0.8*Q28/2)+L28*$AI$6*(0.8*Q28/2-40))/1000^2</f>
        <v>-122.47208064124359</v>
      </c>
      <c r="E74" s="29">
        <f t="shared" si="81"/>
        <v>22.373999999999999</v>
      </c>
      <c r="F74" s="9">
        <v>5.5</v>
      </c>
      <c r="G74" s="30">
        <f>-$E74*$F74/2+($C73+$C74)/$F74*1.1</f>
        <v>-17.125502616131719</v>
      </c>
      <c r="H74" s="30">
        <f>-$E74*$F74/2+($D73+$D74)/$F74*1.1</f>
        <v>-105.93149738386828</v>
      </c>
      <c r="L74" s="42"/>
      <c r="M74" s="17"/>
      <c r="N74" s="40"/>
      <c r="O74" s="40"/>
      <c r="Q74" s="17"/>
      <c r="R74" s="40"/>
      <c r="S74" s="40"/>
    </row>
    <row r="75" spans="1:19" x14ac:dyDescent="0.25">
      <c r="A75" s="48">
        <v>4</v>
      </c>
      <c r="B75" s="9" t="s">
        <v>43</v>
      </c>
      <c r="C75" s="30">
        <f t="shared" ref="C75" si="90">(G29*$AI$6*($AI$4-40-0.8*Q29/2)+L29*$AI$6*(0.8*Q29/2-40))/1000^2</f>
        <v>122.47208064124359</v>
      </c>
      <c r="D75" s="30">
        <f t="shared" ref="D75" si="91">-(L29*$AI$6*($AI$4-40-0.8*Q29/2)+G29*$AI$6*(0.8*Q29/2-40))/1000^2</f>
        <v>-99.542906278097746</v>
      </c>
      <c r="E75" s="29">
        <f>7.297*2+7.78</f>
        <v>22.373999999999999</v>
      </c>
      <c r="F75" s="9">
        <v>4</v>
      </c>
      <c r="G75" s="30">
        <f>$E75*$F75/2+($C75+$C76)/$F75*1.1</f>
        <v>105.55858878582659</v>
      </c>
      <c r="H75" s="30">
        <f>$E75*$F75/2+($D75+$D76)/$F75*1.1</f>
        <v>-20.241298569749027</v>
      </c>
      <c r="L75" s="42"/>
      <c r="M75" s="17"/>
      <c r="N75" s="40"/>
      <c r="O75" s="40"/>
      <c r="Q75" s="17"/>
      <c r="R75" s="40"/>
      <c r="S75" s="40"/>
    </row>
    <row r="76" spans="1:19" x14ac:dyDescent="0.25">
      <c r="A76" s="49"/>
      <c r="B76" s="9" t="s">
        <v>44</v>
      </c>
      <c r="C76" s="30">
        <f t="shared" ref="C76" si="92">(L30*$AI$6*($AI$4-40-0.8*Q30/2)+G30*$AI$6*(0.8*Q30/2-40))/1000^2</f>
        <v>98.657333125398551</v>
      </c>
      <c r="D76" s="30">
        <f t="shared" ref="D76" si="93">-(G30*$AI$6*($AI$4-40-0.8*Q30/2)+L30*$AI$6*(0.8*Q30/2-40))/1000^2</f>
        <v>-136.78181579371687</v>
      </c>
      <c r="E76" s="29">
        <f t="shared" si="81"/>
        <v>22.373999999999999</v>
      </c>
      <c r="F76" s="9">
        <v>4</v>
      </c>
      <c r="G76" s="30">
        <f>-$E76*$F76/2+($C75+$C76)/$F76*1.1</f>
        <v>16.062588785826591</v>
      </c>
      <c r="H76" s="30">
        <f>-$E76*$F76/2+($D75+$D76)/$F76*1.1</f>
        <v>-109.73729856974902</v>
      </c>
    </row>
    <row r="80" spans="1:19" ht="26.25" x14ac:dyDescent="0.4">
      <c r="A80" s="50" t="s">
        <v>76</v>
      </c>
      <c r="B80" s="50"/>
      <c r="C80" s="50"/>
      <c r="D80" s="50"/>
      <c r="E80" s="50"/>
      <c r="F80" s="50"/>
      <c r="G80" s="50"/>
      <c r="H80" s="50"/>
      <c r="I80" s="50"/>
    </row>
    <row r="81" spans="1:40" x14ac:dyDescent="0.25">
      <c r="R81" t="s">
        <v>80</v>
      </c>
    </row>
    <row r="83" spans="1:40" ht="18" x14ac:dyDescent="0.35">
      <c r="A83" s="7" t="s">
        <v>90</v>
      </c>
      <c r="B83" s="36" t="s">
        <v>42</v>
      </c>
      <c r="C83" s="7" t="s">
        <v>67</v>
      </c>
      <c r="D83" s="7" t="s">
        <v>98</v>
      </c>
      <c r="E83" s="7" t="s">
        <v>97</v>
      </c>
      <c r="F83" s="7" t="s">
        <v>99</v>
      </c>
      <c r="G83" s="7" t="s">
        <v>100</v>
      </c>
      <c r="H83" s="7" t="s">
        <v>101</v>
      </c>
      <c r="I83" s="7" t="s">
        <v>102</v>
      </c>
      <c r="N83" s="2"/>
      <c r="O83" s="2"/>
      <c r="P83" s="7" t="s">
        <v>97</v>
      </c>
      <c r="Q83" s="45" t="s">
        <v>106</v>
      </c>
      <c r="R83" s="45" t="s">
        <v>106</v>
      </c>
      <c r="T83" s="45" t="s">
        <v>106</v>
      </c>
      <c r="U83" s="45" t="s">
        <v>106</v>
      </c>
      <c r="V83" s="7" t="s">
        <v>99</v>
      </c>
      <c r="W83" s="7" t="s">
        <v>100</v>
      </c>
      <c r="X83" s="7" t="s">
        <v>101</v>
      </c>
      <c r="Z83" s="46" t="s">
        <v>107</v>
      </c>
      <c r="AA83" s="46" t="s">
        <v>107</v>
      </c>
    </row>
    <row r="84" spans="1:40" x14ac:dyDescent="0.25">
      <c r="A84" s="7" t="s">
        <v>40</v>
      </c>
      <c r="B84" s="37"/>
      <c r="C84" s="7" t="s">
        <v>2</v>
      </c>
      <c r="D84" s="7" t="s">
        <v>2</v>
      </c>
      <c r="E84" s="7" t="s">
        <v>2</v>
      </c>
      <c r="F84" s="7" t="s">
        <v>59</v>
      </c>
      <c r="G84" s="7" t="s">
        <v>59</v>
      </c>
      <c r="H84" s="7" t="s">
        <v>59</v>
      </c>
      <c r="I84" s="7" t="s">
        <v>59</v>
      </c>
      <c r="L84" s="14" t="s">
        <v>74</v>
      </c>
      <c r="M84" s="14"/>
      <c r="N84" s="14"/>
      <c r="P84" s="7" t="s">
        <v>2</v>
      </c>
      <c r="Q84" s="7" t="s">
        <v>78</v>
      </c>
      <c r="R84" s="7" t="s">
        <v>79</v>
      </c>
      <c r="T84" s="7" t="s">
        <v>79</v>
      </c>
      <c r="U84" s="7" t="s">
        <v>78</v>
      </c>
      <c r="V84" s="7" t="s">
        <v>59</v>
      </c>
      <c r="W84" s="7" t="s">
        <v>59</v>
      </c>
      <c r="X84" s="7" t="s">
        <v>59</v>
      </c>
      <c r="Z84" s="46" t="s">
        <v>2</v>
      </c>
      <c r="AA84" s="46" t="s">
        <v>2</v>
      </c>
    </row>
    <row r="85" spans="1:40" x14ac:dyDescent="0.25">
      <c r="A85" s="48">
        <v>1</v>
      </c>
      <c r="B85" s="9" t="s">
        <v>43</v>
      </c>
      <c r="C85" s="9">
        <f>500</f>
        <v>500</v>
      </c>
      <c r="D85" s="9">
        <v>8</v>
      </c>
      <c r="E85" s="9">
        <v>100</v>
      </c>
      <c r="F85" s="29">
        <f t="shared" ref="F85:F90" si="94">(0.9*($AI$4-30)*(2*PI()*D85^2/4)/E85*$AI$6)/1000</f>
        <v>166.40060149170563</v>
      </c>
      <c r="G85" s="30">
        <f t="shared" ref="G85:G92" si="95">(0.9*($AI$4-30)*$AI$3*0.5*$AI$14*0.5)/1000</f>
        <v>539.32500000000005</v>
      </c>
      <c r="H85" s="30">
        <f>MIN(F85:G85)</f>
        <v>166.40060149170563</v>
      </c>
      <c r="I85" s="30">
        <f t="shared" ref="I85:I92" si="96">MAX(ABS(G49),ABS(H49))</f>
        <v>142.60564281372368</v>
      </c>
      <c r="J85" s="32" t="str">
        <f>IF(H85&gt;I85,"OK","NO")</f>
        <v>OK</v>
      </c>
      <c r="L85" s="2">
        <f>(500-40)/4</f>
        <v>115</v>
      </c>
      <c r="M85" s="2">
        <v>175</v>
      </c>
      <c r="N85" s="2">
        <f t="shared" ref="N85:N90" si="97">8*E3</f>
        <v>144</v>
      </c>
      <c r="P85" s="9">
        <v>200</v>
      </c>
      <c r="Q85" s="15">
        <f>ASIN(SQRT(2*D85^2/4*PI()*$AI$6/($AI$3*P85*0.5*$AI$14)))</f>
        <v>0.28142992578748771</v>
      </c>
      <c r="R85" s="29">
        <f>DEGREES(Q85)</f>
        <v>16.124746976303015</v>
      </c>
      <c r="T85" s="29">
        <f>21.8</f>
        <v>21.8</v>
      </c>
      <c r="U85" s="29">
        <f>RADIANS(T85)</f>
        <v>0.38048177693476387</v>
      </c>
      <c r="V85" s="30">
        <f>(0.9*($AI$4-30)*(2*PI()*8^2/4)/P85*$AI$6)/1000*_xlfn.COT(U85)</f>
        <v>208.01559165805625</v>
      </c>
      <c r="W85" s="30">
        <f>(0.9*($AI$4-30)*$AI$3*0.5*$AI$14)*(_xlfn.COT(U85))/(1+_xlfn.COT(U85)^2)/1000</f>
        <v>371.92906042524015</v>
      </c>
      <c r="X85" s="30">
        <f>MIN(V85:W85)</f>
        <v>208.01559165805625</v>
      </c>
      <c r="Z85" s="10">
        <f>0.9*460/2*_xlfn.COT(U85)</f>
        <v>517.53692098719932</v>
      </c>
      <c r="AA85" s="10">
        <f>0.9*460/2*_xlfn.COT($T$92)</f>
        <v>207</v>
      </c>
    </row>
    <row r="86" spans="1:40" x14ac:dyDescent="0.25">
      <c r="A86" s="49"/>
      <c r="B86" s="9" t="s">
        <v>44</v>
      </c>
      <c r="C86" s="9">
        <f>500</f>
        <v>500</v>
      </c>
      <c r="D86" s="9">
        <v>8</v>
      </c>
      <c r="E86" s="9">
        <v>100</v>
      </c>
      <c r="F86" s="29">
        <f t="shared" si="94"/>
        <v>166.40060149170563</v>
      </c>
      <c r="G86" s="30">
        <f t="shared" si="95"/>
        <v>539.32500000000005</v>
      </c>
      <c r="H86" s="30">
        <f t="shared" ref="H86:H90" si="98">MIN(F86:G86)</f>
        <v>166.40060149170563</v>
      </c>
      <c r="I86" s="30">
        <f t="shared" si="96"/>
        <v>136.30011986385855</v>
      </c>
      <c r="J86" s="32" t="str">
        <f t="shared" ref="J86:J90" si="99">IF(H86&gt;I86,"OK","NO")</f>
        <v>OK</v>
      </c>
      <c r="N86" s="2">
        <f t="shared" si="97"/>
        <v>144</v>
      </c>
    </row>
    <row r="87" spans="1:40" x14ac:dyDescent="0.25">
      <c r="A87" s="48">
        <v>2</v>
      </c>
      <c r="B87" s="9" t="s">
        <v>43</v>
      </c>
      <c r="C87" s="9">
        <f>500</f>
        <v>500</v>
      </c>
      <c r="D87" s="9">
        <v>8</v>
      </c>
      <c r="E87" s="9">
        <v>100</v>
      </c>
      <c r="F87" s="29">
        <f t="shared" si="94"/>
        <v>166.40060149170563</v>
      </c>
      <c r="G87" s="30">
        <f t="shared" si="95"/>
        <v>539.32500000000005</v>
      </c>
      <c r="H87" s="30">
        <f t="shared" si="98"/>
        <v>166.40060149170563</v>
      </c>
      <c r="I87" s="30">
        <f t="shared" si="96"/>
        <v>136.75514109075959</v>
      </c>
      <c r="J87" s="32" t="str">
        <f t="shared" si="99"/>
        <v>OK</v>
      </c>
      <c r="N87" s="2">
        <f t="shared" si="97"/>
        <v>144</v>
      </c>
    </row>
    <row r="88" spans="1:40" x14ac:dyDescent="0.25">
      <c r="A88" s="49"/>
      <c r="B88" s="9" t="s">
        <v>44</v>
      </c>
      <c r="C88" s="9">
        <f>500</f>
        <v>500</v>
      </c>
      <c r="D88" s="9">
        <v>8</v>
      </c>
      <c r="E88" s="9">
        <v>100</v>
      </c>
      <c r="F88" s="29">
        <f t="shared" si="94"/>
        <v>166.40060149170563</v>
      </c>
      <c r="G88" s="30">
        <f t="shared" si="95"/>
        <v>539.32500000000005</v>
      </c>
      <c r="H88" s="30">
        <f t="shared" si="98"/>
        <v>166.40060149170563</v>
      </c>
      <c r="I88" s="30">
        <f t="shared" si="96"/>
        <v>136.75514109075959</v>
      </c>
      <c r="J88" s="32" t="str">
        <f t="shared" si="99"/>
        <v>OK</v>
      </c>
      <c r="N88" s="2">
        <f t="shared" si="97"/>
        <v>144</v>
      </c>
    </row>
    <row r="89" spans="1:40" x14ac:dyDescent="0.25">
      <c r="A89" s="48">
        <v>3</v>
      </c>
      <c r="B89" s="9" t="s">
        <v>43</v>
      </c>
      <c r="C89" s="9">
        <f>500</f>
        <v>500</v>
      </c>
      <c r="D89" s="9">
        <v>8</v>
      </c>
      <c r="E89" s="9">
        <v>100</v>
      </c>
      <c r="F89" s="29">
        <f t="shared" si="94"/>
        <v>166.40060149170563</v>
      </c>
      <c r="G89" s="30">
        <f t="shared" si="95"/>
        <v>539.32500000000005</v>
      </c>
      <c r="H89" s="30">
        <f t="shared" si="98"/>
        <v>166.40060149170563</v>
      </c>
      <c r="I89" s="30">
        <f t="shared" si="96"/>
        <v>121.6471710537549</v>
      </c>
      <c r="J89" s="32" t="str">
        <f t="shared" si="99"/>
        <v>OK</v>
      </c>
      <c r="N89" s="2">
        <f t="shared" si="97"/>
        <v>144</v>
      </c>
    </row>
    <row r="90" spans="1:40" x14ac:dyDescent="0.25">
      <c r="A90" s="49"/>
      <c r="B90" s="9" t="s">
        <v>44</v>
      </c>
      <c r="C90" s="9">
        <f>500</f>
        <v>500</v>
      </c>
      <c r="D90" s="9">
        <v>8</v>
      </c>
      <c r="E90" s="9">
        <v>100</v>
      </c>
      <c r="F90" s="29">
        <f t="shared" si="94"/>
        <v>166.40060149170563</v>
      </c>
      <c r="G90" s="30">
        <f t="shared" si="95"/>
        <v>539.32500000000005</v>
      </c>
      <c r="H90" s="30">
        <f t="shared" si="98"/>
        <v>166.40060149170563</v>
      </c>
      <c r="I90" s="30">
        <f t="shared" si="96"/>
        <v>125.94474719030352</v>
      </c>
      <c r="J90" s="32" t="str">
        <f t="shared" si="99"/>
        <v>OK</v>
      </c>
      <c r="N90" s="2">
        <f t="shared" si="97"/>
        <v>144</v>
      </c>
      <c r="Z90" s="10"/>
      <c r="AA90" s="10"/>
    </row>
    <row r="91" spans="1:40" customFormat="1" x14ac:dyDescent="0.25">
      <c r="A91" s="48">
        <v>4</v>
      </c>
      <c r="B91" s="9" t="s">
        <v>43</v>
      </c>
      <c r="C91" s="9">
        <f>500</f>
        <v>500</v>
      </c>
      <c r="D91" s="9">
        <v>8</v>
      </c>
      <c r="E91" s="9">
        <v>100</v>
      </c>
      <c r="F91" s="29">
        <f t="shared" ref="F91:F92" si="100">(0.9*($AI$4-30)*(2*PI()*D91^2/4)/E91*$AI$6)/1000</f>
        <v>166.40060149170563</v>
      </c>
      <c r="G91" s="30">
        <f t="shared" si="95"/>
        <v>539.32500000000005</v>
      </c>
      <c r="H91" s="30">
        <f t="shared" ref="H91:H92" si="101">MIN(F91:G91)</f>
        <v>166.40060149170563</v>
      </c>
      <c r="I91" s="30">
        <f t="shared" si="96"/>
        <v>142.15062158682267</v>
      </c>
      <c r="J91" s="32" t="str">
        <f t="shared" ref="J91:J92" si="102">IF(H91&gt;I91,"OK","NO")</f>
        <v>OK</v>
      </c>
      <c r="K91" s="2"/>
      <c r="L91" s="2"/>
      <c r="M91" s="2"/>
      <c r="N91" s="2"/>
      <c r="W91" s="2"/>
      <c r="X91" s="2"/>
      <c r="Y91" s="2"/>
      <c r="Z91" s="10"/>
      <c r="AA91" s="10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customFormat="1" x14ac:dyDescent="0.25">
      <c r="A92" s="49"/>
      <c r="B92" s="9" t="s">
        <v>44</v>
      </c>
      <c r="C92" s="9">
        <f>500</f>
        <v>500</v>
      </c>
      <c r="D92" s="9">
        <v>8</v>
      </c>
      <c r="E92" s="9">
        <v>100</v>
      </c>
      <c r="F92" s="29">
        <f t="shared" si="100"/>
        <v>166.40060149170563</v>
      </c>
      <c r="G92" s="30">
        <f t="shared" si="95"/>
        <v>539.32500000000005</v>
      </c>
      <c r="H92" s="30">
        <f t="shared" si="101"/>
        <v>166.40060149170563</v>
      </c>
      <c r="I92" s="30">
        <f t="shared" si="96"/>
        <v>142.15062158682267</v>
      </c>
      <c r="J92" s="32" t="str">
        <f t="shared" si="102"/>
        <v>OK</v>
      </c>
      <c r="K92" s="2"/>
      <c r="L92" s="2"/>
      <c r="M92" s="2"/>
      <c r="N92" s="2"/>
      <c r="R92" t="s">
        <v>105</v>
      </c>
      <c r="T92" s="41">
        <f>RADIANS(45)</f>
        <v>0.78539816339744828</v>
      </c>
      <c r="W92" s="2"/>
      <c r="X92" s="2"/>
      <c r="Y92" s="2"/>
      <c r="Z92" s="10"/>
      <c r="AA92" s="10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customFormat="1" ht="18" x14ac:dyDescent="0.35">
      <c r="A93" s="7" t="s">
        <v>91</v>
      </c>
      <c r="B93" s="36" t="s">
        <v>42</v>
      </c>
      <c r="C93" s="7" t="s">
        <v>67</v>
      </c>
      <c r="D93" s="7" t="s">
        <v>98</v>
      </c>
      <c r="E93" s="7" t="s">
        <v>97</v>
      </c>
      <c r="F93" s="44" t="s">
        <v>99</v>
      </c>
      <c r="G93" s="7" t="s">
        <v>100</v>
      </c>
      <c r="H93" s="7" t="s">
        <v>101</v>
      </c>
      <c r="I93" s="7" t="s">
        <v>102</v>
      </c>
      <c r="J93" s="2"/>
      <c r="K93" s="2"/>
      <c r="L93" s="2"/>
      <c r="M93" s="2"/>
      <c r="N93" s="2">
        <f t="shared" ref="N93:N98" si="103">8*E11</f>
        <v>0</v>
      </c>
      <c r="W93" s="2"/>
      <c r="X93" s="2"/>
      <c r="Y93" s="2"/>
      <c r="Z93" s="10"/>
      <c r="AA93" s="10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customFormat="1" x14ac:dyDescent="0.25">
      <c r="A94" s="7" t="s">
        <v>40</v>
      </c>
      <c r="B94" s="37"/>
      <c r="C94" s="7" t="s">
        <v>2</v>
      </c>
      <c r="D94" s="7" t="s">
        <v>2</v>
      </c>
      <c r="E94" s="7" t="s">
        <v>2</v>
      </c>
      <c r="F94" s="44" t="s">
        <v>59</v>
      </c>
      <c r="G94" s="7" t="s">
        <v>59</v>
      </c>
      <c r="H94" s="7" t="s">
        <v>59</v>
      </c>
      <c r="I94" s="7" t="s">
        <v>59</v>
      </c>
      <c r="J94" s="2"/>
      <c r="K94" s="2"/>
      <c r="L94" s="2"/>
      <c r="M94" s="2"/>
      <c r="N94" s="2" t="e">
        <f t="shared" si="103"/>
        <v>#VALUE!</v>
      </c>
      <c r="P94" s="9">
        <v>200</v>
      </c>
      <c r="Q94" s="15">
        <f>ASIN(SQRT(2*D86^2/4*PI()*$AI$6/($AI$3*P94*0.5*$AI$14)))</f>
        <v>0.28142992578748771</v>
      </c>
      <c r="R94" s="29">
        <f t="shared" ref="R94:R98" si="104">DEGREES(Q94)</f>
        <v>16.124746976303015</v>
      </c>
      <c r="T94" s="29">
        <f t="shared" ref="T94:T98" si="105">21.8</f>
        <v>21.8</v>
      </c>
      <c r="U94" s="29">
        <f t="shared" ref="U94:U98" si="106">RADIANS(T94)</f>
        <v>0.38048177693476387</v>
      </c>
      <c r="V94" s="30">
        <f t="shared" ref="V94:V98" si="107">(0.9*($AI$4-30)*(2*PI()*8^2/4)/P94*$AI$6)/1000*_xlfn.COT(U94)</f>
        <v>208.01559165805625</v>
      </c>
      <c r="W94" s="30">
        <f t="shared" ref="W94:W98" si="108">(0.9*($AI$4-30)*$AI$3*0.5*$AI$14)*(_xlfn.COT(U94))/(1+_xlfn.COT(U94)^2)/1000</f>
        <v>371.92906042524015</v>
      </c>
      <c r="X94" s="30">
        <f t="shared" ref="X94:X98" si="109">MIN(V94:W94)</f>
        <v>208.01559165805625</v>
      </c>
      <c r="Y94" s="2"/>
      <c r="Z94" s="10"/>
      <c r="AA94" s="10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customFormat="1" x14ac:dyDescent="0.25">
      <c r="A95" s="48">
        <v>1</v>
      </c>
      <c r="B95" s="9" t="s">
        <v>43</v>
      </c>
      <c r="C95" s="9">
        <f>500</f>
        <v>500</v>
      </c>
      <c r="D95" s="9">
        <v>8</v>
      </c>
      <c r="E95" s="9">
        <v>100</v>
      </c>
      <c r="F95" s="29">
        <f t="shared" ref="F95:F102" si="110">(0.9*($AI$4-30)*(2*PI()*D95^2/4)/E95*$AI$6)/1000</f>
        <v>166.40060149170563</v>
      </c>
      <c r="G95" s="30">
        <f t="shared" ref="G95:G102" si="111">(0.9*($AI$4-30)*$AI$3*0.5*$AI$14*0.5)/1000</f>
        <v>539.32500000000005</v>
      </c>
      <c r="H95" s="30">
        <f>MIN(F95:G95)</f>
        <v>166.40060149170563</v>
      </c>
      <c r="I95" s="30">
        <f t="shared" ref="I95:I102" si="112">MAX(ABS(G59),ABS(H59))</f>
        <v>142.60564281372368</v>
      </c>
      <c r="J95" s="32" t="str">
        <f>IF(H95&gt;I95,"OK","NO")</f>
        <v>OK</v>
      </c>
      <c r="K95" s="2"/>
      <c r="L95" s="2"/>
      <c r="M95" s="2"/>
      <c r="N95" s="2">
        <f t="shared" si="103"/>
        <v>144</v>
      </c>
      <c r="P95" s="9">
        <v>200</v>
      </c>
      <c r="Q95" s="15">
        <f>ASIN(SQRT(2*D87^2/4*PI()*$AI$6/($AI$3*P95*0.5*$AI$14)))</f>
        <v>0.28142992578748771</v>
      </c>
      <c r="R95" s="29">
        <f t="shared" si="104"/>
        <v>16.124746976303015</v>
      </c>
      <c r="T95" s="29">
        <f t="shared" si="105"/>
        <v>21.8</v>
      </c>
      <c r="U95" s="29">
        <f t="shared" si="106"/>
        <v>0.38048177693476387</v>
      </c>
      <c r="V95" s="30">
        <f t="shared" si="107"/>
        <v>208.01559165805625</v>
      </c>
      <c r="W95" s="30">
        <f t="shared" si="108"/>
        <v>371.92906042524015</v>
      </c>
      <c r="X95" s="30">
        <f t="shared" si="109"/>
        <v>208.01559165805625</v>
      </c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customFormat="1" x14ac:dyDescent="0.25">
      <c r="A96" s="49"/>
      <c r="B96" s="9" t="s">
        <v>44</v>
      </c>
      <c r="C96" s="9">
        <f>500</f>
        <v>500</v>
      </c>
      <c r="D96" s="9">
        <v>8</v>
      </c>
      <c r="E96" s="9">
        <v>100</v>
      </c>
      <c r="F96" s="29">
        <f t="shared" si="110"/>
        <v>166.40060149170563</v>
      </c>
      <c r="G96" s="30">
        <f t="shared" si="111"/>
        <v>539.32500000000005</v>
      </c>
      <c r="H96" s="30">
        <f t="shared" ref="H96:H102" si="113">MIN(F96:G96)</f>
        <v>166.40060149170563</v>
      </c>
      <c r="I96" s="30">
        <f t="shared" si="112"/>
        <v>136.30011986385855</v>
      </c>
      <c r="J96" s="32" t="str">
        <f t="shared" ref="J96:J102" si="114">IF(H96&gt;I96,"OK","NO")</f>
        <v>OK</v>
      </c>
      <c r="K96" s="2"/>
      <c r="L96" s="2"/>
      <c r="M96" s="2"/>
      <c r="N96" s="2">
        <f t="shared" si="103"/>
        <v>144</v>
      </c>
      <c r="P96" s="9">
        <v>200</v>
      </c>
      <c r="Q96" s="15">
        <f>ASIN(SQRT(2*D88^2/4*PI()*$AI$6/($AI$3*P96*0.5*$AI$14)))</f>
        <v>0.28142992578748771</v>
      </c>
      <c r="R96" s="29">
        <f t="shared" si="104"/>
        <v>16.124746976303015</v>
      </c>
      <c r="T96" s="29">
        <f t="shared" si="105"/>
        <v>21.8</v>
      </c>
      <c r="U96" s="29">
        <f t="shared" si="106"/>
        <v>0.38048177693476387</v>
      </c>
      <c r="V96" s="30">
        <f t="shared" si="107"/>
        <v>208.01559165805625</v>
      </c>
      <c r="W96" s="30">
        <f t="shared" si="108"/>
        <v>371.92906042524015</v>
      </c>
      <c r="X96" s="30">
        <f t="shared" si="109"/>
        <v>208.01559165805625</v>
      </c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customFormat="1" x14ac:dyDescent="0.25">
      <c r="A97" s="48">
        <v>2</v>
      </c>
      <c r="B97" s="9" t="s">
        <v>43</v>
      </c>
      <c r="C97" s="9">
        <f>500</f>
        <v>500</v>
      </c>
      <c r="D97" s="9">
        <v>8</v>
      </c>
      <c r="E97" s="9">
        <v>100</v>
      </c>
      <c r="F97" s="29">
        <f t="shared" si="110"/>
        <v>166.40060149170563</v>
      </c>
      <c r="G97" s="30">
        <f t="shared" si="111"/>
        <v>539.32500000000005</v>
      </c>
      <c r="H97" s="30">
        <f t="shared" si="113"/>
        <v>166.40060149170563</v>
      </c>
      <c r="I97" s="30">
        <f t="shared" si="112"/>
        <v>136.75514109075959</v>
      </c>
      <c r="J97" s="32" t="str">
        <f t="shared" si="114"/>
        <v>OK</v>
      </c>
      <c r="K97" s="2"/>
      <c r="L97" s="2"/>
      <c r="M97" s="2"/>
      <c r="N97" s="2">
        <f t="shared" si="103"/>
        <v>144</v>
      </c>
      <c r="P97" s="9">
        <v>200</v>
      </c>
      <c r="Q97" s="15">
        <f>ASIN(SQRT(2*D89^2/4*PI()*$AI$6/($AI$3*P97*0.5*$AI$14)))</f>
        <v>0.28142992578748771</v>
      </c>
      <c r="R97" s="29">
        <f t="shared" si="104"/>
        <v>16.124746976303015</v>
      </c>
      <c r="T97" s="29">
        <f t="shared" si="105"/>
        <v>21.8</v>
      </c>
      <c r="U97" s="29">
        <f t="shared" si="106"/>
        <v>0.38048177693476387</v>
      </c>
      <c r="V97" s="30">
        <f t="shared" si="107"/>
        <v>208.01559165805625</v>
      </c>
      <c r="W97" s="30">
        <f t="shared" si="108"/>
        <v>371.92906042524015</v>
      </c>
      <c r="X97" s="30">
        <f t="shared" si="109"/>
        <v>208.01559165805625</v>
      </c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customFormat="1" x14ac:dyDescent="0.25">
      <c r="A98" s="49"/>
      <c r="B98" s="9" t="s">
        <v>44</v>
      </c>
      <c r="C98" s="9">
        <f>500</f>
        <v>500</v>
      </c>
      <c r="D98" s="9">
        <v>8</v>
      </c>
      <c r="E98" s="9">
        <v>100</v>
      </c>
      <c r="F98" s="29">
        <f t="shared" si="110"/>
        <v>166.40060149170563</v>
      </c>
      <c r="G98" s="30">
        <f t="shared" si="111"/>
        <v>539.32500000000005</v>
      </c>
      <c r="H98" s="30">
        <f t="shared" si="113"/>
        <v>166.40060149170563</v>
      </c>
      <c r="I98" s="30">
        <f t="shared" si="112"/>
        <v>136.75514109075959</v>
      </c>
      <c r="J98" s="32" t="str">
        <f t="shared" si="114"/>
        <v>OK</v>
      </c>
      <c r="K98" s="2"/>
      <c r="L98" s="2"/>
      <c r="M98" s="2"/>
      <c r="N98" s="2">
        <f t="shared" si="103"/>
        <v>144</v>
      </c>
      <c r="P98" s="9">
        <v>200</v>
      </c>
      <c r="Q98" s="15">
        <f>ASIN(SQRT(2*D90^2/4*PI()*$AI$6/($AI$3*P98*0.5*$AI$14)))</f>
        <v>0.28142992578748771</v>
      </c>
      <c r="R98" s="29">
        <f t="shared" si="104"/>
        <v>16.124746976303015</v>
      </c>
      <c r="T98" s="29">
        <f t="shared" si="105"/>
        <v>21.8</v>
      </c>
      <c r="U98" s="29">
        <f t="shared" si="106"/>
        <v>0.38048177693476387</v>
      </c>
      <c r="V98" s="30">
        <f t="shared" si="107"/>
        <v>208.01559165805625</v>
      </c>
      <c r="W98" s="30">
        <f t="shared" si="108"/>
        <v>371.92906042524015</v>
      </c>
      <c r="X98" s="30">
        <f t="shared" si="109"/>
        <v>208.01559165805625</v>
      </c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customFormat="1" x14ac:dyDescent="0.25">
      <c r="A99" s="48">
        <v>3</v>
      </c>
      <c r="B99" s="9" t="s">
        <v>43</v>
      </c>
      <c r="C99" s="9">
        <f>500</f>
        <v>500</v>
      </c>
      <c r="D99" s="9">
        <v>8</v>
      </c>
      <c r="E99" s="9">
        <v>100</v>
      </c>
      <c r="F99" s="29">
        <f t="shared" si="110"/>
        <v>166.40060149170563</v>
      </c>
      <c r="G99" s="30">
        <f t="shared" si="111"/>
        <v>539.32500000000005</v>
      </c>
      <c r="H99" s="30">
        <f t="shared" si="113"/>
        <v>166.40060149170563</v>
      </c>
      <c r="I99" s="30">
        <f t="shared" si="112"/>
        <v>121.83396621436991</v>
      </c>
      <c r="J99" s="32" t="str">
        <f t="shared" si="114"/>
        <v>OK</v>
      </c>
      <c r="K99" s="2"/>
      <c r="L99" s="2"/>
      <c r="M99" s="2"/>
      <c r="N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customFormat="1" x14ac:dyDescent="0.25">
      <c r="A100" s="49"/>
      <c r="B100" s="9" t="s">
        <v>44</v>
      </c>
      <c r="C100" s="9">
        <f>500</f>
        <v>500</v>
      </c>
      <c r="D100" s="9">
        <v>8</v>
      </c>
      <c r="E100" s="9">
        <v>100</v>
      </c>
      <c r="F100" s="29">
        <f t="shared" si="110"/>
        <v>166.40060149170563</v>
      </c>
      <c r="G100" s="30">
        <f t="shared" si="111"/>
        <v>539.32500000000005</v>
      </c>
      <c r="H100" s="30">
        <f t="shared" si="113"/>
        <v>166.40060149170563</v>
      </c>
      <c r="I100" s="30">
        <f t="shared" si="112"/>
        <v>121.83396621436991</v>
      </c>
      <c r="J100" s="32" t="str">
        <f t="shared" si="114"/>
        <v>OK</v>
      </c>
      <c r="K100" s="2"/>
      <c r="L100" s="2"/>
      <c r="M100" s="2"/>
      <c r="N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customFormat="1" x14ac:dyDescent="0.25">
      <c r="A101" s="48">
        <v>4</v>
      </c>
      <c r="B101" s="9" t="s">
        <v>43</v>
      </c>
      <c r="C101" s="9">
        <f>500</f>
        <v>500</v>
      </c>
      <c r="D101" s="9">
        <v>8</v>
      </c>
      <c r="E101" s="9">
        <v>100</v>
      </c>
      <c r="F101" s="29">
        <f t="shared" si="110"/>
        <v>166.40060149170563</v>
      </c>
      <c r="G101" s="30">
        <f t="shared" si="111"/>
        <v>539.32500000000005</v>
      </c>
      <c r="H101" s="30">
        <f t="shared" si="113"/>
        <v>166.40060149170563</v>
      </c>
      <c r="I101" s="30">
        <f t="shared" si="112"/>
        <v>136.30011986385855</v>
      </c>
      <c r="J101" s="32" t="str">
        <f t="shared" si="114"/>
        <v>OK</v>
      </c>
      <c r="K101" s="2"/>
      <c r="L101" s="2"/>
      <c r="M101" s="2"/>
      <c r="N101" s="2">
        <f>8*E19</f>
        <v>144</v>
      </c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customFormat="1" x14ac:dyDescent="0.25">
      <c r="A102" s="49"/>
      <c r="B102" s="9" t="s">
        <v>44</v>
      </c>
      <c r="C102" s="9">
        <f>500</f>
        <v>500</v>
      </c>
      <c r="D102" s="9">
        <v>8</v>
      </c>
      <c r="E102" s="9">
        <v>100</v>
      </c>
      <c r="F102" s="29">
        <f t="shared" si="110"/>
        <v>166.40060149170563</v>
      </c>
      <c r="G102" s="30">
        <f t="shared" si="111"/>
        <v>539.32500000000005</v>
      </c>
      <c r="H102" s="30">
        <f t="shared" si="113"/>
        <v>166.40060149170563</v>
      </c>
      <c r="I102" s="30">
        <f t="shared" si="112"/>
        <v>142.60564281372368</v>
      </c>
      <c r="J102" s="32" t="str">
        <f t="shared" si="114"/>
        <v>OK</v>
      </c>
      <c r="K102" s="2"/>
      <c r="L102" s="2"/>
      <c r="M102" s="2"/>
      <c r="N102" s="2">
        <f>8*C20</f>
        <v>160</v>
      </c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customFormat="1" ht="18" x14ac:dyDescent="0.35">
      <c r="A103" s="7" t="s">
        <v>92</v>
      </c>
      <c r="B103" s="36" t="s">
        <v>42</v>
      </c>
      <c r="C103" s="7" t="s">
        <v>67</v>
      </c>
      <c r="D103" s="7" t="s">
        <v>98</v>
      </c>
      <c r="E103" s="7" t="s">
        <v>97</v>
      </c>
      <c r="F103" s="44" t="s">
        <v>99</v>
      </c>
      <c r="G103" s="7" t="s">
        <v>100</v>
      </c>
      <c r="H103" s="7" t="s">
        <v>101</v>
      </c>
      <c r="I103" s="7" t="s">
        <v>102</v>
      </c>
      <c r="J103" s="2"/>
      <c r="K103" s="2"/>
      <c r="L103" s="2"/>
      <c r="M103" s="2"/>
      <c r="N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customFormat="1" x14ac:dyDescent="0.25">
      <c r="A104" s="7" t="s">
        <v>40</v>
      </c>
      <c r="B104" s="37"/>
      <c r="C104" s="7" t="s">
        <v>2</v>
      </c>
      <c r="D104" s="7" t="s">
        <v>2</v>
      </c>
      <c r="E104" s="7" t="s">
        <v>2</v>
      </c>
      <c r="F104" s="44" t="s">
        <v>59</v>
      </c>
      <c r="G104" s="7" t="s">
        <v>59</v>
      </c>
      <c r="H104" s="7" t="s">
        <v>59</v>
      </c>
      <c r="I104" s="7" t="s">
        <v>59</v>
      </c>
      <c r="J104" s="2"/>
      <c r="K104" s="2"/>
      <c r="L104" s="2"/>
      <c r="M104" s="2"/>
      <c r="N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customFormat="1" x14ac:dyDescent="0.25">
      <c r="A105" s="48">
        <v>1</v>
      </c>
      <c r="B105" s="9" t="s">
        <v>43</v>
      </c>
      <c r="C105" s="9">
        <f>500</f>
        <v>500</v>
      </c>
      <c r="D105" s="9">
        <v>8</v>
      </c>
      <c r="E105" s="9">
        <v>100</v>
      </c>
      <c r="F105" s="29">
        <f t="shared" ref="F105:F112" si="115">(0.9*($AI$4-30)*(2*PI()*D105^2/4)/E105*$AI$6)/1000</f>
        <v>166.40060149170563</v>
      </c>
      <c r="G105" s="30">
        <f t="shared" ref="G105:G112" si="116">(0.9*($AI$4-30)*$AI$3*0.5*$AI$14*0.5)/1000</f>
        <v>539.32500000000005</v>
      </c>
      <c r="H105" s="30">
        <f>MIN(F105:G105)</f>
        <v>166.40060149170563</v>
      </c>
      <c r="I105" s="30">
        <f t="shared" ref="I105:I112" si="117">MAX(ABS(G69),ABS(H69))</f>
        <v>109.73729856974902</v>
      </c>
      <c r="J105" s="32" t="str">
        <f>IF(H105&gt;I105,"OK","NO")</f>
        <v>OK</v>
      </c>
      <c r="K105" s="2"/>
      <c r="L105" s="2"/>
      <c r="M105" s="2"/>
      <c r="N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customFormat="1" x14ac:dyDescent="0.25">
      <c r="A106" s="49"/>
      <c r="B106" s="9" t="s">
        <v>44</v>
      </c>
      <c r="C106" s="9">
        <f>500</f>
        <v>500</v>
      </c>
      <c r="D106" s="9">
        <v>8</v>
      </c>
      <c r="E106" s="9">
        <v>100</v>
      </c>
      <c r="F106" s="29">
        <f t="shared" si="115"/>
        <v>166.40060149170563</v>
      </c>
      <c r="G106" s="30">
        <f t="shared" si="116"/>
        <v>539.32500000000005</v>
      </c>
      <c r="H106" s="30">
        <f t="shared" ref="H106:H112" si="118">MIN(F106:G106)</f>
        <v>166.40060149170563</v>
      </c>
      <c r="I106" s="30">
        <f t="shared" si="117"/>
        <v>105.55858878582659</v>
      </c>
      <c r="J106" s="32" t="str">
        <f t="shared" ref="J106:J112" si="119">IF(H106&gt;I106,"OK","NO")</f>
        <v>OK</v>
      </c>
      <c r="K106" s="2"/>
      <c r="L106" s="2"/>
      <c r="M106" s="2"/>
      <c r="N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customFormat="1" x14ac:dyDescent="0.25">
      <c r="A107" s="48">
        <v>2</v>
      </c>
      <c r="B107" s="9" t="s">
        <v>43</v>
      </c>
      <c r="C107" s="9">
        <f>500</f>
        <v>500</v>
      </c>
      <c r="D107" s="9">
        <v>8</v>
      </c>
      <c r="E107" s="9">
        <v>100</v>
      </c>
      <c r="F107" s="29">
        <f t="shared" si="115"/>
        <v>166.40060149170563</v>
      </c>
      <c r="G107" s="30">
        <f t="shared" si="116"/>
        <v>539.32500000000005</v>
      </c>
      <c r="H107" s="30">
        <f t="shared" si="118"/>
        <v>166.40060149170563</v>
      </c>
      <c r="I107" s="30">
        <f t="shared" si="117"/>
        <v>105.80212140281887</v>
      </c>
      <c r="J107" s="32" t="str">
        <f t="shared" si="119"/>
        <v>OK</v>
      </c>
      <c r="K107" s="2"/>
      <c r="L107" s="2"/>
      <c r="M107" s="2"/>
      <c r="N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customFormat="1" x14ac:dyDescent="0.25">
      <c r="A108" s="49"/>
      <c r="B108" s="9" t="s">
        <v>44</v>
      </c>
      <c r="C108" s="9">
        <f>500</f>
        <v>500</v>
      </c>
      <c r="D108" s="9">
        <v>8</v>
      </c>
      <c r="E108" s="9">
        <v>100</v>
      </c>
      <c r="F108" s="29">
        <f t="shared" si="115"/>
        <v>166.40060149170563</v>
      </c>
      <c r="G108" s="30">
        <f t="shared" si="116"/>
        <v>539.32500000000005</v>
      </c>
      <c r="H108" s="30">
        <f t="shared" si="118"/>
        <v>166.40060149170563</v>
      </c>
      <c r="I108" s="30">
        <f t="shared" si="117"/>
        <v>105.80212140281887</v>
      </c>
      <c r="J108" s="32" t="str">
        <f t="shared" si="119"/>
        <v>OK</v>
      </c>
      <c r="K108" s="2"/>
      <c r="L108" s="2"/>
      <c r="M108" s="2"/>
      <c r="N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customFormat="1" x14ac:dyDescent="0.25">
      <c r="A109" s="48">
        <v>3</v>
      </c>
      <c r="B109" s="9" t="s">
        <v>43</v>
      </c>
      <c r="C109" s="9">
        <f>500</f>
        <v>500</v>
      </c>
      <c r="D109" s="9">
        <v>8</v>
      </c>
      <c r="E109" s="9">
        <v>100</v>
      </c>
      <c r="F109" s="29">
        <f t="shared" si="115"/>
        <v>166.40060149170563</v>
      </c>
      <c r="G109" s="30">
        <f t="shared" si="116"/>
        <v>539.32500000000005</v>
      </c>
      <c r="H109" s="30">
        <f t="shared" si="118"/>
        <v>166.40060149170563</v>
      </c>
      <c r="I109" s="30">
        <f t="shared" si="117"/>
        <v>105.93149738386828</v>
      </c>
      <c r="J109" s="32" t="str">
        <f t="shared" si="119"/>
        <v>OK</v>
      </c>
      <c r="K109" s="2"/>
      <c r="L109" s="2"/>
      <c r="M109" s="2"/>
      <c r="N109" s="2" t="e">
        <f>8*C21</f>
        <v>#VALUE!</v>
      </c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customFormat="1" x14ac:dyDescent="0.25">
      <c r="A110" s="49"/>
      <c r="B110" s="9" t="s">
        <v>44</v>
      </c>
      <c r="C110" s="9">
        <f>500</f>
        <v>500</v>
      </c>
      <c r="D110" s="9">
        <v>8</v>
      </c>
      <c r="E110" s="9">
        <v>100</v>
      </c>
      <c r="F110" s="29">
        <f t="shared" si="115"/>
        <v>166.40060149170563</v>
      </c>
      <c r="G110" s="30">
        <f t="shared" si="116"/>
        <v>539.32500000000005</v>
      </c>
      <c r="H110" s="30">
        <f t="shared" si="118"/>
        <v>166.40060149170563</v>
      </c>
      <c r="I110" s="30">
        <f t="shared" si="117"/>
        <v>105.93149738386828</v>
      </c>
      <c r="J110" s="32" t="str">
        <f t="shared" si="119"/>
        <v>OK</v>
      </c>
      <c r="K110" s="2"/>
      <c r="L110" s="2"/>
      <c r="M110" s="2"/>
      <c r="N110" s="2" t="e">
        <f>8*C22</f>
        <v>#VALUE!</v>
      </c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customFormat="1" x14ac:dyDescent="0.25">
      <c r="A111" s="48">
        <v>4</v>
      </c>
      <c r="B111" s="9" t="s">
        <v>43</v>
      </c>
      <c r="C111" s="9">
        <f>500</f>
        <v>500</v>
      </c>
      <c r="D111" s="9">
        <v>8</v>
      </c>
      <c r="E111" s="9">
        <v>100</v>
      </c>
      <c r="F111" s="29">
        <f t="shared" si="115"/>
        <v>166.40060149170563</v>
      </c>
      <c r="G111" s="30">
        <f t="shared" si="116"/>
        <v>539.32500000000005</v>
      </c>
      <c r="H111" s="30">
        <f t="shared" si="118"/>
        <v>166.40060149170563</v>
      </c>
      <c r="I111" s="30">
        <f t="shared" si="117"/>
        <v>105.55858878582659</v>
      </c>
      <c r="J111" s="32" t="str">
        <f t="shared" si="119"/>
        <v>OK</v>
      </c>
      <c r="K111" s="2"/>
      <c r="L111" s="2"/>
      <c r="M111" s="2"/>
      <c r="N111" s="2">
        <f>8*C23</f>
        <v>144</v>
      </c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customFormat="1" x14ac:dyDescent="0.25">
      <c r="A112" s="49"/>
      <c r="B112" s="9" t="s">
        <v>44</v>
      </c>
      <c r="C112" s="9">
        <f>500</f>
        <v>500</v>
      </c>
      <c r="D112" s="9">
        <v>8</v>
      </c>
      <c r="E112" s="9">
        <v>100</v>
      </c>
      <c r="F112" s="29">
        <f t="shared" si="115"/>
        <v>166.40060149170563</v>
      </c>
      <c r="G112" s="30">
        <f t="shared" si="116"/>
        <v>539.32500000000005</v>
      </c>
      <c r="H112" s="30">
        <f t="shared" si="118"/>
        <v>166.40060149170563</v>
      </c>
      <c r="I112" s="30">
        <f t="shared" si="117"/>
        <v>109.73729856974902</v>
      </c>
      <c r="J112" s="32" t="str">
        <f t="shared" si="119"/>
        <v>OK</v>
      </c>
      <c r="K112" s="2"/>
      <c r="L112" s="2"/>
      <c r="M112" s="2"/>
      <c r="N112" s="2">
        <f>8*E24</f>
        <v>96</v>
      </c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5" spans="1:10" ht="26.25" x14ac:dyDescent="0.4">
      <c r="A115" s="50" t="s">
        <v>83</v>
      </c>
      <c r="B115" s="50"/>
      <c r="C115" s="50"/>
      <c r="D115" s="50"/>
      <c r="E115" s="50"/>
      <c r="F115" s="50"/>
      <c r="G115" s="50"/>
      <c r="H115" s="50"/>
      <c r="I115" s="50"/>
      <c r="J115" s="50"/>
    </row>
    <row r="116" spans="1:10" x14ac:dyDescent="0.25">
      <c r="A116" s="2" t="s">
        <v>82</v>
      </c>
      <c r="B116" s="2">
        <f>1.2*(2*3.9)</f>
        <v>9.36</v>
      </c>
    </row>
    <row r="118" spans="1:10" x14ac:dyDescent="0.25">
      <c r="A118" s="7" t="s">
        <v>90</v>
      </c>
      <c r="B118" s="36" t="s">
        <v>42</v>
      </c>
      <c r="C118" s="33" t="s">
        <v>15</v>
      </c>
      <c r="D118" s="33" t="s">
        <v>16</v>
      </c>
      <c r="E118" s="7" t="s">
        <v>81</v>
      </c>
    </row>
    <row r="119" spans="1:10" x14ac:dyDescent="0.25">
      <c r="A119" s="7" t="s">
        <v>40</v>
      </c>
      <c r="B119" s="37"/>
      <c r="C119" s="7" t="s">
        <v>6</v>
      </c>
      <c r="D119" s="7" t="s">
        <v>6</v>
      </c>
      <c r="E119" s="18" t="s">
        <v>27</v>
      </c>
    </row>
    <row r="120" spans="1:10" x14ac:dyDescent="0.25">
      <c r="A120" s="48">
        <v>1</v>
      </c>
      <c r="B120" s="9" t="s">
        <v>43</v>
      </c>
      <c r="C120" s="30">
        <f t="shared" ref="C120:C127" si="120">G3</f>
        <v>1137.2565405995051</v>
      </c>
      <c r="D120" s="30">
        <f t="shared" ref="D120:D127" si="121">L3</f>
        <v>1017.8760197630929</v>
      </c>
      <c r="E120" s="34">
        <f t="shared" ref="E120:E125" si="122">(C120-D120)/($AI$3*$AI$4)</f>
        <v>7.9587013890941463E-4</v>
      </c>
      <c r="F120" s="9">
        <f t="shared" ref="F120:F127" si="123">0.0018*$AI$14/($B$116*1.86/1000*$AI$6)</f>
        <v>4.491774653064975E-3</v>
      </c>
      <c r="G120" s="9" t="str">
        <f>IF(E120&lt;F120,"OK","NO")</f>
        <v>OK</v>
      </c>
    </row>
    <row r="121" spans="1:10" x14ac:dyDescent="0.25">
      <c r="A121" s="49"/>
      <c r="B121" s="9" t="s">
        <v>44</v>
      </c>
      <c r="C121" s="30">
        <f t="shared" si="120"/>
        <v>1017.8760197630929</v>
      </c>
      <c r="D121" s="30">
        <f t="shared" si="121"/>
        <v>1017.8760197630929</v>
      </c>
      <c r="E121" s="34">
        <f t="shared" si="122"/>
        <v>0</v>
      </c>
      <c r="F121" s="9">
        <f t="shared" si="123"/>
        <v>4.491774653064975E-3</v>
      </c>
      <c r="G121" s="9" t="str">
        <f t="shared" ref="G121:G125" si="124">IF(E121&lt;F121,"OK","NO")</f>
        <v>OK</v>
      </c>
    </row>
    <row r="122" spans="1:10" x14ac:dyDescent="0.25">
      <c r="A122" s="48">
        <v>2</v>
      </c>
      <c r="B122" s="9" t="s">
        <v>43</v>
      </c>
      <c r="C122" s="30">
        <f t="shared" si="120"/>
        <v>1017.8760197630929</v>
      </c>
      <c r="D122" s="30">
        <f t="shared" si="121"/>
        <v>1017.8760197630929</v>
      </c>
      <c r="E122" s="34">
        <f t="shared" si="122"/>
        <v>0</v>
      </c>
      <c r="F122" s="9">
        <f t="shared" si="123"/>
        <v>4.491774653064975E-3</v>
      </c>
      <c r="G122" s="9" t="str">
        <f t="shared" si="124"/>
        <v>OK</v>
      </c>
    </row>
    <row r="123" spans="1:10" x14ac:dyDescent="0.25">
      <c r="A123" s="49"/>
      <c r="B123" s="9" t="s">
        <v>44</v>
      </c>
      <c r="C123" s="30">
        <f t="shared" si="120"/>
        <v>1017.8760197630929</v>
      </c>
      <c r="D123" s="30">
        <f t="shared" si="121"/>
        <v>1017.8760197630929</v>
      </c>
      <c r="E123" s="34">
        <f t="shared" si="122"/>
        <v>0</v>
      </c>
      <c r="F123" s="9">
        <f t="shared" si="123"/>
        <v>4.491774653064975E-3</v>
      </c>
      <c r="G123" s="9" t="str">
        <f t="shared" si="124"/>
        <v>OK</v>
      </c>
    </row>
    <row r="124" spans="1:10" x14ac:dyDescent="0.25">
      <c r="A124" s="48">
        <v>3</v>
      </c>
      <c r="B124" s="9" t="s">
        <v>43</v>
      </c>
      <c r="C124" s="30">
        <f t="shared" si="120"/>
        <v>1017.8760197630929</v>
      </c>
      <c r="D124" s="30">
        <f t="shared" si="121"/>
        <v>816.81408993334617</v>
      </c>
      <c r="E124" s="34">
        <f t="shared" si="122"/>
        <v>1.3404128655316451E-3</v>
      </c>
      <c r="F124" s="9">
        <f t="shared" si="123"/>
        <v>4.491774653064975E-3</v>
      </c>
      <c r="G124" s="9" t="str">
        <f t="shared" si="124"/>
        <v>OK</v>
      </c>
    </row>
    <row r="125" spans="1:10" x14ac:dyDescent="0.25">
      <c r="A125" s="49"/>
      <c r="B125" s="9" t="s">
        <v>44</v>
      </c>
      <c r="C125" s="30">
        <f t="shared" si="120"/>
        <v>1137.2565405995051</v>
      </c>
      <c r="D125" s="30">
        <f t="shared" si="121"/>
        <v>816.81408993334617</v>
      </c>
      <c r="E125" s="34">
        <f t="shared" si="122"/>
        <v>2.1362830044410596E-3</v>
      </c>
      <c r="F125" s="9">
        <f t="shared" si="123"/>
        <v>4.491774653064975E-3</v>
      </c>
      <c r="G125" s="9" t="str">
        <f t="shared" si="124"/>
        <v>OK</v>
      </c>
    </row>
    <row r="126" spans="1:10" x14ac:dyDescent="0.25">
      <c r="A126" s="48">
        <v>4</v>
      </c>
      <c r="B126" s="9" t="s">
        <v>43</v>
      </c>
      <c r="C126" s="30">
        <f t="shared" si="120"/>
        <v>1137.2565405995051</v>
      </c>
      <c r="D126" s="30">
        <f t="shared" si="121"/>
        <v>1017.8760197630929</v>
      </c>
      <c r="E126" s="34">
        <f t="shared" ref="E126:E127" si="125">(C126-D126)/($AI$3*$AI$4)</f>
        <v>7.9587013890941463E-4</v>
      </c>
      <c r="F126" s="9">
        <f t="shared" si="123"/>
        <v>4.491774653064975E-3</v>
      </c>
      <c r="G126" s="9" t="str">
        <f t="shared" ref="G126:G127" si="126">IF(E126&lt;F126,"OK","NO")</f>
        <v>OK</v>
      </c>
    </row>
    <row r="127" spans="1:10" x14ac:dyDescent="0.25">
      <c r="A127" s="49"/>
      <c r="B127" s="9" t="s">
        <v>44</v>
      </c>
      <c r="C127" s="30">
        <f t="shared" si="120"/>
        <v>1137.2565405995051</v>
      </c>
      <c r="D127" s="30">
        <f t="shared" si="121"/>
        <v>1017.8760197630929</v>
      </c>
      <c r="E127" s="34">
        <f t="shared" si="125"/>
        <v>7.9587013890941463E-4</v>
      </c>
      <c r="F127" s="9">
        <f t="shared" si="123"/>
        <v>4.491774653064975E-3</v>
      </c>
      <c r="G127" s="9" t="str">
        <f t="shared" si="126"/>
        <v>OK</v>
      </c>
    </row>
    <row r="128" spans="1:10" x14ac:dyDescent="0.25">
      <c r="A128" s="7" t="s">
        <v>91</v>
      </c>
      <c r="B128" s="36" t="s">
        <v>42</v>
      </c>
      <c r="C128" s="33" t="s">
        <v>15</v>
      </c>
      <c r="D128" s="33" t="s">
        <v>16</v>
      </c>
      <c r="E128" s="7" t="s">
        <v>81</v>
      </c>
    </row>
    <row r="129" spans="1:7" x14ac:dyDescent="0.25">
      <c r="A129" s="7" t="s">
        <v>40</v>
      </c>
      <c r="B129" s="37"/>
      <c r="C129" s="7" t="s">
        <v>6</v>
      </c>
      <c r="D129" s="7" t="s">
        <v>6</v>
      </c>
      <c r="E129" s="18" t="s">
        <v>27</v>
      </c>
    </row>
    <row r="130" spans="1:7" x14ac:dyDescent="0.25">
      <c r="A130" s="48">
        <v>1</v>
      </c>
      <c r="B130" s="9" t="s">
        <v>43</v>
      </c>
      <c r="C130" s="30">
        <f t="shared" ref="C130:C137" si="127">G13</f>
        <v>1137.2565405995051</v>
      </c>
      <c r="D130" s="30">
        <f t="shared" ref="D130:D137" si="128">L13</f>
        <v>1017.8760197630929</v>
      </c>
      <c r="E130" s="34">
        <f t="shared" ref="E130:E137" si="129">(C130-D130)/($AI$3*$AI$4)</f>
        <v>7.9587013890941463E-4</v>
      </c>
      <c r="F130" s="9">
        <f t="shared" ref="F130:F137" si="130">0.0018*$AI$14/($B$116*1.86/1000*$AI$6)</f>
        <v>4.491774653064975E-3</v>
      </c>
      <c r="G130" s="9" t="str">
        <f>IF(E130&lt;F130,"OK","NO")</f>
        <v>OK</v>
      </c>
    </row>
    <row r="131" spans="1:7" x14ac:dyDescent="0.25">
      <c r="A131" s="49"/>
      <c r="B131" s="9" t="s">
        <v>44</v>
      </c>
      <c r="C131" s="30">
        <f t="shared" si="127"/>
        <v>1017.8760197630929</v>
      </c>
      <c r="D131" s="30">
        <f t="shared" si="128"/>
        <v>1017.8760197630929</v>
      </c>
      <c r="E131" s="34">
        <f t="shared" si="129"/>
        <v>0</v>
      </c>
      <c r="F131" s="9">
        <f t="shared" si="130"/>
        <v>4.491774653064975E-3</v>
      </c>
      <c r="G131" s="9" t="str">
        <f t="shared" ref="G131:G137" si="131">IF(E131&lt;F131,"OK","NO")</f>
        <v>OK</v>
      </c>
    </row>
    <row r="132" spans="1:7" x14ac:dyDescent="0.25">
      <c r="A132" s="48">
        <v>2</v>
      </c>
      <c r="B132" s="9" t="s">
        <v>43</v>
      </c>
      <c r="C132" s="30">
        <f t="shared" si="127"/>
        <v>1017.8760197630929</v>
      </c>
      <c r="D132" s="30">
        <f t="shared" si="128"/>
        <v>1017.8760197630929</v>
      </c>
      <c r="E132" s="34">
        <f t="shared" si="129"/>
        <v>0</v>
      </c>
      <c r="F132" s="9">
        <f t="shared" si="130"/>
        <v>4.491774653064975E-3</v>
      </c>
      <c r="G132" s="9" t="str">
        <f t="shared" si="131"/>
        <v>OK</v>
      </c>
    </row>
    <row r="133" spans="1:7" x14ac:dyDescent="0.25">
      <c r="A133" s="49"/>
      <c r="B133" s="9" t="s">
        <v>44</v>
      </c>
      <c r="C133" s="30">
        <f t="shared" si="127"/>
        <v>1017.8760197630929</v>
      </c>
      <c r="D133" s="30">
        <f t="shared" si="128"/>
        <v>1017.8760197630929</v>
      </c>
      <c r="E133" s="34">
        <f t="shared" si="129"/>
        <v>0</v>
      </c>
      <c r="F133" s="9">
        <f t="shared" si="130"/>
        <v>4.491774653064975E-3</v>
      </c>
      <c r="G133" s="9" t="str">
        <f t="shared" si="131"/>
        <v>OK</v>
      </c>
    </row>
    <row r="134" spans="1:7" x14ac:dyDescent="0.25">
      <c r="A134" s="48">
        <v>3</v>
      </c>
      <c r="B134" s="9" t="s">
        <v>43</v>
      </c>
      <c r="C134" s="30">
        <f t="shared" si="127"/>
        <v>1017.8760197630929</v>
      </c>
      <c r="D134" s="30">
        <f t="shared" si="128"/>
        <v>816.81408993334617</v>
      </c>
      <c r="E134" s="34">
        <f t="shared" si="129"/>
        <v>1.3404128655316451E-3</v>
      </c>
      <c r="F134" s="9">
        <f t="shared" si="130"/>
        <v>4.491774653064975E-3</v>
      </c>
      <c r="G134" s="9" t="str">
        <f t="shared" si="131"/>
        <v>OK</v>
      </c>
    </row>
    <row r="135" spans="1:7" x14ac:dyDescent="0.25">
      <c r="A135" s="49"/>
      <c r="B135" s="9" t="s">
        <v>44</v>
      </c>
      <c r="C135" s="30">
        <f t="shared" si="127"/>
        <v>1017.8760197630929</v>
      </c>
      <c r="D135" s="30">
        <f t="shared" si="128"/>
        <v>816.81408993334617</v>
      </c>
      <c r="E135" s="34">
        <f t="shared" si="129"/>
        <v>1.3404128655316451E-3</v>
      </c>
      <c r="F135" s="9">
        <f t="shared" si="130"/>
        <v>4.491774653064975E-3</v>
      </c>
      <c r="G135" s="9" t="str">
        <f t="shared" si="131"/>
        <v>OK</v>
      </c>
    </row>
    <row r="136" spans="1:7" x14ac:dyDescent="0.25">
      <c r="A136" s="48">
        <v>4</v>
      </c>
      <c r="B136" s="9" t="s">
        <v>43</v>
      </c>
      <c r="C136" s="30">
        <f t="shared" si="127"/>
        <v>1017.8760197630929</v>
      </c>
      <c r="D136" s="30">
        <f t="shared" si="128"/>
        <v>1017.8760197630929</v>
      </c>
      <c r="E136" s="34">
        <f t="shared" si="129"/>
        <v>0</v>
      </c>
      <c r="F136" s="9">
        <f t="shared" si="130"/>
        <v>4.491774653064975E-3</v>
      </c>
      <c r="G136" s="9" t="str">
        <f t="shared" si="131"/>
        <v>OK</v>
      </c>
    </row>
    <row r="137" spans="1:7" x14ac:dyDescent="0.25">
      <c r="A137" s="49"/>
      <c r="B137" s="9" t="s">
        <v>44</v>
      </c>
      <c r="C137" s="30">
        <f t="shared" si="127"/>
        <v>1137.2565405995051</v>
      </c>
      <c r="D137" s="30">
        <f t="shared" si="128"/>
        <v>1017.8760197630929</v>
      </c>
      <c r="E137" s="34">
        <f t="shared" si="129"/>
        <v>7.9587013890941463E-4</v>
      </c>
      <c r="F137" s="9">
        <f t="shared" si="130"/>
        <v>4.491774653064975E-3</v>
      </c>
      <c r="G137" s="9" t="str">
        <f t="shared" si="131"/>
        <v>OK</v>
      </c>
    </row>
    <row r="138" spans="1:7" x14ac:dyDescent="0.25">
      <c r="A138" s="7" t="s">
        <v>92</v>
      </c>
      <c r="B138" s="36" t="s">
        <v>42</v>
      </c>
      <c r="C138" s="33" t="s">
        <v>15</v>
      </c>
      <c r="D138" s="33" t="s">
        <v>16</v>
      </c>
      <c r="E138" s="7" t="s">
        <v>81</v>
      </c>
    </row>
    <row r="139" spans="1:7" x14ac:dyDescent="0.25">
      <c r="A139" s="7" t="s">
        <v>40</v>
      </c>
      <c r="B139" s="37"/>
      <c r="C139" s="7" t="s">
        <v>6</v>
      </c>
      <c r="D139" s="7" t="s">
        <v>6</v>
      </c>
      <c r="E139" s="18" t="s">
        <v>27</v>
      </c>
    </row>
    <row r="140" spans="1:7" x14ac:dyDescent="0.25">
      <c r="A140" s="48">
        <v>1</v>
      </c>
      <c r="B140" s="9" t="s">
        <v>43</v>
      </c>
      <c r="C140" s="30">
        <f t="shared" ref="C140:C147" si="132">G23</f>
        <v>816.81408993334617</v>
      </c>
      <c r="D140" s="30">
        <f t="shared" ref="D140:D147" si="133">L23</f>
        <v>615.75216010359941</v>
      </c>
      <c r="E140" s="34">
        <f t="shared" ref="E140:E147" si="134">(C140-D140)/($AI$3*$AI$4)</f>
        <v>1.3404128655316451E-3</v>
      </c>
      <c r="F140" s="9">
        <f t="shared" ref="F140:F147" si="135">0.0018*$AI$14/($B$116*1.86/1000*$AI$6)</f>
        <v>4.491774653064975E-3</v>
      </c>
      <c r="G140" s="9" t="str">
        <f>IF(E140&lt;F140,"OK","NO")</f>
        <v>OK</v>
      </c>
    </row>
    <row r="141" spans="1:7" x14ac:dyDescent="0.25">
      <c r="A141" s="49"/>
      <c r="B141" s="9" t="s">
        <v>44</v>
      </c>
      <c r="C141" s="30">
        <f t="shared" si="132"/>
        <v>735.1326809400116</v>
      </c>
      <c r="D141" s="30">
        <f t="shared" si="133"/>
        <v>615.75216010359941</v>
      </c>
      <c r="E141" s="34">
        <f t="shared" si="134"/>
        <v>7.9587013890941463E-4</v>
      </c>
      <c r="F141" s="9">
        <f t="shared" si="135"/>
        <v>4.491774653064975E-3</v>
      </c>
      <c r="G141" s="9" t="str">
        <f t="shared" ref="G141:G147" si="136">IF(E141&lt;F141,"OK","NO")</f>
        <v>OK</v>
      </c>
    </row>
    <row r="142" spans="1:7" x14ac:dyDescent="0.25">
      <c r="A142" s="48">
        <v>2</v>
      </c>
      <c r="B142" s="9" t="s">
        <v>43</v>
      </c>
      <c r="C142" s="30">
        <f t="shared" si="132"/>
        <v>735.1326809400116</v>
      </c>
      <c r="D142" s="30">
        <f t="shared" si="133"/>
        <v>615.75216010359941</v>
      </c>
      <c r="E142" s="34">
        <f t="shared" si="134"/>
        <v>7.9587013890941463E-4</v>
      </c>
      <c r="F142" s="9">
        <f t="shared" si="135"/>
        <v>4.491774653064975E-3</v>
      </c>
      <c r="G142" s="9" t="str">
        <f t="shared" si="136"/>
        <v>OK</v>
      </c>
    </row>
    <row r="143" spans="1:7" x14ac:dyDescent="0.25">
      <c r="A143" s="49"/>
      <c r="B143" s="9" t="s">
        <v>44</v>
      </c>
      <c r="C143" s="30">
        <f t="shared" si="132"/>
        <v>735.1326809400116</v>
      </c>
      <c r="D143" s="30">
        <f t="shared" si="133"/>
        <v>615.75216010359941</v>
      </c>
      <c r="E143" s="34">
        <f t="shared" si="134"/>
        <v>7.9587013890941463E-4</v>
      </c>
      <c r="F143" s="9">
        <f t="shared" si="135"/>
        <v>4.491774653064975E-3</v>
      </c>
      <c r="G143" s="9" t="str">
        <f t="shared" si="136"/>
        <v>OK</v>
      </c>
    </row>
    <row r="144" spans="1:7" x14ac:dyDescent="0.25">
      <c r="A144" s="48">
        <v>3</v>
      </c>
      <c r="B144" s="9" t="s">
        <v>43</v>
      </c>
      <c r="C144" s="30">
        <f t="shared" si="132"/>
        <v>735.1326809400116</v>
      </c>
      <c r="D144" s="30">
        <f t="shared" si="133"/>
        <v>615.75216010359941</v>
      </c>
      <c r="E144" s="34">
        <f t="shared" si="134"/>
        <v>7.9587013890941463E-4</v>
      </c>
      <c r="F144" s="9">
        <f t="shared" si="135"/>
        <v>4.491774653064975E-3</v>
      </c>
      <c r="G144" s="9" t="str">
        <f t="shared" si="136"/>
        <v>OK</v>
      </c>
    </row>
    <row r="145" spans="1:7" x14ac:dyDescent="0.25">
      <c r="A145" s="49"/>
      <c r="B145" s="9" t="s">
        <v>44</v>
      </c>
      <c r="C145" s="30">
        <f t="shared" si="132"/>
        <v>735.1326809400116</v>
      </c>
      <c r="D145" s="30">
        <f t="shared" si="133"/>
        <v>615.75216010359941</v>
      </c>
      <c r="E145" s="34">
        <f t="shared" si="134"/>
        <v>7.9587013890941463E-4</v>
      </c>
      <c r="F145" s="9">
        <f t="shared" si="135"/>
        <v>4.491774653064975E-3</v>
      </c>
      <c r="G145" s="9" t="str">
        <f t="shared" si="136"/>
        <v>OK</v>
      </c>
    </row>
    <row r="146" spans="1:7" x14ac:dyDescent="0.25">
      <c r="A146" s="48">
        <v>4</v>
      </c>
      <c r="B146" s="9" t="s">
        <v>43</v>
      </c>
      <c r="C146" s="30">
        <f t="shared" si="132"/>
        <v>735.1326809400116</v>
      </c>
      <c r="D146" s="30">
        <f t="shared" si="133"/>
        <v>615.75216010359941</v>
      </c>
      <c r="E146" s="34">
        <f t="shared" si="134"/>
        <v>7.9587013890941463E-4</v>
      </c>
      <c r="F146" s="9">
        <f t="shared" si="135"/>
        <v>4.491774653064975E-3</v>
      </c>
      <c r="G146" s="9" t="str">
        <f t="shared" si="136"/>
        <v>OK</v>
      </c>
    </row>
    <row r="147" spans="1:7" x14ac:dyDescent="0.25">
      <c r="A147" s="49"/>
      <c r="B147" s="9" t="s">
        <v>44</v>
      </c>
      <c r="C147" s="30">
        <f t="shared" si="132"/>
        <v>816.81408993334617</v>
      </c>
      <c r="D147" s="30">
        <f t="shared" si="133"/>
        <v>615.75216010359941</v>
      </c>
      <c r="E147" s="34">
        <f t="shared" si="134"/>
        <v>1.3404128655316451E-3</v>
      </c>
      <c r="F147" s="9">
        <f t="shared" si="135"/>
        <v>4.491774653064975E-3</v>
      </c>
      <c r="G147" s="9" t="str">
        <f t="shared" si="136"/>
        <v>OK</v>
      </c>
    </row>
  </sheetData>
  <mergeCells count="67">
    <mergeCell ref="H31:L31"/>
    <mergeCell ref="A33:A34"/>
    <mergeCell ref="A17:A18"/>
    <mergeCell ref="B21:B22"/>
    <mergeCell ref="C21:G21"/>
    <mergeCell ref="A19:A20"/>
    <mergeCell ref="H1:L1"/>
    <mergeCell ref="A3:A4"/>
    <mergeCell ref="A5:A6"/>
    <mergeCell ref="H21:L21"/>
    <mergeCell ref="A7:A8"/>
    <mergeCell ref="A9:A10"/>
    <mergeCell ref="B11:B12"/>
    <mergeCell ref="C11:G11"/>
    <mergeCell ref="B1:B2"/>
    <mergeCell ref="C1:G1"/>
    <mergeCell ref="H11:L11"/>
    <mergeCell ref="A13:A14"/>
    <mergeCell ref="A15:A16"/>
    <mergeCell ref="A59:A60"/>
    <mergeCell ref="A61:A62"/>
    <mergeCell ref="A23:A24"/>
    <mergeCell ref="A45:H45"/>
    <mergeCell ref="A49:A50"/>
    <mergeCell ref="A51:A52"/>
    <mergeCell ref="A29:A30"/>
    <mergeCell ref="A25:A26"/>
    <mergeCell ref="A53:A54"/>
    <mergeCell ref="A55:A56"/>
    <mergeCell ref="A27:A28"/>
    <mergeCell ref="A35:A36"/>
    <mergeCell ref="A37:A38"/>
    <mergeCell ref="A39:A40"/>
    <mergeCell ref="B31:B32"/>
    <mergeCell ref="C31:G31"/>
    <mergeCell ref="A120:A121"/>
    <mergeCell ref="A122:A123"/>
    <mergeCell ref="A124:A125"/>
    <mergeCell ref="A130:A131"/>
    <mergeCell ref="A126:A127"/>
    <mergeCell ref="A115:J115"/>
    <mergeCell ref="A99:A100"/>
    <mergeCell ref="A105:A106"/>
    <mergeCell ref="A107:A108"/>
    <mergeCell ref="A80:I80"/>
    <mergeCell ref="A95:A96"/>
    <mergeCell ref="A97:A98"/>
    <mergeCell ref="A101:A102"/>
    <mergeCell ref="A109:A110"/>
    <mergeCell ref="A111:A112"/>
    <mergeCell ref="A91:A92"/>
    <mergeCell ref="A134:A135"/>
    <mergeCell ref="A142:A143"/>
    <mergeCell ref="A144:A145"/>
    <mergeCell ref="A146:A147"/>
    <mergeCell ref="A63:A64"/>
    <mergeCell ref="A65:A66"/>
    <mergeCell ref="A69:A70"/>
    <mergeCell ref="A71:A72"/>
    <mergeCell ref="A73:A74"/>
    <mergeCell ref="A75:A76"/>
    <mergeCell ref="A136:A137"/>
    <mergeCell ref="A140:A141"/>
    <mergeCell ref="A132:A133"/>
    <mergeCell ref="A85:A86"/>
    <mergeCell ref="A87:A88"/>
    <mergeCell ref="A89:A90"/>
  </mergeCells>
  <conditionalFormatting sqref="N3:N30 P3:P30">
    <cfRule type="cellIs" dxfId="12" priority="5" operator="equal">
      <formula>"NO"</formula>
    </cfRule>
    <cfRule type="cellIs" dxfId="11" priority="6" operator="equal">
      <formula>"OK"</formula>
    </cfRule>
  </conditionalFormatting>
  <conditionalFormatting sqref="J85:J112 G120:G147">
    <cfRule type="cellIs" dxfId="10" priority="3" operator="equal">
      <formula>"OK"</formula>
    </cfRule>
    <cfRule type="cellIs" dxfId="9" priority="4" operator="equal">
      <formula>"NO"</formula>
    </cfRule>
  </conditionalFormatting>
  <conditionalFormatting sqref="N31:N40 P31:P40">
    <cfRule type="cellIs" dxfId="8" priority="1" operator="equal">
      <formula>"NO"</formula>
    </cfRule>
    <cfRule type="cellIs" dxfId="7" priority="2" operator="equal">
      <formula>"OK"</formula>
    </cfRule>
  </conditionalFormatting>
  <pageMargins left="0.7" right="0.7" top="0.75" bottom="0.75" header="0.3" footer="0.3"/>
  <pageSetup paperSize="9" scale="1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529BD-83D6-43A6-939E-44A69EA1064F}">
  <sheetPr>
    <pageSetUpPr fitToPage="1"/>
  </sheetPr>
  <dimension ref="A1:AN109"/>
  <sheetViews>
    <sheetView topLeftCell="A51" zoomScale="66" zoomScaleNormal="66" workbookViewId="0">
      <selection activeCell="A57" sqref="A57:J80"/>
    </sheetView>
  </sheetViews>
  <sheetFormatPr defaultRowHeight="15" x14ac:dyDescent="0.25"/>
  <cols>
    <col min="1" max="1" width="9.140625" style="2"/>
    <col min="2" max="2" width="11.42578125" style="2" customWidth="1"/>
    <col min="3" max="3" width="14.42578125" style="2" customWidth="1"/>
    <col min="4" max="4" width="13.5703125" style="2" customWidth="1"/>
    <col min="5" max="5" width="12.85546875" style="2" customWidth="1"/>
    <col min="6" max="6" width="8.5703125" style="2" customWidth="1"/>
    <col min="7" max="7" width="10.42578125" style="2" customWidth="1"/>
    <col min="8" max="8" width="12.42578125" style="2" customWidth="1"/>
    <col min="9" max="9" width="10.85546875" style="2" customWidth="1"/>
    <col min="10" max="10" width="6.7109375" style="2" customWidth="1"/>
    <col min="11" max="11" width="15.7109375" style="2" customWidth="1"/>
    <col min="12" max="12" width="13.85546875" style="2" customWidth="1"/>
    <col min="13" max="13" width="19.28515625" style="2" customWidth="1"/>
    <col min="15" max="15" width="16.7109375" customWidth="1"/>
    <col min="17" max="17" width="11.5703125" customWidth="1"/>
    <col min="18" max="18" width="10.7109375" customWidth="1"/>
    <col min="19" max="19" width="13.140625" customWidth="1"/>
    <col min="20" max="20" width="59.85546875" customWidth="1"/>
    <col min="21" max="21" width="14.7109375" customWidth="1"/>
    <col min="22" max="22" width="20.85546875" customWidth="1"/>
    <col min="23" max="23" width="19.7109375" style="2" customWidth="1"/>
    <col min="24" max="24" width="11.85546875" style="2" customWidth="1"/>
    <col min="25" max="25" width="14.85546875" style="2" customWidth="1"/>
    <col min="26" max="26" width="16.5703125" style="2" customWidth="1"/>
    <col min="27" max="27" width="16.85546875" style="2" customWidth="1"/>
    <col min="28" max="28" width="16" style="2" customWidth="1"/>
    <col min="29" max="29" width="18.7109375" style="2" customWidth="1"/>
    <col min="30" max="30" width="16.28515625" style="2" customWidth="1"/>
    <col min="31" max="31" width="16" style="2" customWidth="1"/>
    <col min="32" max="32" width="13.85546875" style="2" customWidth="1"/>
    <col min="33" max="33" width="15" style="2" customWidth="1"/>
    <col min="34" max="34" width="7.85546875" style="2" customWidth="1"/>
    <col min="35" max="35" width="15" style="2" customWidth="1"/>
    <col min="36" max="16384" width="9.140625" style="2"/>
  </cols>
  <sheetData>
    <row r="1" spans="1:40" x14ac:dyDescent="0.25">
      <c r="A1" s="7" t="s">
        <v>37</v>
      </c>
      <c r="B1" s="52" t="s">
        <v>42</v>
      </c>
      <c r="C1" s="54" t="s">
        <v>15</v>
      </c>
      <c r="D1" s="55"/>
      <c r="E1" s="55"/>
      <c r="F1" s="55"/>
      <c r="G1" s="56"/>
      <c r="H1" s="54" t="s">
        <v>16</v>
      </c>
      <c r="I1" s="55"/>
      <c r="J1" s="55"/>
      <c r="K1" s="55"/>
      <c r="L1" s="56"/>
      <c r="M1" s="7" t="s">
        <v>48</v>
      </c>
      <c r="O1" s="7" t="s">
        <v>47</v>
      </c>
      <c r="P1" s="2"/>
      <c r="Q1" s="7" t="s">
        <v>54</v>
      </c>
      <c r="AC1"/>
      <c r="AD1"/>
      <c r="AE1" s="7" t="s">
        <v>11</v>
      </c>
      <c r="AF1" s="7" t="s">
        <v>46</v>
      </c>
      <c r="AH1" s="14" t="s">
        <v>4</v>
      </c>
      <c r="AI1" s="14"/>
      <c r="AJ1" s="14"/>
      <c r="AL1" s="7" t="s">
        <v>0</v>
      </c>
      <c r="AM1" s="7" t="s">
        <v>1</v>
      </c>
      <c r="AN1" s="7" t="s">
        <v>13</v>
      </c>
    </row>
    <row r="2" spans="1:40" x14ac:dyDescent="0.25">
      <c r="A2" s="7" t="s">
        <v>40</v>
      </c>
      <c r="B2" s="53"/>
      <c r="C2" s="7" t="s">
        <v>25</v>
      </c>
      <c r="D2" s="7" t="s">
        <v>26</v>
      </c>
      <c r="E2" s="7" t="s">
        <v>25</v>
      </c>
      <c r="F2" s="7" t="s">
        <v>26</v>
      </c>
      <c r="G2" s="7" t="s">
        <v>41</v>
      </c>
      <c r="H2" s="7" t="s">
        <v>25</v>
      </c>
      <c r="I2" s="7" t="s">
        <v>26</v>
      </c>
      <c r="J2" s="7" t="s">
        <v>25</v>
      </c>
      <c r="K2" s="7" t="s">
        <v>26</v>
      </c>
      <c r="L2" s="7" t="s">
        <v>41</v>
      </c>
      <c r="M2" s="18" t="s">
        <v>27</v>
      </c>
      <c r="N2" s="17"/>
      <c r="O2" s="18" t="s">
        <v>27</v>
      </c>
      <c r="P2" s="2"/>
      <c r="Q2" s="7" t="s">
        <v>2</v>
      </c>
      <c r="T2" s="2" t="s">
        <v>84</v>
      </c>
      <c r="U2" s="2" t="s">
        <v>0</v>
      </c>
      <c r="V2" s="2" t="s">
        <v>85</v>
      </c>
      <c r="W2" s="2" t="s">
        <v>54</v>
      </c>
      <c r="X2" s="17" t="s">
        <v>87</v>
      </c>
      <c r="Y2"/>
      <c r="Z2" s="2" t="s">
        <v>88</v>
      </c>
      <c r="AC2"/>
      <c r="AD2"/>
      <c r="AE2" s="7" t="s">
        <v>27</v>
      </c>
      <c r="AF2" s="7" t="s">
        <v>27</v>
      </c>
      <c r="AH2" s="14" t="s">
        <v>5</v>
      </c>
      <c r="AI2" s="14"/>
      <c r="AJ2" s="14"/>
      <c r="AL2" s="7" t="s">
        <v>2</v>
      </c>
      <c r="AM2" s="7" t="s">
        <v>2</v>
      </c>
      <c r="AN2" s="7" t="s">
        <v>2</v>
      </c>
    </row>
    <row r="3" spans="1:40" x14ac:dyDescent="0.25">
      <c r="A3" s="51">
        <v>1</v>
      </c>
      <c r="B3" s="9" t="s">
        <v>43</v>
      </c>
      <c r="C3" s="9">
        <v>20</v>
      </c>
      <c r="D3" s="9">
        <v>2</v>
      </c>
      <c r="E3" s="9">
        <v>14</v>
      </c>
      <c r="F3" s="9">
        <v>2</v>
      </c>
      <c r="G3" s="10">
        <f>(C3^2/4*D3+E3^2/4*F3)*PI()</f>
        <v>936.19461076975836</v>
      </c>
      <c r="H3" s="9">
        <v>14</v>
      </c>
      <c r="I3" s="9">
        <v>2</v>
      </c>
      <c r="J3" s="9">
        <v>14</v>
      </c>
      <c r="K3" s="9">
        <v>2</v>
      </c>
      <c r="L3" s="10">
        <f>(H3^2/4*I3+J3^2/4*K3)*PI()</f>
        <v>615.75216010359941</v>
      </c>
      <c r="M3" s="15">
        <f t="shared" ref="M3:M8" si="0">G3/($AL$3*$AM$3)</f>
        <v>6.2412974051317223E-3</v>
      </c>
      <c r="N3" s="16" t="str">
        <f t="shared" ref="N3:N8" si="1">IF($AE$3&lt;=M3,"OK","NO")</f>
        <v>OK</v>
      </c>
      <c r="O3" s="23">
        <f t="shared" ref="O3:O8" si="2">L3/($AL$3*$AM$3)</f>
        <v>4.1050144006906627E-3</v>
      </c>
      <c r="P3" s="28" t="str">
        <f t="shared" ref="P3:P8" si="3">IF(O3&gt;$AE$3,"OK","NO")</f>
        <v>OK</v>
      </c>
      <c r="Q3" s="10">
        <f t="shared" ref="Q3:Q8" si="4">ABS($AI$6*(G3-L3)/($AI$14*0.8*$AI$3))</f>
        <v>30.732971611204501</v>
      </c>
      <c r="T3" s="2">
        <f>$AI$3*$AI$14*0.8</f>
        <v>4080</v>
      </c>
      <c r="U3" s="2">
        <f>L3*$AI$15*3.5/1000-G3*$AI$6</f>
        <v>86240.816070587956</v>
      </c>
      <c r="V3" s="2" t="e">
        <f>$AI$6,$AI$6,L3*$AI$15*(3.5/1000)*($AI$4-40)</f>
        <v>#VALUE!</v>
      </c>
      <c r="W3" t="e">
        <f>CONCATENATE(T3," y^2 ",IF(U3&gt;0," + "," "),U3," y",IF(V3&gt;0," + "," "),V3, " = 0 ")</f>
        <v>#VALUE!</v>
      </c>
      <c r="X3" s="2" t="e">
        <f>U3^2-4*T3*V3</f>
        <v>#VALUE!</v>
      </c>
      <c r="Y3" t="e">
        <f>IF(X3&gt;0,"2 soluzioni distinte",IF(X3=0,"2 soluzioni coincidenti","nessuna soluzione"))</f>
        <v>#VALUE!</v>
      </c>
      <c r="Z3" s="2" t="e">
        <f>IF(X3&lt;0," ",(-U3+SQRT(X3))/(2*T3))</f>
        <v>#VALUE!</v>
      </c>
      <c r="AA3" s="3" t="e">
        <f>IF(X3&lt;0," ",(-U3-SQRT(X3))/(2*T3))</f>
        <v>#VALUE!</v>
      </c>
      <c r="AC3"/>
      <c r="AD3"/>
      <c r="AE3" s="24">
        <f>1.4/$AI$5</f>
        <v>3.1111111111111109E-3</v>
      </c>
      <c r="AF3" s="20">
        <f>3.5/$AI$5</f>
        <v>7.7777777777777776E-3</v>
      </c>
      <c r="AH3" s="2" t="s">
        <v>0</v>
      </c>
      <c r="AI3" s="2">
        <f>300</f>
        <v>300</v>
      </c>
      <c r="AJ3" s="2" t="s">
        <v>2</v>
      </c>
      <c r="AL3" s="25">
        <v>300</v>
      </c>
      <c r="AM3" s="25">
        <v>500</v>
      </c>
      <c r="AN3" s="25">
        <f>AM3-40</f>
        <v>460</v>
      </c>
    </row>
    <row r="4" spans="1:40" x14ac:dyDescent="0.25">
      <c r="A4" s="51"/>
      <c r="B4" s="9" t="s">
        <v>44</v>
      </c>
      <c r="C4" s="9">
        <v>20</v>
      </c>
      <c r="D4" s="9">
        <v>2</v>
      </c>
      <c r="E4" s="9">
        <v>18</v>
      </c>
      <c r="F4" s="9">
        <v>2</v>
      </c>
      <c r="G4" s="10">
        <f t="shared" ref="G4:G8" si="5">(C4^2/4*D4+E4^2/4*F4)*PI()</f>
        <v>1137.2565405995051</v>
      </c>
      <c r="H4" s="9">
        <v>14</v>
      </c>
      <c r="I4" s="9">
        <v>2</v>
      </c>
      <c r="J4" s="9">
        <v>14</v>
      </c>
      <c r="K4" s="9">
        <v>2</v>
      </c>
      <c r="L4" s="10">
        <f t="shared" ref="L4:L8" si="6">(H4^2/4*I4+J4^2/4*K4)*PI()</f>
        <v>615.75216010359941</v>
      </c>
      <c r="M4" s="15">
        <f t="shared" si="0"/>
        <v>7.5817102706633678E-3</v>
      </c>
      <c r="N4" s="16" t="str">
        <f t="shared" si="1"/>
        <v>OK</v>
      </c>
      <c r="O4" s="15">
        <f t="shared" si="2"/>
        <v>4.1050144006906627E-3</v>
      </c>
      <c r="P4" s="28" t="str">
        <f t="shared" si="3"/>
        <v>OK</v>
      </c>
      <c r="Q4" s="10">
        <f t="shared" si="4"/>
        <v>50.016404779019091</v>
      </c>
      <c r="T4" s="2">
        <f t="shared" ref="T4:T8" si="7">$AI$3*$AI$14*0.8</f>
        <v>4080</v>
      </c>
      <c r="U4" s="2">
        <f>G4*$AI$15*3.5/1000-L4*$AI$6</f>
        <v>594937.05990879296</v>
      </c>
      <c r="V4" s="2">
        <f t="shared" ref="V4:V8" ca="1" si="8">IF($AI$15*(3.5/1000)*(AA4-40)/(AA4)&gt;$AI$6,$AI$6,L4*$AI$15*(3.5/1000)*($AI$4-40))</f>
        <v>0</v>
      </c>
      <c r="W4" t="e">
        <f t="shared" ref="W4:W8" ca="1" si="9">CONCATENATE(T4," y^2 ",IF(U4&gt;0," + "," "),U4," y",IF(V4&gt;0," + "," "),V4, " = 0 ")</f>
        <v>#VALUE!</v>
      </c>
      <c r="X4" s="2" t="e">
        <f t="shared" ref="X4:X8" ca="1" si="10">U4^2-4*T4*V4</f>
        <v>#VALUE!</v>
      </c>
      <c r="Y4" t="e">
        <f t="shared" ref="Y4:Y8" ca="1" si="11">IF(X4&gt;0,"2 soluzioni distinte",IF(X4=0,"2 soluzioni coincidenti","nessuna soluzione"))</f>
        <v>#VALUE!</v>
      </c>
      <c r="Z4" s="2" t="e">
        <f t="shared" ref="Z4:Z8" ca="1" si="12">IF(X4&lt;0," ",(-U4+SQRT(X4))/(2*T4))</f>
        <v>#VALUE!</v>
      </c>
      <c r="AA4" s="3" t="e">
        <f t="shared" ref="AA4:AA8" ca="1" si="13">IF(X4&lt;0," ",(-U4-SQRT(X4))/(2*T4))</f>
        <v>#VALUE!</v>
      </c>
      <c r="AC4"/>
      <c r="AD4"/>
      <c r="AE4" s="21"/>
      <c r="AH4" s="2" t="s">
        <v>1</v>
      </c>
      <c r="AI4" s="2">
        <v>500</v>
      </c>
      <c r="AJ4" s="2" t="s">
        <v>2</v>
      </c>
      <c r="AL4" s="25"/>
      <c r="AM4" s="25"/>
      <c r="AN4" s="25"/>
    </row>
    <row r="5" spans="1:40" x14ac:dyDescent="0.25">
      <c r="A5" s="51">
        <v>2</v>
      </c>
      <c r="B5" s="9" t="s">
        <v>43</v>
      </c>
      <c r="C5" s="9">
        <v>20</v>
      </c>
      <c r="D5" s="9">
        <v>2</v>
      </c>
      <c r="E5" s="9">
        <v>18</v>
      </c>
      <c r="F5" s="9">
        <v>2</v>
      </c>
      <c r="G5" s="10">
        <f t="shared" si="5"/>
        <v>1137.2565405995051</v>
      </c>
      <c r="H5" s="9">
        <v>14</v>
      </c>
      <c r="I5" s="9">
        <v>2</v>
      </c>
      <c r="J5" s="9">
        <v>14</v>
      </c>
      <c r="K5" s="9">
        <v>2</v>
      </c>
      <c r="L5" s="10">
        <f t="shared" si="6"/>
        <v>615.75216010359941</v>
      </c>
      <c r="M5" s="15">
        <f t="shared" si="0"/>
        <v>7.5817102706633678E-3</v>
      </c>
      <c r="N5" s="16" t="str">
        <f t="shared" si="1"/>
        <v>OK</v>
      </c>
      <c r="O5" s="15">
        <f t="shared" si="2"/>
        <v>4.1050144006906627E-3</v>
      </c>
      <c r="P5" s="28" t="str">
        <f t="shared" si="3"/>
        <v>OK</v>
      </c>
      <c r="Q5" s="10">
        <f t="shared" si="4"/>
        <v>50.016404779019091</v>
      </c>
      <c r="T5" s="2">
        <f>$AI$3*$AI$14*0.8</f>
        <v>4080</v>
      </c>
      <c r="U5" s="2">
        <f>L5*$AI$15*3.5/1000-G5*$AI$6</f>
        <v>7564.4087459044531</v>
      </c>
      <c r="V5" s="2">
        <f t="shared" ca="1" si="8"/>
        <v>0</v>
      </c>
      <c r="W5" t="e">
        <f t="shared" ca="1" si="9"/>
        <v>#VALUE!</v>
      </c>
      <c r="X5" s="2" t="e">
        <f t="shared" ca="1" si="10"/>
        <v>#VALUE!</v>
      </c>
      <c r="Y5" t="e">
        <f t="shared" ca="1" si="11"/>
        <v>#VALUE!</v>
      </c>
      <c r="Z5" s="2" t="e">
        <f t="shared" ca="1" si="12"/>
        <v>#VALUE!</v>
      </c>
      <c r="AA5" s="3" t="e">
        <f t="shared" ca="1" si="13"/>
        <v>#VALUE!</v>
      </c>
      <c r="AC5"/>
      <c r="AD5"/>
      <c r="AE5" s="21"/>
      <c r="AH5" s="2" t="s">
        <v>10</v>
      </c>
      <c r="AI5" s="2">
        <f>450</f>
        <v>450</v>
      </c>
      <c r="AJ5" s="2" t="s">
        <v>3</v>
      </c>
      <c r="AL5" s="25">
        <v>300</v>
      </c>
      <c r="AM5" s="25">
        <v>500</v>
      </c>
      <c r="AN5" s="25">
        <f t="shared" ref="AN5" si="14">AM5-40</f>
        <v>460</v>
      </c>
    </row>
    <row r="6" spans="1:40" x14ac:dyDescent="0.25">
      <c r="A6" s="51"/>
      <c r="B6" s="9" t="s">
        <v>44</v>
      </c>
      <c r="C6" s="9">
        <v>20</v>
      </c>
      <c r="D6" s="9">
        <v>2</v>
      </c>
      <c r="E6" s="9">
        <v>18</v>
      </c>
      <c r="F6" s="9">
        <v>2</v>
      </c>
      <c r="G6" s="10">
        <f t="shared" si="5"/>
        <v>1137.2565405995051</v>
      </c>
      <c r="H6" s="9">
        <v>14</v>
      </c>
      <c r="I6" s="9">
        <v>2</v>
      </c>
      <c r="J6" s="9">
        <v>14</v>
      </c>
      <c r="K6" s="9">
        <v>2</v>
      </c>
      <c r="L6" s="10">
        <f t="shared" si="6"/>
        <v>615.75216010359941</v>
      </c>
      <c r="M6" s="15">
        <f t="shared" si="0"/>
        <v>7.5817102706633678E-3</v>
      </c>
      <c r="N6" s="16" t="str">
        <f t="shared" si="1"/>
        <v>OK</v>
      </c>
      <c r="O6" s="15">
        <f t="shared" si="2"/>
        <v>4.1050144006906627E-3</v>
      </c>
      <c r="P6" s="28" t="str">
        <f t="shared" si="3"/>
        <v>OK</v>
      </c>
      <c r="Q6" s="10">
        <f t="shared" si="4"/>
        <v>50.016404779019091</v>
      </c>
      <c r="T6" s="2">
        <f t="shared" si="7"/>
        <v>4080</v>
      </c>
      <c r="U6" s="2">
        <f>G6*$AI$15*3.5/1000-L6*$AI$6</f>
        <v>594937.05990879296</v>
      </c>
      <c r="V6" s="2">
        <f t="shared" ca="1" si="8"/>
        <v>0</v>
      </c>
      <c r="W6" t="e">
        <f t="shared" ca="1" si="9"/>
        <v>#VALUE!</v>
      </c>
      <c r="X6" s="2" t="e">
        <f t="shared" ca="1" si="10"/>
        <v>#VALUE!</v>
      </c>
      <c r="Y6" t="e">
        <f t="shared" ca="1" si="11"/>
        <v>#VALUE!</v>
      </c>
      <c r="Z6" s="2" t="e">
        <f t="shared" ca="1" si="12"/>
        <v>#VALUE!</v>
      </c>
      <c r="AA6" s="3" t="e">
        <f t="shared" ca="1" si="13"/>
        <v>#VALUE!</v>
      </c>
      <c r="AC6"/>
      <c r="AD6"/>
      <c r="AE6" s="21"/>
      <c r="AH6" s="2" t="s">
        <v>56</v>
      </c>
      <c r="AI6" s="2">
        <f>AI5/1.15</f>
        <v>391.304347826087</v>
      </c>
      <c r="AL6" s="25"/>
      <c r="AM6" s="25"/>
      <c r="AN6" s="25"/>
    </row>
    <row r="7" spans="1:40" x14ac:dyDescent="0.25">
      <c r="A7" s="51">
        <v>3</v>
      </c>
      <c r="B7" s="9" t="s">
        <v>43</v>
      </c>
      <c r="C7" s="9">
        <v>20</v>
      </c>
      <c r="D7" s="9">
        <v>2</v>
      </c>
      <c r="E7" s="9">
        <v>18</v>
      </c>
      <c r="F7" s="9">
        <v>2</v>
      </c>
      <c r="G7" s="10">
        <f t="shared" si="5"/>
        <v>1137.2565405995051</v>
      </c>
      <c r="H7" s="9">
        <v>14</v>
      </c>
      <c r="I7" s="9">
        <v>2</v>
      </c>
      <c r="J7" s="9">
        <v>14</v>
      </c>
      <c r="K7" s="9">
        <v>2</v>
      </c>
      <c r="L7" s="10">
        <f t="shared" si="6"/>
        <v>615.75216010359941</v>
      </c>
      <c r="M7" s="15">
        <f t="shared" si="0"/>
        <v>7.5817102706633678E-3</v>
      </c>
      <c r="N7" s="16" t="str">
        <f t="shared" si="1"/>
        <v>OK</v>
      </c>
      <c r="O7" s="15">
        <f t="shared" si="2"/>
        <v>4.1050144006906627E-3</v>
      </c>
      <c r="P7" s="28" t="str">
        <f t="shared" si="3"/>
        <v>OK</v>
      </c>
      <c r="Q7" s="10">
        <f t="shared" si="4"/>
        <v>50.016404779019091</v>
      </c>
      <c r="T7" s="2">
        <f>$AI$3*$AI$14*0.8</f>
        <v>4080</v>
      </c>
      <c r="U7" s="2">
        <f>L7*$AI$15*3.5/1000-G7*$AI$6</f>
        <v>7564.4087459044531</v>
      </c>
      <c r="V7" s="2">
        <f t="shared" ca="1" si="8"/>
        <v>0</v>
      </c>
      <c r="W7" t="e">
        <f t="shared" ca="1" si="9"/>
        <v>#VALUE!</v>
      </c>
      <c r="X7" s="2" t="e">
        <f t="shared" ca="1" si="10"/>
        <v>#VALUE!</v>
      </c>
      <c r="Y7" t="e">
        <f t="shared" ca="1" si="11"/>
        <v>#VALUE!</v>
      </c>
      <c r="Z7" s="2" t="e">
        <f t="shared" ca="1" si="12"/>
        <v>#VALUE!</v>
      </c>
      <c r="AA7" s="3" t="e">
        <f t="shared" ca="1" si="13"/>
        <v>#VALUE!</v>
      </c>
      <c r="AC7"/>
      <c r="AD7"/>
      <c r="AE7" s="21"/>
      <c r="AH7" s="2" t="s">
        <v>7</v>
      </c>
      <c r="AI7" s="3">
        <f>1.4/AI5*AI3*AI4</f>
        <v>466.66666666666663</v>
      </c>
      <c r="AJ7" s="2" t="s">
        <v>6</v>
      </c>
      <c r="AL7" s="25">
        <v>300</v>
      </c>
      <c r="AM7" s="25">
        <v>500</v>
      </c>
      <c r="AN7" s="25">
        <f t="shared" ref="AN7" si="15">AM7-40</f>
        <v>460</v>
      </c>
    </row>
    <row r="8" spans="1:40" x14ac:dyDescent="0.25">
      <c r="A8" s="51"/>
      <c r="B8" s="9" t="s">
        <v>44</v>
      </c>
      <c r="C8" s="9">
        <v>20</v>
      </c>
      <c r="D8" s="9">
        <v>2</v>
      </c>
      <c r="E8" s="9">
        <v>14</v>
      </c>
      <c r="F8" s="9">
        <v>2</v>
      </c>
      <c r="G8" s="10">
        <f t="shared" si="5"/>
        <v>936.19461076975836</v>
      </c>
      <c r="H8" s="9">
        <v>14</v>
      </c>
      <c r="I8" s="9">
        <v>2</v>
      </c>
      <c r="J8" s="9">
        <v>14</v>
      </c>
      <c r="K8" s="9">
        <v>2</v>
      </c>
      <c r="L8" s="10">
        <f t="shared" si="6"/>
        <v>615.75216010359941</v>
      </c>
      <c r="M8" s="15">
        <f t="shared" si="0"/>
        <v>6.2412974051317223E-3</v>
      </c>
      <c r="N8" s="16" t="str">
        <f t="shared" si="1"/>
        <v>OK</v>
      </c>
      <c r="O8" s="15">
        <f t="shared" si="2"/>
        <v>4.1050144006906627E-3</v>
      </c>
      <c r="P8" s="28" t="str">
        <f t="shared" si="3"/>
        <v>OK</v>
      </c>
      <c r="Q8" s="10">
        <f t="shared" si="4"/>
        <v>30.732971611204501</v>
      </c>
      <c r="T8" s="2">
        <f t="shared" si="7"/>
        <v>4080</v>
      </c>
      <c r="U8" s="2">
        <f>G8*$AI$15*3.5/1000-L8*$AI$6</f>
        <v>447156.54148392915</v>
      </c>
      <c r="V8" s="2">
        <f t="shared" ca="1" si="8"/>
        <v>0</v>
      </c>
      <c r="W8" t="e">
        <f t="shared" ca="1" si="9"/>
        <v>#VALUE!</v>
      </c>
      <c r="X8" s="2" t="e">
        <f t="shared" ca="1" si="10"/>
        <v>#VALUE!</v>
      </c>
      <c r="Y8" t="e">
        <f t="shared" ca="1" si="11"/>
        <v>#VALUE!</v>
      </c>
      <c r="Z8" s="2" t="e">
        <f t="shared" ca="1" si="12"/>
        <v>#VALUE!</v>
      </c>
      <c r="AA8" s="3" t="e">
        <f t="shared" ca="1" si="13"/>
        <v>#VALUE!</v>
      </c>
      <c r="AC8"/>
      <c r="AD8"/>
      <c r="AE8" s="21"/>
      <c r="AH8" s="2" t="s">
        <v>8</v>
      </c>
      <c r="AI8" s="3">
        <f>3.5/AI5*AI3*AI4</f>
        <v>1166.6666666666667</v>
      </c>
      <c r="AJ8" s="2" t="s">
        <v>6</v>
      </c>
      <c r="AL8" s="25"/>
      <c r="AM8" s="25"/>
      <c r="AN8" s="25"/>
    </row>
    <row r="9" spans="1:40" x14ac:dyDescent="0.25">
      <c r="A9" s="7" t="s">
        <v>38</v>
      </c>
      <c r="B9" s="7" t="s">
        <v>14</v>
      </c>
      <c r="C9" s="54" t="s">
        <v>15</v>
      </c>
      <c r="D9" s="55"/>
      <c r="E9" s="55"/>
      <c r="F9" s="55"/>
      <c r="G9" s="56"/>
      <c r="H9" s="54" t="s">
        <v>16</v>
      </c>
      <c r="I9" s="55"/>
      <c r="J9" s="55"/>
      <c r="K9" s="55"/>
      <c r="L9" s="56"/>
      <c r="M9" s="7" t="s">
        <v>48</v>
      </c>
      <c r="O9" s="7" t="s">
        <v>47</v>
      </c>
      <c r="P9" s="2"/>
      <c r="Q9" s="7" t="s">
        <v>54</v>
      </c>
      <c r="AC9"/>
      <c r="AD9"/>
      <c r="AE9" s="17"/>
      <c r="AH9" s="2" t="s">
        <v>11</v>
      </c>
      <c r="AI9" s="4">
        <f>AI7/(AI4*AI3)</f>
        <v>3.1111111111111109E-3</v>
      </c>
      <c r="AL9" s="7" t="s">
        <v>0</v>
      </c>
      <c r="AM9" s="7" t="s">
        <v>1</v>
      </c>
      <c r="AN9" s="7" t="s">
        <v>13</v>
      </c>
    </row>
    <row r="10" spans="1:40" x14ac:dyDescent="0.25">
      <c r="A10" s="7" t="s">
        <v>40</v>
      </c>
      <c r="B10" s="7"/>
      <c r="C10" s="7" t="s">
        <v>25</v>
      </c>
      <c r="D10" s="7" t="s">
        <v>26</v>
      </c>
      <c r="E10" s="7" t="s">
        <v>25</v>
      </c>
      <c r="F10" s="7" t="s">
        <v>26</v>
      </c>
      <c r="G10" s="7" t="s">
        <v>41</v>
      </c>
      <c r="H10" s="7" t="s">
        <v>25</v>
      </c>
      <c r="I10" s="7" t="s">
        <v>26</v>
      </c>
      <c r="J10" s="7" t="s">
        <v>25</v>
      </c>
      <c r="K10" s="7" t="s">
        <v>26</v>
      </c>
      <c r="L10" s="7" t="s">
        <v>41</v>
      </c>
      <c r="M10" s="18" t="s">
        <v>27</v>
      </c>
      <c r="N10" s="17"/>
      <c r="O10" s="18" t="s">
        <v>27</v>
      </c>
      <c r="P10" s="2"/>
      <c r="Q10" s="7" t="s">
        <v>2</v>
      </c>
      <c r="S10" s="2"/>
      <c r="AC10"/>
      <c r="AD10"/>
      <c r="AE10" s="17"/>
      <c r="AH10" s="2" t="s">
        <v>9</v>
      </c>
      <c r="AI10" s="5">
        <f>0.25*AI9</f>
        <v>7.7777777777777773E-4</v>
      </c>
      <c r="AL10" s="7" t="s">
        <v>2</v>
      </c>
      <c r="AM10" s="7" t="s">
        <v>2</v>
      </c>
      <c r="AN10" s="7" t="s">
        <v>2</v>
      </c>
    </row>
    <row r="11" spans="1:40" x14ac:dyDescent="0.25">
      <c r="A11" s="51">
        <v>1</v>
      </c>
      <c r="B11" s="9" t="s">
        <v>43</v>
      </c>
      <c r="C11" s="9">
        <v>20</v>
      </c>
      <c r="D11" s="9">
        <v>2</v>
      </c>
      <c r="E11" s="9">
        <v>14</v>
      </c>
      <c r="F11" s="9">
        <v>2</v>
      </c>
      <c r="G11" s="10">
        <f>(C11^2/4*D11+E11^2/4*F11)*PI()</f>
        <v>936.19461076975836</v>
      </c>
      <c r="H11" s="9">
        <v>14</v>
      </c>
      <c r="I11" s="9">
        <v>2</v>
      </c>
      <c r="J11" s="9">
        <v>12</v>
      </c>
      <c r="K11" s="9">
        <v>2</v>
      </c>
      <c r="L11" s="10">
        <f>(H11^2/4*I11+J11^2/4*K11)*PI()</f>
        <v>534.07075111026484</v>
      </c>
      <c r="M11" s="15">
        <f t="shared" ref="M11:M16" si="16">G11/($AL$3*$AM$3)</f>
        <v>6.2412974051317223E-3</v>
      </c>
      <c r="N11" s="16" t="str">
        <f t="shared" ref="N11:N16" si="17">IF($AE$3&lt;=M11,"OK","NO")</f>
        <v>OK</v>
      </c>
      <c r="O11" s="23">
        <f t="shared" ref="O11:O16" si="18">L11/($AL$3*$AM$3)</f>
        <v>3.5604716740684321E-3</v>
      </c>
      <c r="P11" s="16" t="str">
        <f t="shared" ref="P11:P16" si="19">IF(O11&gt;$AE$3,"OK","NO")</f>
        <v>OK</v>
      </c>
      <c r="Q11" s="10">
        <f t="shared" ref="Q11:Q16" si="20">ABS($AI$6*(G11-L11)/($AI$14*0.8*$AI$3))</f>
        <v>38.566866335629172</v>
      </c>
      <c r="S11" s="2"/>
      <c r="AC11"/>
      <c r="AD11"/>
      <c r="AE11" s="21"/>
      <c r="AH11" s="2" t="s">
        <v>9</v>
      </c>
      <c r="AI11" s="5">
        <f>0.5*AI9</f>
        <v>1.5555555555555555E-3</v>
      </c>
      <c r="AJ11" s="6" t="s">
        <v>12</v>
      </c>
      <c r="AL11" s="25">
        <v>300</v>
      </c>
      <c r="AM11" s="25">
        <v>500</v>
      </c>
      <c r="AN11" s="25">
        <f>AM11-40</f>
        <v>460</v>
      </c>
    </row>
    <row r="12" spans="1:40" x14ac:dyDescent="0.25">
      <c r="A12" s="51"/>
      <c r="B12" s="9" t="s">
        <v>44</v>
      </c>
      <c r="C12" s="9">
        <v>20</v>
      </c>
      <c r="D12" s="9">
        <v>2</v>
      </c>
      <c r="E12" s="9">
        <v>18</v>
      </c>
      <c r="F12" s="9">
        <v>2</v>
      </c>
      <c r="G12" s="10">
        <f t="shared" ref="G12:G16" si="21">(C12^2/4*D12+E12^2/4*F12)*PI()</f>
        <v>1137.2565405995051</v>
      </c>
      <c r="H12" s="9">
        <v>14</v>
      </c>
      <c r="I12" s="9">
        <v>2</v>
      </c>
      <c r="J12" s="9">
        <v>14</v>
      </c>
      <c r="K12" s="9">
        <v>2</v>
      </c>
      <c r="L12" s="10">
        <f t="shared" ref="L12:L16" si="22">(H12^2/4*I12+J12^2/4*K12)*PI()</f>
        <v>615.75216010359941</v>
      </c>
      <c r="M12" s="15">
        <f t="shared" si="16"/>
        <v>7.5817102706633678E-3</v>
      </c>
      <c r="N12" s="16" t="str">
        <f t="shared" si="17"/>
        <v>OK</v>
      </c>
      <c r="O12" s="15">
        <f t="shared" si="18"/>
        <v>4.1050144006906627E-3</v>
      </c>
      <c r="P12" s="16" t="str">
        <f t="shared" si="19"/>
        <v>OK</v>
      </c>
      <c r="Q12" s="10">
        <f t="shared" si="20"/>
        <v>50.016404779019091</v>
      </c>
      <c r="S12" s="2"/>
      <c r="AC12"/>
      <c r="AD12"/>
      <c r="AE12" s="21"/>
      <c r="AL12" s="25"/>
      <c r="AM12" s="25"/>
      <c r="AN12" s="25"/>
    </row>
    <row r="13" spans="1:40" x14ac:dyDescent="0.25">
      <c r="A13" s="51">
        <v>2</v>
      </c>
      <c r="B13" s="9" t="s">
        <v>43</v>
      </c>
      <c r="C13" s="9">
        <v>20</v>
      </c>
      <c r="D13" s="9">
        <v>2</v>
      </c>
      <c r="E13" s="9">
        <v>18</v>
      </c>
      <c r="F13" s="9">
        <v>2</v>
      </c>
      <c r="G13" s="10">
        <f t="shared" si="21"/>
        <v>1137.2565405995051</v>
      </c>
      <c r="H13" s="9">
        <v>14</v>
      </c>
      <c r="I13" s="9">
        <v>2</v>
      </c>
      <c r="J13" s="9">
        <v>14</v>
      </c>
      <c r="K13" s="9">
        <v>2</v>
      </c>
      <c r="L13" s="10">
        <f t="shared" si="22"/>
        <v>615.75216010359941</v>
      </c>
      <c r="M13" s="15">
        <f t="shared" si="16"/>
        <v>7.5817102706633678E-3</v>
      </c>
      <c r="N13" s="16" t="str">
        <f t="shared" si="17"/>
        <v>OK</v>
      </c>
      <c r="O13" s="15">
        <f t="shared" si="18"/>
        <v>4.1050144006906627E-3</v>
      </c>
      <c r="P13" s="16" t="str">
        <f t="shared" si="19"/>
        <v>OK</v>
      </c>
      <c r="Q13" s="10">
        <f t="shared" si="20"/>
        <v>50.016404779019091</v>
      </c>
      <c r="S13" s="2"/>
      <c r="AC13"/>
      <c r="AD13"/>
      <c r="AE13" s="21"/>
      <c r="AI13" s="2">
        <f>269*1000^2/(0.9*AN3*391)</f>
        <v>1661.7863276375454</v>
      </c>
      <c r="AL13" s="25">
        <v>300</v>
      </c>
      <c r="AM13" s="25">
        <v>500</v>
      </c>
      <c r="AN13" s="25">
        <f t="shared" ref="AN13" si="23">AM13-40</f>
        <v>460</v>
      </c>
    </row>
    <row r="14" spans="1:40" x14ac:dyDescent="0.25">
      <c r="A14" s="51"/>
      <c r="B14" s="9" t="s">
        <v>44</v>
      </c>
      <c r="C14" s="9">
        <v>20</v>
      </c>
      <c r="D14" s="9">
        <v>2</v>
      </c>
      <c r="E14" s="9">
        <v>18</v>
      </c>
      <c r="F14" s="9">
        <v>2</v>
      </c>
      <c r="G14" s="10">
        <f t="shared" si="21"/>
        <v>1137.2565405995051</v>
      </c>
      <c r="H14" s="9">
        <v>14</v>
      </c>
      <c r="I14" s="9">
        <v>2</v>
      </c>
      <c r="J14" s="9">
        <v>14</v>
      </c>
      <c r="K14" s="9">
        <v>2</v>
      </c>
      <c r="L14" s="10">
        <f t="shared" si="22"/>
        <v>615.75216010359941</v>
      </c>
      <c r="M14" s="15">
        <f t="shared" si="16"/>
        <v>7.5817102706633678E-3</v>
      </c>
      <c r="N14" s="16" t="str">
        <f t="shared" si="17"/>
        <v>OK</v>
      </c>
      <c r="O14" s="15">
        <f t="shared" si="18"/>
        <v>4.1050144006906627E-3</v>
      </c>
      <c r="P14" s="16" t="str">
        <f t="shared" si="19"/>
        <v>OK</v>
      </c>
      <c r="Q14" s="10">
        <f t="shared" si="20"/>
        <v>50.016404779019091</v>
      </c>
      <c r="S14" s="2"/>
      <c r="AC14"/>
      <c r="AD14"/>
      <c r="AE14" s="21"/>
      <c r="AH14" s="2" t="s">
        <v>55</v>
      </c>
      <c r="AI14" s="2">
        <f>0.85*30/1.5</f>
        <v>17</v>
      </c>
      <c r="AL14" s="25"/>
      <c r="AM14" s="25"/>
      <c r="AN14" s="25"/>
    </row>
    <row r="15" spans="1:40" x14ac:dyDescent="0.25">
      <c r="A15" s="51">
        <v>3</v>
      </c>
      <c r="B15" s="9" t="s">
        <v>43</v>
      </c>
      <c r="C15" s="9">
        <v>20</v>
      </c>
      <c r="D15" s="9">
        <v>2</v>
      </c>
      <c r="E15" s="9">
        <v>18</v>
      </c>
      <c r="F15" s="9">
        <v>2</v>
      </c>
      <c r="G15" s="10">
        <f t="shared" si="21"/>
        <v>1137.2565405995051</v>
      </c>
      <c r="H15" s="9">
        <v>14</v>
      </c>
      <c r="I15" s="9">
        <v>2</v>
      </c>
      <c r="J15" s="9">
        <v>14</v>
      </c>
      <c r="K15" s="9">
        <v>2</v>
      </c>
      <c r="L15" s="10">
        <f t="shared" si="22"/>
        <v>615.75216010359941</v>
      </c>
      <c r="M15" s="15">
        <f t="shared" si="16"/>
        <v>7.5817102706633678E-3</v>
      </c>
      <c r="N15" s="16" t="str">
        <f t="shared" si="17"/>
        <v>OK</v>
      </c>
      <c r="O15" s="15">
        <f t="shared" si="18"/>
        <v>4.1050144006906627E-3</v>
      </c>
      <c r="P15" s="16" t="str">
        <f t="shared" si="19"/>
        <v>OK</v>
      </c>
      <c r="Q15" s="10">
        <f t="shared" si="20"/>
        <v>50.016404779019091</v>
      </c>
      <c r="S15" s="2"/>
      <c r="AC15"/>
      <c r="AD15"/>
      <c r="AE15" s="21"/>
      <c r="AH15" s="2" t="s">
        <v>86</v>
      </c>
      <c r="AI15" s="2">
        <v>210000</v>
      </c>
      <c r="AL15" s="25">
        <v>300</v>
      </c>
      <c r="AM15" s="25">
        <v>500</v>
      </c>
      <c r="AN15" s="25">
        <f t="shared" ref="AN15" si="24">AM15-40</f>
        <v>460</v>
      </c>
    </row>
    <row r="16" spans="1:40" x14ac:dyDescent="0.25">
      <c r="A16" s="51"/>
      <c r="B16" s="9" t="s">
        <v>44</v>
      </c>
      <c r="C16" s="9">
        <v>20</v>
      </c>
      <c r="D16" s="9">
        <v>2</v>
      </c>
      <c r="E16" s="9">
        <v>14</v>
      </c>
      <c r="F16" s="9">
        <v>2</v>
      </c>
      <c r="G16" s="10">
        <f t="shared" si="21"/>
        <v>936.19461076975836</v>
      </c>
      <c r="H16" s="9">
        <v>14</v>
      </c>
      <c r="I16" s="9">
        <v>2</v>
      </c>
      <c r="J16" s="9">
        <v>12</v>
      </c>
      <c r="K16" s="9">
        <v>2</v>
      </c>
      <c r="L16" s="10">
        <f t="shared" si="22"/>
        <v>534.07075111026484</v>
      </c>
      <c r="M16" s="15">
        <f t="shared" si="16"/>
        <v>6.2412974051317223E-3</v>
      </c>
      <c r="N16" s="16" t="str">
        <f t="shared" si="17"/>
        <v>OK</v>
      </c>
      <c r="O16" s="15">
        <f t="shared" si="18"/>
        <v>3.5604716740684321E-3</v>
      </c>
      <c r="P16" s="16" t="str">
        <f t="shared" si="19"/>
        <v>OK</v>
      </c>
      <c r="Q16" s="10">
        <f t="shared" si="20"/>
        <v>38.566866335629172</v>
      </c>
      <c r="AC16"/>
      <c r="AD16"/>
      <c r="AE16" s="21"/>
      <c r="AL16" s="25"/>
      <c r="AM16" s="25"/>
      <c r="AN16" s="25"/>
    </row>
    <row r="17" spans="1:40" x14ac:dyDescent="0.25">
      <c r="A17" s="7" t="s">
        <v>66</v>
      </c>
      <c r="B17" s="7" t="s">
        <v>14</v>
      </c>
      <c r="C17" s="54" t="s">
        <v>15</v>
      </c>
      <c r="D17" s="55"/>
      <c r="E17" s="55"/>
      <c r="F17" s="55"/>
      <c r="G17" s="56"/>
      <c r="H17" s="54" t="s">
        <v>16</v>
      </c>
      <c r="I17" s="55"/>
      <c r="J17" s="55"/>
      <c r="K17" s="55"/>
      <c r="L17" s="56"/>
      <c r="M17" s="7" t="s">
        <v>48</v>
      </c>
      <c r="O17" s="7" t="s">
        <v>47</v>
      </c>
      <c r="P17" s="2"/>
      <c r="Q17" s="7" t="s">
        <v>54</v>
      </c>
      <c r="AC17"/>
      <c r="AD17"/>
      <c r="AE17" s="17"/>
      <c r="AL17" s="7" t="s">
        <v>0</v>
      </c>
      <c r="AM17" s="7" t="s">
        <v>1</v>
      </c>
      <c r="AN17" s="7" t="s">
        <v>13</v>
      </c>
    </row>
    <row r="18" spans="1:40" x14ac:dyDescent="0.25">
      <c r="A18" s="7" t="s">
        <v>40</v>
      </c>
      <c r="B18" s="7"/>
      <c r="C18" s="7" t="s">
        <v>25</v>
      </c>
      <c r="D18" s="7" t="s">
        <v>26</v>
      </c>
      <c r="E18" s="7" t="s">
        <v>25</v>
      </c>
      <c r="F18" s="7" t="s">
        <v>26</v>
      </c>
      <c r="G18" s="7" t="s">
        <v>41</v>
      </c>
      <c r="H18" s="7" t="s">
        <v>25</v>
      </c>
      <c r="I18" s="7" t="s">
        <v>26</v>
      </c>
      <c r="J18" s="7" t="s">
        <v>25</v>
      </c>
      <c r="K18" s="7" t="s">
        <v>26</v>
      </c>
      <c r="L18" s="7" t="s">
        <v>41</v>
      </c>
      <c r="M18" s="18" t="s">
        <v>27</v>
      </c>
      <c r="N18" s="17"/>
      <c r="O18" s="18" t="s">
        <v>27</v>
      </c>
      <c r="P18" s="2"/>
      <c r="Q18" s="7" t="s">
        <v>2</v>
      </c>
      <c r="AC18"/>
      <c r="AD18"/>
      <c r="AE18" s="17"/>
      <c r="AL18" s="7" t="s">
        <v>2</v>
      </c>
      <c r="AM18" s="7" t="s">
        <v>2</v>
      </c>
      <c r="AN18" s="7" t="s">
        <v>2</v>
      </c>
    </row>
    <row r="19" spans="1:40" x14ac:dyDescent="0.25">
      <c r="A19" s="51">
        <v>1</v>
      </c>
      <c r="B19" s="9" t="s">
        <v>43</v>
      </c>
      <c r="C19" s="9">
        <v>20</v>
      </c>
      <c r="D19" s="9">
        <v>2</v>
      </c>
      <c r="E19" s="9">
        <v>14</v>
      </c>
      <c r="F19" s="9">
        <v>2</v>
      </c>
      <c r="G19" s="10">
        <f>(C19^2/4*D19+E19^2/4*F19)*PI()</f>
        <v>936.19461076975836</v>
      </c>
      <c r="H19" s="9">
        <v>14</v>
      </c>
      <c r="I19" s="9">
        <v>2</v>
      </c>
      <c r="J19" s="9">
        <v>12</v>
      </c>
      <c r="K19" s="9">
        <v>2</v>
      </c>
      <c r="L19" s="10">
        <f>(H19^2/4*I19+J19^2/4*K19)*PI()</f>
        <v>534.07075111026484</v>
      </c>
      <c r="M19" s="15">
        <f t="shared" ref="M19:M24" si="25">G19/($AL$3*$AM$3)</f>
        <v>6.2412974051317223E-3</v>
      </c>
      <c r="N19" s="16" t="str">
        <f t="shared" ref="N19:N24" si="26">IF($AE$3&lt;=M19,"OK","NO")</f>
        <v>OK</v>
      </c>
      <c r="O19" s="23">
        <f t="shared" ref="O19:O24" si="27">L19/($AL$3*$AM$3)</f>
        <v>3.5604716740684321E-3</v>
      </c>
      <c r="P19" s="16" t="str">
        <f t="shared" ref="P19:P24" si="28">IF(O19&gt;$AE$3,"OK","NO")</f>
        <v>OK</v>
      </c>
      <c r="Q19" s="10">
        <f t="shared" ref="Q19:Q24" si="29">ABS($AI$6*(G19-L19)/($AI$14*0.8*$AI$3))</f>
        <v>38.566866335629172</v>
      </c>
      <c r="AC19"/>
      <c r="AD19"/>
      <c r="AE19" s="21"/>
      <c r="AL19" s="25">
        <v>300</v>
      </c>
      <c r="AM19" s="25">
        <v>500</v>
      </c>
      <c r="AN19" s="25">
        <f>AM19-40</f>
        <v>460</v>
      </c>
    </row>
    <row r="20" spans="1:40" x14ac:dyDescent="0.25">
      <c r="A20" s="51"/>
      <c r="B20" s="9" t="s">
        <v>44</v>
      </c>
      <c r="C20" s="9">
        <v>20</v>
      </c>
      <c r="D20" s="9">
        <v>4</v>
      </c>
      <c r="E20" s="9">
        <v>0</v>
      </c>
      <c r="F20" s="9">
        <v>0</v>
      </c>
      <c r="G20" s="10">
        <f t="shared" ref="G20:G24" si="30">(C20^2/4*D20+E20^2/4*F20)*PI()</f>
        <v>1256.6370614359173</v>
      </c>
      <c r="H20" s="9">
        <v>14</v>
      </c>
      <c r="I20" s="9">
        <v>2</v>
      </c>
      <c r="J20" s="9">
        <v>14</v>
      </c>
      <c r="K20" s="9">
        <v>2</v>
      </c>
      <c r="L20" s="10">
        <f t="shared" ref="L20:L24" si="31">(H20^2/4*I20+J20^2/4*K20)*PI()</f>
        <v>615.75216010359941</v>
      </c>
      <c r="M20" s="15">
        <f t="shared" si="25"/>
        <v>8.3775804095727827E-3</v>
      </c>
      <c r="N20" s="16" t="str">
        <f t="shared" si="26"/>
        <v>OK</v>
      </c>
      <c r="O20" s="15">
        <f t="shared" si="27"/>
        <v>4.1050144006906627E-3</v>
      </c>
      <c r="P20" s="16" t="str">
        <f t="shared" si="28"/>
        <v>OK</v>
      </c>
      <c r="Q20" s="10">
        <f t="shared" si="29"/>
        <v>61.465943222409003</v>
      </c>
      <c r="AC20"/>
      <c r="AD20"/>
      <c r="AE20" s="21"/>
      <c r="AL20" s="25"/>
      <c r="AM20" s="25"/>
      <c r="AN20" s="25"/>
    </row>
    <row r="21" spans="1:40" x14ac:dyDescent="0.25">
      <c r="A21" s="51">
        <v>2</v>
      </c>
      <c r="B21" s="9" t="s">
        <v>43</v>
      </c>
      <c r="C21" s="9">
        <v>20</v>
      </c>
      <c r="D21" s="9">
        <v>4</v>
      </c>
      <c r="E21" s="9">
        <v>0</v>
      </c>
      <c r="F21" s="9">
        <v>0</v>
      </c>
      <c r="G21" s="10">
        <f t="shared" si="30"/>
        <v>1256.6370614359173</v>
      </c>
      <c r="H21" s="9">
        <v>14</v>
      </c>
      <c r="I21" s="9">
        <v>2</v>
      </c>
      <c r="J21" s="9">
        <v>14</v>
      </c>
      <c r="K21" s="9">
        <v>2</v>
      </c>
      <c r="L21" s="10">
        <f t="shared" si="31"/>
        <v>615.75216010359941</v>
      </c>
      <c r="M21" s="15">
        <f t="shared" si="25"/>
        <v>8.3775804095727827E-3</v>
      </c>
      <c r="N21" s="16" t="str">
        <f t="shared" si="26"/>
        <v>OK</v>
      </c>
      <c r="O21" s="15">
        <f t="shared" si="27"/>
        <v>4.1050144006906627E-3</v>
      </c>
      <c r="P21" s="16" t="str">
        <f t="shared" si="28"/>
        <v>OK</v>
      </c>
      <c r="Q21" s="10">
        <f t="shared" si="29"/>
        <v>61.465943222409003</v>
      </c>
      <c r="AC21"/>
      <c r="AD21"/>
      <c r="AE21" s="21"/>
      <c r="AL21" s="25">
        <v>300</v>
      </c>
      <c r="AM21" s="25">
        <v>500</v>
      </c>
      <c r="AN21" s="25">
        <f t="shared" ref="AN21" si="32">AM21-40</f>
        <v>460</v>
      </c>
    </row>
    <row r="22" spans="1:40" x14ac:dyDescent="0.25">
      <c r="A22" s="51"/>
      <c r="B22" s="9" t="s">
        <v>44</v>
      </c>
      <c r="C22" s="9">
        <v>20</v>
      </c>
      <c r="D22" s="9">
        <v>4</v>
      </c>
      <c r="E22" s="9">
        <v>0</v>
      </c>
      <c r="F22" s="9">
        <v>0</v>
      </c>
      <c r="G22" s="10">
        <f t="shared" si="30"/>
        <v>1256.6370614359173</v>
      </c>
      <c r="H22" s="9">
        <v>14</v>
      </c>
      <c r="I22" s="9">
        <v>2</v>
      </c>
      <c r="J22" s="9">
        <v>14</v>
      </c>
      <c r="K22" s="9">
        <v>2</v>
      </c>
      <c r="L22" s="10">
        <f t="shared" si="31"/>
        <v>615.75216010359941</v>
      </c>
      <c r="M22" s="15">
        <f t="shared" si="25"/>
        <v>8.3775804095727827E-3</v>
      </c>
      <c r="N22" s="16" t="str">
        <f t="shared" si="26"/>
        <v>OK</v>
      </c>
      <c r="O22" s="15">
        <f t="shared" si="27"/>
        <v>4.1050144006906627E-3</v>
      </c>
      <c r="P22" s="16" t="str">
        <f t="shared" si="28"/>
        <v>OK</v>
      </c>
      <c r="Q22" s="10">
        <f t="shared" si="29"/>
        <v>61.465943222409003</v>
      </c>
      <c r="AC22"/>
      <c r="AD22"/>
      <c r="AE22" s="21"/>
      <c r="AL22" s="25"/>
      <c r="AM22" s="25"/>
      <c r="AN22" s="25"/>
    </row>
    <row r="23" spans="1:40" x14ac:dyDescent="0.25">
      <c r="A23" s="51">
        <v>3</v>
      </c>
      <c r="B23" s="9" t="s">
        <v>43</v>
      </c>
      <c r="C23" s="9">
        <v>20</v>
      </c>
      <c r="D23" s="9">
        <v>4</v>
      </c>
      <c r="E23" s="9">
        <v>0</v>
      </c>
      <c r="F23" s="9">
        <v>0</v>
      </c>
      <c r="G23" s="10">
        <f t="shared" si="30"/>
        <v>1256.6370614359173</v>
      </c>
      <c r="H23" s="9">
        <v>14</v>
      </c>
      <c r="I23" s="9">
        <v>2</v>
      </c>
      <c r="J23" s="9">
        <v>14</v>
      </c>
      <c r="K23" s="9">
        <v>2</v>
      </c>
      <c r="L23" s="10">
        <f t="shared" si="31"/>
        <v>615.75216010359941</v>
      </c>
      <c r="M23" s="15">
        <f t="shared" si="25"/>
        <v>8.3775804095727827E-3</v>
      </c>
      <c r="N23" s="16" t="str">
        <f t="shared" si="26"/>
        <v>OK</v>
      </c>
      <c r="O23" s="15">
        <f t="shared" si="27"/>
        <v>4.1050144006906627E-3</v>
      </c>
      <c r="P23" s="16" t="str">
        <f t="shared" si="28"/>
        <v>OK</v>
      </c>
      <c r="Q23" s="10">
        <f t="shared" si="29"/>
        <v>61.465943222409003</v>
      </c>
      <c r="AC23"/>
      <c r="AD23"/>
      <c r="AE23" s="21"/>
      <c r="AL23" s="25">
        <v>300</v>
      </c>
      <c r="AM23" s="25">
        <v>500</v>
      </c>
      <c r="AN23" s="25">
        <f t="shared" ref="AN23" si="33">AM23-40</f>
        <v>460</v>
      </c>
    </row>
    <row r="24" spans="1:40" x14ac:dyDescent="0.25">
      <c r="A24" s="51"/>
      <c r="B24" s="9" t="s">
        <v>44</v>
      </c>
      <c r="C24" s="9">
        <v>20</v>
      </c>
      <c r="D24" s="9">
        <v>2</v>
      </c>
      <c r="E24" s="9">
        <v>14</v>
      </c>
      <c r="F24" s="9">
        <v>2</v>
      </c>
      <c r="G24" s="10">
        <f t="shared" si="30"/>
        <v>936.19461076975836</v>
      </c>
      <c r="H24" s="9">
        <v>14</v>
      </c>
      <c r="I24" s="9">
        <v>2</v>
      </c>
      <c r="J24" s="9">
        <v>12</v>
      </c>
      <c r="K24" s="9">
        <v>2</v>
      </c>
      <c r="L24" s="10">
        <f t="shared" si="31"/>
        <v>534.07075111026484</v>
      </c>
      <c r="M24" s="15">
        <f t="shared" si="25"/>
        <v>6.2412974051317223E-3</v>
      </c>
      <c r="N24" s="16" t="str">
        <f t="shared" si="26"/>
        <v>OK</v>
      </c>
      <c r="O24" s="15">
        <f t="shared" si="27"/>
        <v>3.5604716740684321E-3</v>
      </c>
      <c r="P24" s="16" t="str">
        <f t="shared" si="28"/>
        <v>OK</v>
      </c>
      <c r="Q24" s="10">
        <f t="shared" si="29"/>
        <v>38.566866335629172</v>
      </c>
      <c r="AC24"/>
      <c r="AD24"/>
      <c r="AE24" s="21"/>
      <c r="AL24" s="25"/>
      <c r="AM24" s="25"/>
      <c r="AN24" s="25"/>
    </row>
    <row r="26" spans="1:40" ht="23.25" x14ac:dyDescent="0.35">
      <c r="A26" s="57" t="s">
        <v>75</v>
      </c>
      <c r="B26" s="57"/>
      <c r="C26" s="57"/>
      <c r="D26" s="57"/>
      <c r="E26" s="57"/>
      <c r="F26" s="57"/>
      <c r="G26" s="57"/>
      <c r="H26" s="57"/>
    </row>
    <row r="28" spans="1:40" ht="17.25" x14ac:dyDescent="0.25">
      <c r="A28" s="7" t="s">
        <v>37</v>
      </c>
      <c r="B28" s="26" t="s">
        <v>42</v>
      </c>
      <c r="C28" s="7" t="s">
        <v>103</v>
      </c>
      <c r="D28" s="7" t="s">
        <v>104</v>
      </c>
      <c r="E28" s="7" t="s">
        <v>94</v>
      </c>
      <c r="F28" s="7" t="s">
        <v>62</v>
      </c>
      <c r="G28" s="7" t="s">
        <v>96</v>
      </c>
      <c r="H28" s="7" t="s">
        <v>95</v>
      </c>
    </row>
    <row r="29" spans="1:40" x14ac:dyDescent="0.25">
      <c r="A29" s="7" t="s">
        <v>40</v>
      </c>
      <c r="B29" s="27"/>
      <c r="C29" s="7" t="s">
        <v>23</v>
      </c>
      <c r="D29" s="7" t="s">
        <v>23</v>
      </c>
      <c r="E29" s="7" t="s">
        <v>58</v>
      </c>
      <c r="F29" s="7" t="s">
        <v>63</v>
      </c>
      <c r="G29" s="7" t="s">
        <v>59</v>
      </c>
      <c r="H29" s="7" t="s">
        <v>59</v>
      </c>
    </row>
    <row r="30" spans="1:40" x14ac:dyDescent="0.25">
      <c r="A30" s="48">
        <v>1</v>
      </c>
      <c r="B30" s="9" t="s">
        <v>43</v>
      </c>
      <c r="C30" s="30">
        <f>(G3*$AI$6*($AI$4-40-0.8*Q3/2)+L3*$AI$6*(0.8*Q3/2-40))/1000^2</f>
        <v>157.33572067338486</v>
      </c>
      <c r="D30" s="30">
        <f>-(L3*$AI$6*($AI$4-40-0.8*Q3/2)+G3*$AI$6*(0.8*Q3/2-40))/1000^2</f>
        <v>-97.723357322323537</v>
      </c>
      <c r="E30" s="29">
        <f>7.297*2+7.78</f>
        <v>22.373999999999999</v>
      </c>
      <c r="F30" s="9">
        <v>4</v>
      </c>
      <c r="G30" s="30">
        <f>$E30*$F30/2+($C30+$C31)/$F30*1.1</f>
        <v>114.72264375933835</v>
      </c>
      <c r="H30" s="30">
        <f>$E30*$F30/2+($D30+$D31)/$F30*1.1</f>
        <v>-34.646974184302216</v>
      </c>
      <c r="I30" s="2">
        <v>157</v>
      </c>
      <c r="J30" s="2">
        <v>105.2</v>
      </c>
    </row>
    <row r="31" spans="1:40" x14ac:dyDescent="0.25">
      <c r="A31" s="49"/>
      <c r="B31" s="9" t="s">
        <v>44</v>
      </c>
      <c r="C31" s="30">
        <f>(L4*$AI$6*($AI$4-40-0.8*Q4/2)+G4*$AI$6*(0.8*Q4/2-40))/1000^2</f>
        <v>97.117529360572746</v>
      </c>
      <c r="D31" s="30">
        <f>-(G4*$AI$6*($AI$4-40-0.8*Q4/2)+L4*$AI$6*(0.8*Q4/2-40))/1000^2</f>
        <v>-190.9856397115027</v>
      </c>
      <c r="E31" s="29">
        <f t="shared" ref="E31:E35" si="34">7.297*2+7.78</f>
        <v>22.373999999999999</v>
      </c>
      <c r="F31" s="9">
        <v>4</v>
      </c>
      <c r="G31" s="30">
        <f>-$E31*$F31/2+($C30+$C31)/$F31*1.1</f>
        <v>25.226643759338351</v>
      </c>
      <c r="H31" s="30">
        <f>-$E31*$F31/2+($D30+$D31)/$F31*1.1</f>
        <v>-124.1429741843022</v>
      </c>
      <c r="I31" s="2">
        <v>105.2</v>
      </c>
      <c r="J31" s="2" t="s">
        <v>89</v>
      </c>
    </row>
    <row r="32" spans="1:40" x14ac:dyDescent="0.25">
      <c r="A32" s="48">
        <v>2</v>
      </c>
      <c r="B32" s="9" t="s">
        <v>43</v>
      </c>
      <c r="C32" s="30">
        <f>(G5*$AI$6*($AI$4-40-0.8*Q5/2)+L5*$AI$6*(0.8*Q5/2-40))/1000^2</f>
        <v>190.9856397115027</v>
      </c>
      <c r="D32" s="30">
        <f>-(L5*$AI$6*($AI$4-40-0.8*Q5/2)+G5*$AI$6*(0.8*Q5/2-40))/1000^2</f>
        <v>-97.117529360572746</v>
      </c>
      <c r="E32" s="29">
        <f t="shared" si="34"/>
        <v>22.373999999999999</v>
      </c>
      <c r="F32" s="9">
        <v>5.5</v>
      </c>
      <c r="G32" s="30">
        <f>$E32*$F32/2+($C32+$C33)/$F32*1.1</f>
        <v>119.14913381441508</v>
      </c>
      <c r="H32" s="30">
        <f>$E32*$F32/2+($D32+$D33)/$F32*1.1</f>
        <v>3.9078661855849006</v>
      </c>
      <c r="I32" s="2" t="s">
        <v>89</v>
      </c>
      <c r="J32" s="2">
        <v>105.2</v>
      </c>
    </row>
    <row r="33" spans="1:12" x14ac:dyDescent="0.25">
      <c r="A33" s="49"/>
      <c r="B33" s="9" t="s">
        <v>44</v>
      </c>
      <c r="C33" s="30">
        <f>(L6*$AI$6*($AI$4-40-0.8*Q6/2)+G6*$AI$6*(0.8*Q6/2-40))/1000^2</f>
        <v>97.117529360572746</v>
      </c>
      <c r="D33" s="30">
        <f>-(G6*$AI$6*($AI$4-40-0.8*Q6/2)+L6*$AI$6*(0.8*Q6/2-40))/1000^2</f>
        <v>-190.9856397115027</v>
      </c>
      <c r="E33" s="29">
        <f t="shared" si="34"/>
        <v>22.373999999999999</v>
      </c>
      <c r="F33" s="9">
        <v>5.5</v>
      </c>
      <c r="G33" s="30">
        <f>-$E33*$F33/2+($C32+$C33)/$F33*1.1</f>
        <v>-3.9078661855849006</v>
      </c>
      <c r="H33" s="30">
        <f>-$E33*$F33/2+($D32+$D33)/$F33*1.1</f>
        <v>-119.14913381441508</v>
      </c>
      <c r="I33" s="2">
        <v>105.2</v>
      </c>
      <c r="J33" s="2" t="s">
        <v>89</v>
      </c>
      <c r="L33" s="2">
        <v>-106.01488526296961</v>
      </c>
    </row>
    <row r="34" spans="1:12" x14ac:dyDescent="0.25">
      <c r="A34" s="48">
        <v>3</v>
      </c>
      <c r="B34" s="9" t="s">
        <v>43</v>
      </c>
      <c r="C34" s="30">
        <f>(G7*$AI$6*($AI$4-40-0.8*Q7/2)+L7*$AI$6*(0.8*Q7/2-40))/1000^2</f>
        <v>190.9856397115027</v>
      </c>
      <c r="D34" s="30">
        <f>-(L7*$AI$6*($AI$4-40-0.8*Q7/2)+G7*$AI$6*(0.8*Q7/2-40))/1000^2</f>
        <v>-97.117529360572746</v>
      </c>
      <c r="E34" s="29">
        <f t="shared" si="34"/>
        <v>22.373999999999999</v>
      </c>
      <c r="F34" s="9">
        <v>4</v>
      </c>
      <c r="G34" s="30">
        <f>$E34*$F34/2+($C34+$C35)/$F34*1.1</f>
        <v>124.1429741843022</v>
      </c>
      <c r="H34" s="30">
        <f>$E34*$F34/2+($D34+$D35)/$F34*1.1</f>
        <v>-25.226643759338351</v>
      </c>
      <c r="I34" s="2" t="s">
        <v>89</v>
      </c>
      <c r="J34" s="2">
        <v>105.2</v>
      </c>
    </row>
    <row r="35" spans="1:12" x14ac:dyDescent="0.25">
      <c r="A35" s="49"/>
      <c r="B35" s="9" t="s">
        <v>44</v>
      </c>
      <c r="C35" s="30">
        <f>(L8*$AI$6*($AI$4-40-0.8*Q8/2)+G8*$AI$6*(0.8*Q8/2-40))/1000^2</f>
        <v>97.723357322323537</v>
      </c>
      <c r="D35" s="30">
        <f>-(G8*$AI$6*($AI$4-40-0.8*Q8/2)+L8*$AI$6*(0.8*Q8/2-40))/1000^2</f>
        <v>-157.33572067338486</v>
      </c>
      <c r="E35" s="29">
        <f t="shared" si="34"/>
        <v>22.373999999999999</v>
      </c>
      <c r="F35" s="9">
        <v>4</v>
      </c>
      <c r="G35" s="30">
        <f>-$E35*$F35/2+($C34+$C35)/$F35*1.1</f>
        <v>34.646974184302216</v>
      </c>
      <c r="H35" s="30">
        <f>-$E35*$F35/2+($D34+$D35)/$F35*1.1</f>
        <v>-114.72264375933835</v>
      </c>
      <c r="I35" s="2">
        <v>105.2</v>
      </c>
      <c r="J35" s="2">
        <v>157</v>
      </c>
    </row>
    <row r="36" spans="1:12" ht="17.25" x14ac:dyDescent="0.25">
      <c r="A36" s="7" t="s">
        <v>38</v>
      </c>
      <c r="B36" s="26" t="s">
        <v>42</v>
      </c>
      <c r="C36" s="7" t="s">
        <v>103</v>
      </c>
      <c r="D36" s="7" t="s">
        <v>104</v>
      </c>
      <c r="E36" s="7" t="s">
        <v>94</v>
      </c>
      <c r="F36" s="7" t="s">
        <v>62</v>
      </c>
      <c r="G36" s="7" t="s">
        <v>96</v>
      </c>
      <c r="H36" s="7" t="s">
        <v>95</v>
      </c>
    </row>
    <row r="37" spans="1:12" x14ac:dyDescent="0.25">
      <c r="A37" s="7" t="s">
        <v>40</v>
      </c>
      <c r="B37" s="27"/>
      <c r="C37" s="31" t="s">
        <v>23</v>
      </c>
      <c r="D37" s="31" t="s">
        <v>23</v>
      </c>
      <c r="E37" s="7" t="s">
        <v>58</v>
      </c>
      <c r="F37" s="7" t="s">
        <v>63</v>
      </c>
      <c r="G37" s="7" t="s">
        <v>59</v>
      </c>
      <c r="H37" s="7" t="s">
        <v>59</v>
      </c>
    </row>
    <row r="38" spans="1:12" x14ac:dyDescent="0.25">
      <c r="A38" s="48">
        <v>1</v>
      </c>
      <c r="B38" s="9" t="s">
        <v>43</v>
      </c>
      <c r="C38" s="30">
        <f>(G11*$AI$6*($AI$4-40-0.8*Q11/2)+L11*$AI$6*(0.8*Q11/2-40))/1000^2</f>
        <v>157.72821967226204</v>
      </c>
      <c r="D38" s="30">
        <f>-(L11*$AI$6*($AI$4-40-0.8*Q11/2)+G11*$AI$6*(0.8*Q11/2-40))/1000^2</f>
        <v>-83.906696323672236</v>
      </c>
      <c r="E38" s="29">
        <f>7.297*4</f>
        <v>29.187999999999999</v>
      </c>
      <c r="F38" s="9">
        <v>4</v>
      </c>
      <c r="G38" s="30">
        <f>$E38*$F38/2+($C38+$C39)/$F38*1.1</f>
        <v>128.45858098402957</v>
      </c>
      <c r="H38" s="30">
        <f>$E38*$F38/2+($D38+$D39)/$F38*1.1</f>
        <v>-17.219392409673112</v>
      </c>
      <c r="I38" s="2">
        <v>157</v>
      </c>
      <c r="J38" s="2">
        <v>91.67</v>
      </c>
    </row>
    <row r="39" spans="1:12" x14ac:dyDescent="0.25">
      <c r="A39" s="49"/>
      <c r="B39" s="9" t="s">
        <v>44</v>
      </c>
      <c r="C39" s="30">
        <f>(L12*$AI$6*($AI$4-40-0.8*Q12/2)+G12*$AI$6*(0.8*Q12/2-40))/1000^2</f>
        <v>97.117529360572746</v>
      </c>
      <c r="D39" s="30">
        <f>-(G12*$AI$6*($AI$4-40-0.8*Q12/2)+L12*$AI$6*(0.8*Q12/2-40))/1000^2</f>
        <v>-190.9856397115027</v>
      </c>
      <c r="E39" s="29">
        <f t="shared" ref="E39:E43" si="35">7.297*4</f>
        <v>29.187999999999999</v>
      </c>
      <c r="F39" s="9">
        <v>4</v>
      </c>
      <c r="G39" s="30">
        <f>-$E39*$F39/2+($C38+$C39)/$F39*1.1</f>
        <v>11.706580984029578</v>
      </c>
      <c r="H39" s="30">
        <f>-$E39*$F39/2+($D38+$D39)/$F39*1.1</f>
        <v>-133.97139240967311</v>
      </c>
    </row>
    <row r="40" spans="1:12" x14ac:dyDescent="0.25">
      <c r="A40" s="48">
        <v>2</v>
      </c>
      <c r="B40" s="9" t="s">
        <v>43</v>
      </c>
      <c r="C40" s="30">
        <f>(G13*$AI$6*($AI$4-40-0.8*Q13/2)+L13*$AI$6*(0.8*Q13/2-40))/1000^2</f>
        <v>190.9856397115027</v>
      </c>
      <c r="D40" s="30">
        <f>-(L13*$AI$6*($AI$4-40-0.8*Q13/2)+G13*$AI$6*(0.8*Q13/2-40))/1000^2</f>
        <v>-97.117529360572746</v>
      </c>
      <c r="E40" s="29">
        <f t="shared" si="35"/>
        <v>29.187999999999999</v>
      </c>
      <c r="F40" s="9">
        <v>5.5</v>
      </c>
      <c r="G40" s="30">
        <f>$E40*$F40/2+($C40+$C41)/$F40*1.1</f>
        <v>137.8876338144151</v>
      </c>
      <c r="H40" s="30">
        <f>$E40*$F40/2+($D40+$D41)/$F40*1.1</f>
        <v>22.646366185584903</v>
      </c>
    </row>
    <row r="41" spans="1:12" x14ac:dyDescent="0.25">
      <c r="A41" s="49"/>
      <c r="B41" s="9" t="s">
        <v>44</v>
      </c>
      <c r="C41" s="30">
        <f>(L14*$AI$6*($AI$4-40-0.8*Q14/2)+G14*$AI$6*(0.8*Q14/2-40))/1000^2</f>
        <v>97.117529360572746</v>
      </c>
      <c r="D41" s="30">
        <f>-(G14*$AI$6*($AI$4-40-0.8*Q14/2)+L14*$AI$6*(0.8*Q14/2-40))/1000^2</f>
        <v>-190.9856397115027</v>
      </c>
      <c r="E41" s="29">
        <f t="shared" si="35"/>
        <v>29.187999999999999</v>
      </c>
      <c r="F41" s="9">
        <v>5.5</v>
      </c>
      <c r="G41" s="30">
        <f>-$E41*$F41/2+($C40+$C41)/$F41*1.1</f>
        <v>-22.646366185584903</v>
      </c>
      <c r="H41" s="30">
        <f>-$E41*$F41/2+($D40+$D41)/$F41*1.1</f>
        <v>-137.8876338144151</v>
      </c>
    </row>
    <row r="42" spans="1:12" x14ac:dyDescent="0.25">
      <c r="A42" s="48">
        <v>3</v>
      </c>
      <c r="B42" s="9" t="s">
        <v>43</v>
      </c>
      <c r="C42" s="30">
        <f>(G15*$AI$6*($AI$4-40-0.8*Q15/2)+L15*$AI$6*(0.8*Q15/2-40))/1000^2</f>
        <v>190.9856397115027</v>
      </c>
      <c r="D42" s="30">
        <f>-(L15*$AI$6*($AI$4-40-0.8*Q15/2)+G15*$AI$6*(0.8*Q15/2-40))/1000^2</f>
        <v>-97.117529360572746</v>
      </c>
      <c r="E42" s="29">
        <f t="shared" si="35"/>
        <v>29.187999999999999</v>
      </c>
      <c r="F42" s="9">
        <v>4</v>
      </c>
      <c r="G42" s="30">
        <f>$E42*$F42/2+($C42+$C43)/$F42*1.1</f>
        <v>133.97139240967311</v>
      </c>
      <c r="H42" s="30">
        <f>$E42*$F42/2+($D42+$D43)/$F42*1.1</f>
        <v>-11.706580984029578</v>
      </c>
    </row>
    <row r="43" spans="1:12" x14ac:dyDescent="0.25">
      <c r="A43" s="49"/>
      <c r="B43" s="9" t="s">
        <v>44</v>
      </c>
      <c r="C43" s="30">
        <f>(L16*$AI$6*($AI$4-40-0.8*Q16/2)+G16*$AI$6*(0.8*Q16/2-40))/1000^2</f>
        <v>83.906696323672236</v>
      </c>
      <c r="D43" s="30">
        <f>-(G16*$AI$6*($AI$4-40-0.8*Q16/2)+L16*$AI$6*(0.8*Q16/2-40))/1000^2</f>
        <v>-157.72821967226204</v>
      </c>
      <c r="E43" s="29">
        <f t="shared" si="35"/>
        <v>29.187999999999999</v>
      </c>
      <c r="F43" s="9">
        <v>4</v>
      </c>
      <c r="G43" s="30">
        <f>-$E43*$F43/2+($C42+$C43)/$F43*1.1</f>
        <v>17.219392409673112</v>
      </c>
      <c r="H43" s="30">
        <f>-$E43*$F43/2+($D42+$D43)/$F43*1.1</f>
        <v>-128.45858098402957</v>
      </c>
    </row>
    <row r="44" spans="1:12" ht="17.25" x14ac:dyDescent="0.25">
      <c r="A44" s="7" t="s">
        <v>66</v>
      </c>
      <c r="B44" s="26" t="s">
        <v>42</v>
      </c>
      <c r="C44" s="7" t="s">
        <v>103</v>
      </c>
      <c r="D44" s="7" t="s">
        <v>104</v>
      </c>
      <c r="E44" s="7" t="s">
        <v>94</v>
      </c>
      <c r="F44" s="7" t="s">
        <v>62</v>
      </c>
      <c r="G44" s="7" t="s">
        <v>96</v>
      </c>
      <c r="H44" s="7" t="s">
        <v>95</v>
      </c>
    </row>
    <row r="45" spans="1:12" x14ac:dyDescent="0.25">
      <c r="A45" s="7" t="s">
        <v>40</v>
      </c>
      <c r="B45" s="27"/>
      <c r="C45" s="31" t="s">
        <v>23</v>
      </c>
      <c r="D45" s="31" t="s">
        <v>23</v>
      </c>
      <c r="E45" s="7" t="s">
        <v>58</v>
      </c>
      <c r="F45" s="7" t="s">
        <v>63</v>
      </c>
      <c r="G45" s="7" t="s">
        <v>59</v>
      </c>
      <c r="H45" s="7" t="s">
        <v>59</v>
      </c>
    </row>
    <row r="46" spans="1:12" x14ac:dyDescent="0.25">
      <c r="A46" s="48">
        <v>1</v>
      </c>
      <c r="B46" s="9" t="s">
        <v>43</v>
      </c>
      <c r="C46" s="30">
        <f>(G19*$AI$6*($AI$4-40-0.8*Q19/2)+L19*$AI$6*(0.8*Q19/2-40))/1000^2</f>
        <v>157.72821967226204</v>
      </c>
      <c r="D46" s="30">
        <f>-(L19*$AI$6*($AI$4-40-0.8*Q19/2)+G19*$AI$6*(0.8*Q19/2-40))/1000^2</f>
        <v>-83.906696323672236</v>
      </c>
      <c r="E46" s="29">
        <f>7.297*4.75</f>
        <v>34.66075</v>
      </c>
      <c r="F46" s="9">
        <v>4</v>
      </c>
      <c r="G46" s="30">
        <f>$E46*$F46/2+($C46+$C47)/$F46*1.1</f>
        <v>139.46308363611598</v>
      </c>
      <c r="H46" s="30">
        <f>$E46*$F46/2+($D46+$D47)/$F46*1.1</f>
        <v>-11.610370253649791</v>
      </c>
    </row>
    <row r="47" spans="1:12" x14ac:dyDescent="0.25">
      <c r="A47" s="49"/>
      <c r="B47" s="9" t="s">
        <v>44</v>
      </c>
      <c r="C47" s="30">
        <f>(L20*$AI$6*($AI$4-40-0.8*Q20/2)+G20*$AI$6*(0.8*Q20/2-40))/1000^2</f>
        <v>97.332084459068724</v>
      </c>
      <c r="D47" s="30">
        <f>-(G20*$AI$6*($AI$4-40-0.8*Q20/2)+L20*$AI$6*(0.8*Q20/2-40))/1000^2</f>
        <v>-210.39101368959973</v>
      </c>
      <c r="E47" s="29">
        <f t="shared" ref="E47:E51" si="36">7.297*4.75</f>
        <v>34.66075</v>
      </c>
      <c r="F47" s="9">
        <v>4</v>
      </c>
      <c r="G47" s="30">
        <f>-$E47*$F47/2+($C46+$C47)/$F47*1.1</f>
        <v>0.82008363611596735</v>
      </c>
      <c r="H47" s="30">
        <f>-$E47*$F47/2+($D46+$D47)/$F47*1.1</f>
        <v>-150.25337025364979</v>
      </c>
    </row>
    <row r="48" spans="1:12" x14ac:dyDescent="0.25">
      <c r="A48" s="48">
        <v>2</v>
      </c>
      <c r="B48" s="9" t="s">
        <v>43</v>
      </c>
      <c r="C48" s="30">
        <f>(G21*$AI$6*($AI$4-40-0.8*Q21/2)+L21*$AI$6*(0.8*Q21/2-40))/1000^2</f>
        <v>210.39101368959973</v>
      </c>
      <c r="D48" s="30">
        <f>-(L21*$AI$6*($AI$4-40-0.8*Q21/2)+G21*$AI$6*(0.8*Q21/2-40))/1000^2</f>
        <v>-97.332084459068724</v>
      </c>
      <c r="E48" s="29">
        <f t="shared" si="36"/>
        <v>34.66075</v>
      </c>
      <c r="F48" s="9">
        <v>5.5</v>
      </c>
      <c r="G48" s="30">
        <f>$E48*$F48/2+($C48+$C49)/$F48*1.1</f>
        <v>156.86168212973371</v>
      </c>
      <c r="H48" s="30">
        <f>$E48*$F48/2+($D48+$D49)/$F48*1.1</f>
        <v>33.772442870266318</v>
      </c>
    </row>
    <row r="49" spans="1:22" x14ac:dyDescent="0.25">
      <c r="A49" s="49"/>
      <c r="B49" s="9" t="s">
        <v>44</v>
      </c>
      <c r="C49" s="30">
        <f>(L22*$AI$6*($AI$4-40-0.8*Q22/2)+G22*$AI$6*(0.8*Q22/2-40))/1000^2</f>
        <v>97.332084459068724</v>
      </c>
      <c r="D49" s="30">
        <f>-(G22*$AI$6*($AI$4-40-0.8*Q22/2)+L22*$AI$6*(0.8*Q22/2-40))/1000^2</f>
        <v>-210.39101368959973</v>
      </c>
      <c r="E49" s="29">
        <f t="shared" si="36"/>
        <v>34.66075</v>
      </c>
      <c r="F49" s="9">
        <v>5.5</v>
      </c>
      <c r="G49" s="30">
        <f>-$E49*$F49/2+($C48+$C49)/$F49*1.1</f>
        <v>-33.772442870266318</v>
      </c>
      <c r="H49" s="30">
        <f>-$E49*$F49/2+($D48+$D49)/$F49*1.1</f>
        <v>-156.86168212973371</v>
      </c>
    </row>
    <row r="50" spans="1:22" x14ac:dyDescent="0.25">
      <c r="A50" s="48">
        <v>3</v>
      </c>
      <c r="B50" s="9" t="s">
        <v>43</v>
      </c>
      <c r="C50" s="30">
        <f>(G23*$AI$6*($AI$4-40-0.8*Q23/2)+L23*$AI$6*(0.8*Q23/2-40))/1000^2</f>
        <v>210.39101368959973</v>
      </c>
      <c r="D50" s="30">
        <f>-(L23*$AI$6*($AI$4-40-0.8*Q23/2)+G23*$AI$6*(0.8*Q23/2-40))/1000^2</f>
        <v>-97.332084459068724</v>
      </c>
      <c r="E50" s="29">
        <f t="shared" si="36"/>
        <v>34.66075</v>
      </c>
      <c r="F50" s="9">
        <v>4</v>
      </c>
      <c r="G50" s="30">
        <f>$E50*$F50/2+($C50+$C51)/$F50*1.1</f>
        <v>150.25337025364979</v>
      </c>
      <c r="H50" s="30">
        <f>$E50*$F50/2+($D50+$D51)/$F50*1.1</f>
        <v>-0.82008363611596735</v>
      </c>
    </row>
    <row r="51" spans="1:22" x14ac:dyDescent="0.25">
      <c r="A51" s="49"/>
      <c r="B51" s="9" t="s">
        <v>44</v>
      </c>
      <c r="C51" s="30">
        <f>(L24*$AI$6*($AI$4-40-0.8*Q24/2)+G24*$AI$6*(0.8*Q24/2-40))/1000^2</f>
        <v>83.906696323672236</v>
      </c>
      <c r="D51" s="30">
        <f>-(G24*$AI$6*($AI$4-40-0.8*Q24/2)+L24*$AI$6*(0.8*Q24/2-40))/1000^2</f>
        <v>-157.72821967226204</v>
      </c>
      <c r="E51" s="29">
        <f t="shared" si="36"/>
        <v>34.66075</v>
      </c>
      <c r="F51" s="9">
        <v>4</v>
      </c>
      <c r="G51" s="30">
        <f>-$E51*$F51/2+($C50+$C51)/$F51*1.1</f>
        <v>11.610370253649791</v>
      </c>
      <c r="H51" s="30">
        <f>-$E51*$F51/2+($D50+$D51)/$F51*1.1</f>
        <v>-139.46308363611598</v>
      </c>
    </row>
    <row r="54" spans="1:22" ht="26.25" x14ac:dyDescent="0.4">
      <c r="A54" s="50" t="s">
        <v>76</v>
      </c>
      <c r="B54" s="50"/>
      <c r="C54" s="50"/>
      <c r="D54" s="50"/>
      <c r="E54" s="50"/>
      <c r="F54" s="50"/>
      <c r="G54" s="50"/>
      <c r="H54" s="50"/>
      <c r="I54" s="50"/>
    </row>
    <row r="55" spans="1:22" x14ac:dyDescent="0.25">
      <c r="Q55" t="s">
        <v>80</v>
      </c>
    </row>
    <row r="57" spans="1:22" ht="18" x14ac:dyDescent="0.35">
      <c r="A57" s="7" t="s">
        <v>37</v>
      </c>
      <c r="B57" s="26" t="s">
        <v>42</v>
      </c>
      <c r="C57" s="7" t="s">
        <v>67</v>
      </c>
      <c r="D57" s="7" t="s">
        <v>98</v>
      </c>
      <c r="E57" s="7" t="s">
        <v>97</v>
      </c>
      <c r="F57" s="7" t="s">
        <v>99</v>
      </c>
      <c r="G57" s="7" t="s">
        <v>100</v>
      </c>
      <c r="H57" s="7" t="s">
        <v>101</v>
      </c>
      <c r="I57" s="7" t="s">
        <v>102</v>
      </c>
      <c r="N57" s="2"/>
      <c r="O57" s="2"/>
      <c r="Q57" s="7" t="s">
        <v>77</v>
      </c>
      <c r="R57" s="7" t="s">
        <v>77</v>
      </c>
      <c r="S57" s="7" t="s">
        <v>69</v>
      </c>
      <c r="T57" s="7" t="s">
        <v>70</v>
      </c>
      <c r="U57" s="7" t="s">
        <v>71</v>
      </c>
      <c r="V57" s="7" t="s">
        <v>72</v>
      </c>
    </row>
    <row r="58" spans="1:22" x14ac:dyDescent="0.25">
      <c r="A58" s="7" t="s">
        <v>40</v>
      </c>
      <c r="B58" s="27"/>
      <c r="C58" s="7" t="s">
        <v>2</v>
      </c>
      <c r="D58" s="7" t="s">
        <v>2</v>
      </c>
      <c r="E58" s="7" t="s">
        <v>2</v>
      </c>
      <c r="F58" s="7" t="s">
        <v>59</v>
      </c>
      <c r="G58" s="7" t="s">
        <v>59</v>
      </c>
      <c r="H58" s="7" t="s">
        <v>59</v>
      </c>
      <c r="I58" s="7" t="s">
        <v>59</v>
      </c>
      <c r="L58" s="14" t="s">
        <v>74</v>
      </c>
      <c r="M58" s="14"/>
      <c r="N58" s="14"/>
      <c r="Q58" s="7" t="s">
        <v>78</v>
      </c>
      <c r="R58" s="7" t="s">
        <v>79</v>
      </c>
      <c r="S58" s="7" t="s">
        <v>2</v>
      </c>
      <c r="T58" s="7" t="s">
        <v>59</v>
      </c>
      <c r="U58" s="7" t="s">
        <v>59</v>
      </c>
      <c r="V58" s="7" t="s">
        <v>59</v>
      </c>
    </row>
    <row r="59" spans="1:22" x14ac:dyDescent="0.25">
      <c r="A59" s="48">
        <v>1</v>
      </c>
      <c r="B59" s="9" t="s">
        <v>43</v>
      </c>
      <c r="C59" s="9">
        <f>500</f>
        <v>500</v>
      </c>
      <c r="D59" s="9">
        <v>8</v>
      </c>
      <c r="E59" s="9">
        <v>100</v>
      </c>
      <c r="F59" s="29">
        <f t="shared" ref="F59:F64" si="37">(0.9*($AI$4-30)*(2*PI()*D59^2/4)/E59*$AI$6)/1000</f>
        <v>166.40060149170563</v>
      </c>
      <c r="G59" s="30">
        <f t="shared" ref="G59:G64" si="38">(0.9*($AI$4-30)*$AI$3*0.5*$AI$14*0.5)/1000</f>
        <v>539.32500000000005</v>
      </c>
      <c r="H59" s="30">
        <f>MIN(F59:G59)</f>
        <v>166.40060149170563</v>
      </c>
      <c r="I59" s="30">
        <f t="shared" ref="I59:I64" si="39">MAX(ABS(G30),ABS(H30))</f>
        <v>114.72264375933835</v>
      </c>
      <c r="J59" s="32" t="str">
        <f>IF(H59&gt;I59,"OK","NO")</f>
        <v>OK</v>
      </c>
      <c r="L59" s="2">
        <f>(500-40)/4</f>
        <v>115</v>
      </c>
      <c r="M59" s="2">
        <v>175</v>
      </c>
      <c r="N59" s="2">
        <f>8*E3</f>
        <v>112</v>
      </c>
      <c r="Q59" s="15">
        <f t="shared" ref="Q59:Q64" si="40">ASIN(SQRT(2*D59^2/4*PI()*$AI$6/($AI$3*E59*0.5*$AI$14)))</f>
        <v>0.40364060334951729</v>
      </c>
      <c r="R59" s="29">
        <f>DEGREES(Q59)</f>
        <v>23.12690301204146</v>
      </c>
      <c r="S59" s="9">
        <v>200</v>
      </c>
      <c r="T59" s="30">
        <f t="shared" ref="T59:T64" si="41">(0.9*($AI$4-30)*(2*PI()*8^2/4)/S59*$AI$6)/1000*_xlfn.COT(Q59)</f>
        <v>194.8068585947546</v>
      </c>
      <c r="U59" s="30">
        <f t="shared" ref="U59:U64" si="42">(0.9*($AI$4-30)*$AI$3*0.5*$AI$14)*(_xlfn.COT(Q59))/(1+_xlfn.COT(Q59)^2)/1000</f>
        <v>389.6137171895092</v>
      </c>
      <c r="V59" s="30">
        <f>MIN(T59:U59)</f>
        <v>194.8068585947546</v>
      </c>
    </row>
    <row r="60" spans="1:22" x14ac:dyDescent="0.25">
      <c r="A60" s="49"/>
      <c r="B60" s="9" t="s">
        <v>44</v>
      </c>
      <c r="C60" s="9">
        <f>500</f>
        <v>500</v>
      </c>
      <c r="D60" s="9">
        <v>8</v>
      </c>
      <c r="E60" s="9">
        <v>100</v>
      </c>
      <c r="F60" s="29">
        <f t="shared" si="37"/>
        <v>166.40060149170563</v>
      </c>
      <c r="G60" s="30">
        <f t="shared" si="38"/>
        <v>539.32500000000005</v>
      </c>
      <c r="H60" s="30">
        <f t="shared" ref="H60:H64" si="43">MIN(F60:G60)</f>
        <v>166.40060149170563</v>
      </c>
      <c r="I60" s="30">
        <f t="shared" si="39"/>
        <v>124.1429741843022</v>
      </c>
      <c r="J60" s="32" t="str">
        <f t="shared" ref="J60:J64" si="44">IF(H60&gt;I60,"OK","NO")</f>
        <v>OK</v>
      </c>
      <c r="N60" s="2">
        <f t="shared" ref="N60:N64" si="45">8*E4</f>
        <v>144</v>
      </c>
      <c r="Q60" s="15">
        <f t="shared" si="40"/>
        <v>0.40364060334951729</v>
      </c>
      <c r="R60" s="29">
        <f t="shared" ref="R60:R64" si="46">DEGREES(Q60)</f>
        <v>23.12690301204146</v>
      </c>
      <c r="S60" s="9">
        <v>200</v>
      </c>
      <c r="T60" s="30">
        <f t="shared" si="41"/>
        <v>194.8068585947546</v>
      </c>
      <c r="U60" s="30">
        <f t="shared" si="42"/>
        <v>389.6137171895092</v>
      </c>
      <c r="V60" s="30">
        <f t="shared" ref="V60:V64" si="47">MIN(T60:U60)</f>
        <v>194.8068585947546</v>
      </c>
    </row>
    <row r="61" spans="1:22" x14ac:dyDescent="0.25">
      <c r="A61" s="48">
        <v>2</v>
      </c>
      <c r="B61" s="9" t="s">
        <v>43</v>
      </c>
      <c r="C61" s="9">
        <f>500</f>
        <v>500</v>
      </c>
      <c r="D61" s="9">
        <v>8</v>
      </c>
      <c r="E61" s="9">
        <v>100</v>
      </c>
      <c r="F61" s="29">
        <f t="shared" si="37"/>
        <v>166.40060149170563</v>
      </c>
      <c r="G61" s="30">
        <f t="shared" si="38"/>
        <v>539.32500000000005</v>
      </c>
      <c r="H61" s="30">
        <f t="shared" si="43"/>
        <v>166.40060149170563</v>
      </c>
      <c r="I61" s="30">
        <f t="shared" si="39"/>
        <v>119.14913381441508</v>
      </c>
      <c r="J61" s="32" t="str">
        <f t="shared" si="44"/>
        <v>OK</v>
      </c>
      <c r="N61" s="2">
        <f t="shared" si="45"/>
        <v>144</v>
      </c>
      <c r="Q61" s="15">
        <f t="shared" si="40"/>
        <v>0.40364060334951729</v>
      </c>
      <c r="R61" s="29">
        <f t="shared" si="46"/>
        <v>23.12690301204146</v>
      </c>
      <c r="S61" s="9">
        <v>200</v>
      </c>
      <c r="T61" s="30">
        <f t="shared" si="41"/>
        <v>194.8068585947546</v>
      </c>
      <c r="U61" s="30">
        <f t="shared" si="42"/>
        <v>389.6137171895092</v>
      </c>
      <c r="V61" s="30">
        <f t="shared" si="47"/>
        <v>194.8068585947546</v>
      </c>
    </row>
    <row r="62" spans="1:22" x14ac:dyDescent="0.25">
      <c r="A62" s="49"/>
      <c r="B62" s="9" t="s">
        <v>44</v>
      </c>
      <c r="C62" s="9">
        <f>500</f>
        <v>500</v>
      </c>
      <c r="D62" s="9">
        <v>8</v>
      </c>
      <c r="E62" s="9">
        <v>100</v>
      </c>
      <c r="F62" s="29">
        <f t="shared" si="37"/>
        <v>166.40060149170563</v>
      </c>
      <c r="G62" s="30">
        <f t="shared" si="38"/>
        <v>539.32500000000005</v>
      </c>
      <c r="H62" s="30">
        <f t="shared" si="43"/>
        <v>166.40060149170563</v>
      </c>
      <c r="I62" s="30">
        <f t="shared" si="39"/>
        <v>119.14913381441508</v>
      </c>
      <c r="J62" s="32" t="str">
        <f t="shared" si="44"/>
        <v>OK</v>
      </c>
      <c r="N62" s="2">
        <f t="shared" si="45"/>
        <v>144</v>
      </c>
      <c r="Q62" s="15">
        <f t="shared" si="40"/>
        <v>0.40364060334951729</v>
      </c>
      <c r="R62" s="29">
        <f t="shared" si="46"/>
        <v>23.12690301204146</v>
      </c>
      <c r="S62" s="9">
        <v>200</v>
      </c>
      <c r="T62" s="30">
        <f t="shared" si="41"/>
        <v>194.8068585947546</v>
      </c>
      <c r="U62" s="30">
        <f t="shared" si="42"/>
        <v>389.6137171895092</v>
      </c>
      <c r="V62" s="30">
        <f t="shared" si="47"/>
        <v>194.8068585947546</v>
      </c>
    </row>
    <row r="63" spans="1:22" x14ac:dyDescent="0.25">
      <c r="A63" s="48">
        <v>3</v>
      </c>
      <c r="B63" s="9" t="s">
        <v>43</v>
      </c>
      <c r="C63" s="9">
        <f>500</f>
        <v>500</v>
      </c>
      <c r="D63" s="9">
        <v>8</v>
      </c>
      <c r="E63" s="9">
        <v>100</v>
      </c>
      <c r="F63" s="29">
        <f t="shared" si="37"/>
        <v>166.40060149170563</v>
      </c>
      <c r="G63" s="30">
        <f t="shared" si="38"/>
        <v>539.32500000000005</v>
      </c>
      <c r="H63" s="30">
        <f t="shared" si="43"/>
        <v>166.40060149170563</v>
      </c>
      <c r="I63" s="30">
        <f t="shared" si="39"/>
        <v>124.1429741843022</v>
      </c>
      <c r="J63" s="32" t="str">
        <f t="shared" si="44"/>
        <v>OK</v>
      </c>
      <c r="N63" s="2">
        <f t="shared" si="45"/>
        <v>144</v>
      </c>
      <c r="Q63" s="15">
        <f t="shared" si="40"/>
        <v>0.40364060334951729</v>
      </c>
      <c r="R63" s="29">
        <f t="shared" si="46"/>
        <v>23.12690301204146</v>
      </c>
      <c r="S63" s="9">
        <v>200</v>
      </c>
      <c r="T63" s="30">
        <f t="shared" si="41"/>
        <v>194.8068585947546</v>
      </c>
      <c r="U63" s="30">
        <f t="shared" si="42"/>
        <v>389.6137171895092</v>
      </c>
      <c r="V63" s="30">
        <f t="shared" si="47"/>
        <v>194.8068585947546</v>
      </c>
    </row>
    <row r="64" spans="1:22" x14ac:dyDescent="0.25">
      <c r="A64" s="49"/>
      <c r="B64" s="9" t="s">
        <v>44</v>
      </c>
      <c r="C64" s="9">
        <f>500</f>
        <v>500</v>
      </c>
      <c r="D64" s="9">
        <v>8</v>
      </c>
      <c r="E64" s="9">
        <v>100</v>
      </c>
      <c r="F64" s="29">
        <f t="shared" si="37"/>
        <v>166.40060149170563</v>
      </c>
      <c r="G64" s="30">
        <f t="shared" si="38"/>
        <v>539.32500000000005</v>
      </c>
      <c r="H64" s="30">
        <f t="shared" si="43"/>
        <v>166.40060149170563</v>
      </c>
      <c r="I64" s="30">
        <f t="shared" si="39"/>
        <v>114.72264375933835</v>
      </c>
      <c r="J64" s="32" t="str">
        <f t="shared" si="44"/>
        <v>OK</v>
      </c>
      <c r="N64" s="2">
        <f t="shared" si="45"/>
        <v>112</v>
      </c>
      <c r="Q64" s="15">
        <f t="shared" si="40"/>
        <v>0.40364060334951729</v>
      </c>
      <c r="R64" s="29">
        <f t="shared" si="46"/>
        <v>23.12690301204146</v>
      </c>
      <c r="S64" s="9">
        <v>200</v>
      </c>
      <c r="T64" s="30">
        <f t="shared" si="41"/>
        <v>194.8068585947546</v>
      </c>
      <c r="U64" s="30">
        <f t="shared" si="42"/>
        <v>389.6137171895092</v>
      </c>
      <c r="V64" s="30">
        <f t="shared" si="47"/>
        <v>194.8068585947546</v>
      </c>
    </row>
    <row r="65" spans="1:14" ht="18" x14ac:dyDescent="0.35">
      <c r="A65" s="7" t="s">
        <v>38</v>
      </c>
      <c r="B65" s="26" t="s">
        <v>42</v>
      </c>
      <c r="C65" s="7" t="s">
        <v>67</v>
      </c>
      <c r="D65" s="7" t="s">
        <v>98</v>
      </c>
      <c r="E65" s="7" t="s">
        <v>97</v>
      </c>
      <c r="F65" s="44" t="s">
        <v>99</v>
      </c>
      <c r="G65" s="7" t="s">
        <v>100</v>
      </c>
      <c r="H65" s="7" t="s">
        <v>101</v>
      </c>
      <c r="I65" s="7" t="s">
        <v>102</v>
      </c>
      <c r="N65" s="2"/>
    </row>
    <row r="66" spans="1:14" x14ac:dyDescent="0.25">
      <c r="A66" s="7" t="s">
        <v>40</v>
      </c>
      <c r="B66" s="27"/>
      <c r="C66" s="7" t="s">
        <v>2</v>
      </c>
      <c r="D66" s="7" t="s">
        <v>2</v>
      </c>
      <c r="E66" s="7" t="s">
        <v>2</v>
      </c>
      <c r="F66" s="44" t="s">
        <v>59</v>
      </c>
      <c r="G66" s="7" t="s">
        <v>59</v>
      </c>
      <c r="H66" s="31" t="s">
        <v>59</v>
      </c>
      <c r="I66" s="7" t="s">
        <v>59</v>
      </c>
      <c r="N66" s="2"/>
    </row>
    <row r="67" spans="1:14" x14ac:dyDescent="0.25">
      <c r="A67" s="48">
        <v>1</v>
      </c>
      <c r="B67" s="9" t="s">
        <v>43</v>
      </c>
      <c r="C67" s="9">
        <f>500</f>
        <v>500</v>
      </c>
      <c r="D67" s="9">
        <v>8</v>
      </c>
      <c r="E67" s="9">
        <v>100</v>
      </c>
      <c r="F67" s="29">
        <f t="shared" ref="F67:F72" si="48">(0.9*($AI$4-30)*(2*PI()*D67^2/4)/E67*$AI$6)/1000</f>
        <v>166.40060149170563</v>
      </c>
      <c r="G67" s="30">
        <f t="shared" ref="G67:G72" si="49">(0.9*($AI$4-30)*$AI$3*0.5*$AI$14*0.5)/1000</f>
        <v>539.32500000000005</v>
      </c>
      <c r="H67" s="30">
        <f>MIN(F67:G67)</f>
        <v>166.40060149170563</v>
      </c>
      <c r="I67" s="30">
        <f t="shared" ref="I67:I72" si="50">MAX(ABS(G38),ABS(H38))</f>
        <v>128.45858098402957</v>
      </c>
      <c r="J67" s="32" t="str">
        <f>IF(H67&gt;I67,"OK","NO")</f>
        <v>OK</v>
      </c>
      <c r="N67" s="2">
        <f>8*E11</f>
        <v>112</v>
      </c>
    </row>
    <row r="68" spans="1:14" x14ac:dyDescent="0.25">
      <c r="A68" s="49"/>
      <c r="B68" s="9" t="s">
        <v>44</v>
      </c>
      <c r="C68" s="9">
        <f>500</f>
        <v>500</v>
      </c>
      <c r="D68" s="9">
        <v>8</v>
      </c>
      <c r="E68" s="9">
        <v>100</v>
      </c>
      <c r="F68" s="29">
        <f t="shared" si="48"/>
        <v>166.40060149170563</v>
      </c>
      <c r="G68" s="30">
        <f t="shared" si="49"/>
        <v>539.32500000000005</v>
      </c>
      <c r="H68" s="30">
        <f t="shared" ref="H68:H72" si="51">MIN(F68:G68)</f>
        <v>166.40060149170563</v>
      </c>
      <c r="I68" s="30">
        <f t="shared" si="50"/>
        <v>133.97139240967311</v>
      </c>
      <c r="J68" s="32" t="str">
        <f t="shared" ref="J68:J72" si="52">IF(H68&gt;I68,"OK","NO")</f>
        <v>OK</v>
      </c>
      <c r="N68" s="2">
        <f t="shared" ref="N68:N72" si="53">8*E12</f>
        <v>144</v>
      </c>
    </row>
    <row r="69" spans="1:14" x14ac:dyDescent="0.25">
      <c r="A69" s="48">
        <v>2</v>
      </c>
      <c r="B69" s="9" t="s">
        <v>43</v>
      </c>
      <c r="C69" s="9">
        <f>500</f>
        <v>500</v>
      </c>
      <c r="D69" s="9">
        <v>8</v>
      </c>
      <c r="E69" s="9">
        <v>100</v>
      </c>
      <c r="F69" s="29">
        <f t="shared" si="48"/>
        <v>166.40060149170563</v>
      </c>
      <c r="G69" s="30">
        <f t="shared" si="49"/>
        <v>539.32500000000005</v>
      </c>
      <c r="H69" s="30">
        <f t="shared" si="51"/>
        <v>166.40060149170563</v>
      </c>
      <c r="I69" s="30">
        <f t="shared" si="50"/>
        <v>137.8876338144151</v>
      </c>
      <c r="J69" s="32" t="str">
        <f t="shared" si="52"/>
        <v>OK</v>
      </c>
      <c r="N69" s="2">
        <f t="shared" si="53"/>
        <v>144</v>
      </c>
    </row>
    <row r="70" spans="1:14" x14ac:dyDescent="0.25">
      <c r="A70" s="49"/>
      <c r="B70" s="9" t="s">
        <v>44</v>
      </c>
      <c r="C70" s="9">
        <f>500</f>
        <v>500</v>
      </c>
      <c r="D70" s="9">
        <v>8</v>
      </c>
      <c r="E70" s="9">
        <v>100</v>
      </c>
      <c r="F70" s="29">
        <f t="shared" si="48"/>
        <v>166.40060149170563</v>
      </c>
      <c r="G70" s="30">
        <f t="shared" si="49"/>
        <v>539.32500000000005</v>
      </c>
      <c r="H70" s="30">
        <f t="shared" si="51"/>
        <v>166.40060149170563</v>
      </c>
      <c r="I70" s="30">
        <f t="shared" si="50"/>
        <v>137.8876338144151</v>
      </c>
      <c r="J70" s="32" t="str">
        <f t="shared" si="52"/>
        <v>OK</v>
      </c>
      <c r="N70" s="2">
        <f t="shared" si="53"/>
        <v>144</v>
      </c>
    </row>
    <row r="71" spans="1:14" x14ac:dyDescent="0.25">
      <c r="A71" s="48">
        <v>3</v>
      </c>
      <c r="B71" s="9" t="s">
        <v>43</v>
      </c>
      <c r="C71" s="9">
        <f>500</f>
        <v>500</v>
      </c>
      <c r="D71" s="9">
        <v>8</v>
      </c>
      <c r="E71" s="9">
        <v>100</v>
      </c>
      <c r="F71" s="29">
        <f t="shared" si="48"/>
        <v>166.40060149170563</v>
      </c>
      <c r="G71" s="30">
        <f t="shared" si="49"/>
        <v>539.32500000000005</v>
      </c>
      <c r="H71" s="30">
        <f t="shared" si="51"/>
        <v>166.40060149170563</v>
      </c>
      <c r="I71" s="30">
        <f t="shared" si="50"/>
        <v>133.97139240967311</v>
      </c>
      <c r="J71" s="32" t="str">
        <f t="shared" si="52"/>
        <v>OK</v>
      </c>
      <c r="N71" s="2">
        <f t="shared" si="53"/>
        <v>144</v>
      </c>
    </row>
    <row r="72" spans="1:14" x14ac:dyDescent="0.25">
      <c r="A72" s="49"/>
      <c r="B72" s="9" t="s">
        <v>44</v>
      </c>
      <c r="C72" s="9">
        <f>500</f>
        <v>500</v>
      </c>
      <c r="D72" s="9">
        <v>8</v>
      </c>
      <c r="E72" s="9">
        <v>100</v>
      </c>
      <c r="F72" s="29">
        <f t="shared" si="48"/>
        <v>166.40060149170563</v>
      </c>
      <c r="G72" s="30">
        <f t="shared" si="49"/>
        <v>539.32500000000005</v>
      </c>
      <c r="H72" s="30">
        <f t="shared" si="51"/>
        <v>166.40060149170563</v>
      </c>
      <c r="I72" s="30">
        <f t="shared" si="50"/>
        <v>128.45858098402957</v>
      </c>
      <c r="J72" s="32" t="str">
        <f t="shared" si="52"/>
        <v>OK</v>
      </c>
      <c r="N72" s="2">
        <f t="shared" si="53"/>
        <v>112</v>
      </c>
    </row>
    <row r="73" spans="1:14" ht="18" x14ac:dyDescent="0.35">
      <c r="A73" s="7" t="s">
        <v>66</v>
      </c>
      <c r="B73" s="26" t="s">
        <v>42</v>
      </c>
      <c r="C73" s="7" t="s">
        <v>67</v>
      </c>
      <c r="D73" s="7" t="s">
        <v>98</v>
      </c>
      <c r="E73" s="7" t="s">
        <v>97</v>
      </c>
      <c r="F73" s="44" t="s">
        <v>99</v>
      </c>
      <c r="G73" s="7" t="s">
        <v>100</v>
      </c>
      <c r="H73" s="7" t="s">
        <v>101</v>
      </c>
      <c r="I73" s="7" t="s">
        <v>102</v>
      </c>
      <c r="N73" s="2"/>
    </row>
    <row r="74" spans="1:14" x14ac:dyDescent="0.25">
      <c r="A74" s="7" t="s">
        <v>40</v>
      </c>
      <c r="B74" s="27"/>
      <c r="C74" s="7" t="s">
        <v>2</v>
      </c>
      <c r="D74" s="7" t="s">
        <v>2</v>
      </c>
      <c r="E74" s="7" t="s">
        <v>2</v>
      </c>
      <c r="F74" s="44" t="s">
        <v>59</v>
      </c>
      <c r="G74" s="7" t="s">
        <v>59</v>
      </c>
      <c r="H74" s="31" t="s">
        <v>59</v>
      </c>
      <c r="I74" s="7" t="s">
        <v>59</v>
      </c>
      <c r="N74" s="2"/>
    </row>
    <row r="75" spans="1:14" x14ac:dyDescent="0.25">
      <c r="A75" s="48">
        <v>1</v>
      </c>
      <c r="B75" s="9" t="s">
        <v>43</v>
      </c>
      <c r="C75" s="9">
        <f>500</f>
        <v>500</v>
      </c>
      <c r="D75" s="9">
        <v>8</v>
      </c>
      <c r="E75" s="9">
        <v>100</v>
      </c>
      <c r="F75" s="29">
        <f t="shared" ref="F75:F80" si="54">(0.9*($AI$4-30)*(2*PI()*D75^2/4)/E75*$AI$6)/1000</f>
        <v>166.40060149170563</v>
      </c>
      <c r="G75" s="30">
        <f t="shared" ref="G75:G80" si="55">(0.9*($AI$4-30)*$AI$3*0.5*$AI$14*0.5)/1000</f>
        <v>539.32500000000005</v>
      </c>
      <c r="H75" s="30">
        <f>MIN(F75:G75)</f>
        <v>166.40060149170563</v>
      </c>
      <c r="I75" s="30">
        <f t="shared" ref="I75:I80" si="56">MAX(ABS(G46),ABS(H46))</f>
        <v>139.46308363611598</v>
      </c>
      <c r="J75" s="32" t="str">
        <f>IF(H75&gt;I75,"OK","NO")</f>
        <v>OK</v>
      </c>
      <c r="N75" s="2">
        <f>8*E19</f>
        <v>112</v>
      </c>
    </row>
    <row r="76" spans="1:14" x14ac:dyDescent="0.25">
      <c r="A76" s="49"/>
      <c r="B76" s="9" t="s">
        <v>44</v>
      </c>
      <c r="C76" s="9">
        <f>500</f>
        <v>500</v>
      </c>
      <c r="D76" s="9">
        <v>8</v>
      </c>
      <c r="E76" s="9">
        <v>100</v>
      </c>
      <c r="F76" s="29">
        <f t="shared" si="54"/>
        <v>166.40060149170563</v>
      </c>
      <c r="G76" s="30">
        <f t="shared" si="55"/>
        <v>539.32500000000005</v>
      </c>
      <c r="H76" s="30">
        <f t="shared" ref="H76:H80" si="57">MIN(F76:G76)</f>
        <v>166.40060149170563</v>
      </c>
      <c r="I76" s="30">
        <f t="shared" si="56"/>
        <v>150.25337025364979</v>
      </c>
      <c r="J76" s="32" t="str">
        <f t="shared" ref="J76:J80" si="58">IF(H76&gt;I76,"OK","NO")</f>
        <v>OK</v>
      </c>
      <c r="N76" s="2">
        <f>8*C20</f>
        <v>160</v>
      </c>
    </row>
    <row r="77" spans="1:14" x14ac:dyDescent="0.25">
      <c r="A77" s="48">
        <v>2</v>
      </c>
      <c r="B77" s="9" t="s">
        <v>43</v>
      </c>
      <c r="C77" s="9">
        <f>500</f>
        <v>500</v>
      </c>
      <c r="D77" s="9">
        <v>8</v>
      </c>
      <c r="E77" s="9">
        <v>100</v>
      </c>
      <c r="F77" s="29">
        <f t="shared" si="54"/>
        <v>166.40060149170563</v>
      </c>
      <c r="G77" s="30">
        <f t="shared" si="55"/>
        <v>539.32500000000005</v>
      </c>
      <c r="H77" s="30">
        <f t="shared" si="57"/>
        <v>166.40060149170563</v>
      </c>
      <c r="I77" s="30">
        <f t="shared" si="56"/>
        <v>156.86168212973371</v>
      </c>
      <c r="J77" s="32" t="str">
        <f t="shared" si="58"/>
        <v>OK</v>
      </c>
      <c r="N77" s="2">
        <f t="shared" ref="N77:N79" si="59">8*C21</f>
        <v>160</v>
      </c>
    </row>
    <row r="78" spans="1:14" x14ac:dyDescent="0.25">
      <c r="A78" s="49"/>
      <c r="B78" s="9" t="s">
        <v>44</v>
      </c>
      <c r="C78" s="9">
        <f>500</f>
        <v>500</v>
      </c>
      <c r="D78" s="9">
        <v>8</v>
      </c>
      <c r="E78" s="9">
        <v>100</v>
      </c>
      <c r="F78" s="29">
        <f t="shared" si="54"/>
        <v>166.40060149170563</v>
      </c>
      <c r="G78" s="30">
        <f t="shared" si="55"/>
        <v>539.32500000000005</v>
      </c>
      <c r="H78" s="30">
        <f t="shared" si="57"/>
        <v>166.40060149170563</v>
      </c>
      <c r="I78" s="30">
        <f t="shared" si="56"/>
        <v>156.86168212973371</v>
      </c>
      <c r="J78" s="32" t="str">
        <f t="shared" si="58"/>
        <v>OK</v>
      </c>
      <c r="N78" s="2">
        <f t="shared" si="59"/>
        <v>160</v>
      </c>
    </row>
    <row r="79" spans="1:14" x14ac:dyDescent="0.25">
      <c r="A79" s="48">
        <v>3</v>
      </c>
      <c r="B79" s="9" t="s">
        <v>43</v>
      </c>
      <c r="C79" s="9">
        <f>500</f>
        <v>500</v>
      </c>
      <c r="D79" s="9">
        <v>8</v>
      </c>
      <c r="E79" s="9">
        <v>100</v>
      </c>
      <c r="F79" s="29">
        <f t="shared" si="54"/>
        <v>166.40060149170563</v>
      </c>
      <c r="G79" s="30">
        <f t="shared" si="55"/>
        <v>539.32500000000005</v>
      </c>
      <c r="H79" s="30">
        <f t="shared" si="57"/>
        <v>166.40060149170563</v>
      </c>
      <c r="I79" s="30">
        <f t="shared" si="56"/>
        <v>150.25337025364979</v>
      </c>
      <c r="J79" s="32" t="str">
        <f t="shared" si="58"/>
        <v>OK</v>
      </c>
      <c r="N79" s="2">
        <f t="shared" si="59"/>
        <v>160</v>
      </c>
    </row>
    <row r="80" spans="1:14" x14ac:dyDescent="0.25">
      <c r="A80" s="49"/>
      <c r="B80" s="9" t="s">
        <v>44</v>
      </c>
      <c r="C80" s="9">
        <f>500</f>
        <v>500</v>
      </c>
      <c r="D80" s="9">
        <v>8</v>
      </c>
      <c r="E80" s="9">
        <v>100</v>
      </c>
      <c r="F80" s="29">
        <f t="shared" si="54"/>
        <v>166.40060149170563</v>
      </c>
      <c r="G80" s="30">
        <f t="shared" si="55"/>
        <v>539.32500000000005</v>
      </c>
      <c r="H80" s="30">
        <f t="shared" si="57"/>
        <v>166.40060149170563</v>
      </c>
      <c r="I80" s="30">
        <f t="shared" si="56"/>
        <v>139.46308363611598</v>
      </c>
      <c r="J80" s="32" t="str">
        <f t="shared" si="58"/>
        <v>OK</v>
      </c>
      <c r="N80" s="2">
        <f t="shared" ref="N80" si="60">8*E24</f>
        <v>112</v>
      </c>
    </row>
    <row r="83" spans="1:10" ht="26.25" x14ac:dyDescent="0.4">
      <c r="A83" s="50" t="s">
        <v>83</v>
      </c>
      <c r="B83" s="50"/>
      <c r="C83" s="50"/>
      <c r="D83" s="50"/>
      <c r="E83" s="50"/>
      <c r="F83" s="50"/>
      <c r="G83" s="50"/>
      <c r="H83" s="50"/>
      <c r="I83" s="50"/>
      <c r="J83" s="50"/>
    </row>
    <row r="84" spans="1:10" x14ac:dyDescent="0.25">
      <c r="A84" s="2" t="s">
        <v>82</v>
      </c>
      <c r="B84" s="2">
        <f>1.2*(2*3.9)</f>
        <v>9.36</v>
      </c>
    </row>
    <row r="86" spans="1:10" x14ac:dyDescent="0.25">
      <c r="A86" s="7" t="s">
        <v>37</v>
      </c>
      <c r="B86" s="26" t="s">
        <v>42</v>
      </c>
      <c r="C86" s="33" t="s">
        <v>15</v>
      </c>
      <c r="D86" s="33" t="s">
        <v>16</v>
      </c>
      <c r="E86" s="7" t="s">
        <v>81</v>
      </c>
    </row>
    <row r="87" spans="1:10" x14ac:dyDescent="0.25">
      <c r="A87" s="7" t="s">
        <v>40</v>
      </c>
      <c r="B87" s="27"/>
      <c r="C87" s="7" t="s">
        <v>6</v>
      </c>
      <c r="D87" s="7" t="s">
        <v>6</v>
      </c>
      <c r="E87" s="18" t="s">
        <v>27</v>
      </c>
    </row>
    <row r="88" spans="1:10" x14ac:dyDescent="0.25">
      <c r="A88" s="48">
        <v>1</v>
      </c>
      <c r="B88" s="9" t="s">
        <v>43</v>
      </c>
      <c r="C88" s="30">
        <f t="shared" ref="C88:C93" si="61">G3</f>
        <v>936.19461076975836</v>
      </c>
      <c r="D88" s="30">
        <f t="shared" ref="D88:D93" si="62">L3</f>
        <v>615.75216010359941</v>
      </c>
      <c r="E88" s="34">
        <f t="shared" ref="E88:E93" si="63">(C88-D88)/($AI$3*$AI$4)</f>
        <v>2.1362830044410596E-3</v>
      </c>
      <c r="F88" s="9">
        <f t="shared" ref="F88:F93" si="64">0.0018*$AI$14/($B$84*1.86/1000*$AI$6)</f>
        <v>4.491774653064975E-3</v>
      </c>
      <c r="G88" s="9" t="str">
        <f>IF(E88&lt;F88,"OK","NO")</f>
        <v>OK</v>
      </c>
    </row>
    <row r="89" spans="1:10" x14ac:dyDescent="0.25">
      <c r="A89" s="49"/>
      <c r="B89" s="9" t="s">
        <v>44</v>
      </c>
      <c r="C89" s="30">
        <f t="shared" si="61"/>
        <v>1137.2565405995051</v>
      </c>
      <c r="D89" s="30">
        <f t="shared" si="62"/>
        <v>615.75216010359941</v>
      </c>
      <c r="E89" s="34">
        <f t="shared" si="63"/>
        <v>3.4766958699727047E-3</v>
      </c>
      <c r="F89" s="9">
        <f t="shared" si="64"/>
        <v>4.491774653064975E-3</v>
      </c>
      <c r="G89" s="9" t="str">
        <f t="shared" ref="G89:G93" si="65">IF(E89&lt;F89,"OK","NO")</f>
        <v>OK</v>
      </c>
    </row>
    <row r="90" spans="1:10" x14ac:dyDescent="0.25">
      <c r="A90" s="48">
        <v>2</v>
      </c>
      <c r="B90" s="9" t="s">
        <v>43</v>
      </c>
      <c r="C90" s="30">
        <f t="shared" si="61"/>
        <v>1137.2565405995051</v>
      </c>
      <c r="D90" s="30">
        <f t="shared" si="62"/>
        <v>615.75216010359941</v>
      </c>
      <c r="E90" s="34">
        <f t="shared" si="63"/>
        <v>3.4766958699727047E-3</v>
      </c>
      <c r="F90" s="9">
        <f t="shared" si="64"/>
        <v>4.491774653064975E-3</v>
      </c>
      <c r="G90" s="9" t="str">
        <f t="shared" si="65"/>
        <v>OK</v>
      </c>
    </row>
    <row r="91" spans="1:10" x14ac:dyDescent="0.25">
      <c r="A91" s="49"/>
      <c r="B91" s="9" t="s">
        <v>44</v>
      </c>
      <c r="C91" s="30">
        <f t="shared" si="61"/>
        <v>1137.2565405995051</v>
      </c>
      <c r="D91" s="30">
        <f t="shared" si="62"/>
        <v>615.75216010359941</v>
      </c>
      <c r="E91" s="34">
        <f t="shared" si="63"/>
        <v>3.4766958699727047E-3</v>
      </c>
      <c r="F91" s="9">
        <f t="shared" si="64"/>
        <v>4.491774653064975E-3</v>
      </c>
      <c r="G91" s="9" t="str">
        <f t="shared" si="65"/>
        <v>OK</v>
      </c>
    </row>
    <row r="92" spans="1:10" x14ac:dyDescent="0.25">
      <c r="A92" s="48">
        <v>3</v>
      </c>
      <c r="B92" s="9" t="s">
        <v>43</v>
      </c>
      <c r="C92" s="30">
        <f t="shared" si="61"/>
        <v>1137.2565405995051</v>
      </c>
      <c r="D92" s="30">
        <f t="shared" si="62"/>
        <v>615.75216010359941</v>
      </c>
      <c r="E92" s="34">
        <f t="shared" si="63"/>
        <v>3.4766958699727047E-3</v>
      </c>
      <c r="F92" s="9">
        <f t="shared" si="64"/>
        <v>4.491774653064975E-3</v>
      </c>
      <c r="G92" s="9" t="str">
        <f t="shared" si="65"/>
        <v>OK</v>
      </c>
    </row>
    <row r="93" spans="1:10" x14ac:dyDescent="0.25">
      <c r="A93" s="49"/>
      <c r="B93" s="9" t="s">
        <v>44</v>
      </c>
      <c r="C93" s="30">
        <f t="shared" si="61"/>
        <v>936.19461076975836</v>
      </c>
      <c r="D93" s="30">
        <f t="shared" si="62"/>
        <v>615.75216010359941</v>
      </c>
      <c r="E93" s="34">
        <f t="shared" si="63"/>
        <v>2.1362830044410596E-3</v>
      </c>
      <c r="F93" s="9">
        <f t="shared" si="64"/>
        <v>4.491774653064975E-3</v>
      </c>
      <c r="G93" s="9" t="str">
        <f t="shared" si="65"/>
        <v>OK</v>
      </c>
    </row>
    <row r="94" spans="1:10" x14ac:dyDescent="0.25">
      <c r="A94" s="7" t="s">
        <v>38</v>
      </c>
      <c r="B94" s="26" t="s">
        <v>42</v>
      </c>
      <c r="C94" s="33" t="s">
        <v>15</v>
      </c>
      <c r="D94" s="33" t="s">
        <v>16</v>
      </c>
      <c r="E94" s="19" t="s">
        <v>81</v>
      </c>
    </row>
    <row r="95" spans="1:10" x14ac:dyDescent="0.25">
      <c r="A95" s="7" t="s">
        <v>40</v>
      </c>
      <c r="B95" s="27"/>
      <c r="C95" s="7" t="s">
        <v>6</v>
      </c>
      <c r="D95" s="7" t="s">
        <v>6</v>
      </c>
      <c r="E95" s="18" t="s">
        <v>27</v>
      </c>
    </row>
    <row r="96" spans="1:10" x14ac:dyDescent="0.25">
      <c r="A96" s="48">
        <v>1</v>
      </c>
      <c r="B96" s="9" t="s">
        <v>43</v>
      </c>
      <c r="C96" s="30">
        <f t="shared" ref="C96:C101" si="66">G11</f>
        <v>936.19461076975836</v>
      </c>
      <c r="D96" s="30">
        <f t="shared" ref="D96:D101" si="67">L11</f>
        <v>534.07075111026484</v>
      </c>
      <c r="E96" s="34">
        <f t="shared" ref="E96:E101" si="68">(C96-D96)/($AI$3*$AI$4)</f>
        <v>2.6808257310632902E-3</v>
      </c>
      <c r="F96" s="9">
        <f t="shared" ref="F96:F101" si="69">0.0018*$AI$14/($B$84*1.86/1000*$AI$6)</f>
        <v>4.491774653064975E-3</v>
      </c>
      <c r="G96" s="9" t="str">
        <f>IF(E96&lt;F96,"OK","NO")</f>
        <v>OK</v>
      </c>
    </row>
    <row r="97" spans="1:7" x14ac:dyDescent="0.25">
      <c r="A97" s="49"/>
      <c r="B97" s="9" t="s">
        <v>44</v>
      </c>
      <c r="C97" s="30">
        <f t="shared" si="66"/>
        <v>1137.2565405995051</v>
      </c>
      <c r="D97" s="30">
        <f t="shared" si="67"/>
        <v>615.75216010359941</v>
      </c>
      <c r="E97" s="34">
        <f t="shared" si="68"/>
        <v>3.4766958699727047E-3</v>
      </c>
      <c r="F97" s="9">
        <f t="shared" si="69"/>
        <v>4.491774653064975E-3</v>
      </c>
      <c r="G97" s="9" t="str">
        <f t="shared" ref="G97:G101" si="70">IF(E97&lt;F97,"OK","NO")</f>
        <v>OK</v>
      </c>
    </row>
    <row r="98" spans="1:7" x14ac:dyDescent="0.25">
      <c r="A98" s="48">
        <v>2</v>
      </c>
      <c r="B98" s="9" t="s">
        <v>43</v>
      </c>
      <c r="C98" s="30">
        <f t="shared" si="66"/>
        <v>1137.2565405995051</v>
      </c>
      <c r="D98" s="30">
        <f t="shared" si="67"/>
        <v>615.75216010359941</v>
      </c>
      <c r="E98" s="34">
        <f t="shared" si="68"/>
        <v>3.4766958699727047E-3</v>
      </c>
      <c r="F98" s="9">
        <f t="shared" si="69"/>
        <v>4.491774653064975E-3</v>
      </c>
      <c r="G98" s="9" t="str">
        <f t="shared" si="70"/>
        <v>OK</v>
      </c>
    </row>
    <row r="99" spans="1:7" x14ac:dyDescent="0.25">
      <c r="A99" s="49"/>
      <c r="B99" s="9" t="s">
        <v>44</v>
      </c>
      <c r="C99" s="30">
        <f t="shared" si="66"/>
        <v>1137.2565405995051</v>
      </c>
      <c r="D99" s="30">
        <f t="shared" si="67"/>
        <v>615.75216010359941</v>
      </c>
      <c r="E99" s="34">
        <f t="shared" si="68"/>
        <v>3.4766958699727047E-3</v>
      </c>
      <c r="F99" s="9">
        <f t="shared" si="69"/>
        <v>4.491774653064975E-3</v>
      </c>
      <c r="G99" s="9" t="str">
        <f t="shared" si="70"/>
        <v>OK</v>
      </c>
    </row>
    <row r="100" spans="1:7" x14ac:dyDescent="0.25">
      <c r="A100" s="48">
        <v>3</v>
      </c>
      <c r="B100" s="9" t="s">
        <v>43</v>
      </c>
      <c r="C100" s="30">
        <f t="shared" si="66"/>
        <v>1137.2565405995051</v>
      </c>
      <c r="D100" s="30">
        <f t="shared" si="67"/>
        <v>615.75216010359941</v>
      </c>
      <c r="E100" s="34">
        <f t="shared" si="68"/>
        <v>3.4766958699727047E-3</v>
      </c>
      <c r="F100" s="9">
        <f t="shared" si="69"/>
        <v>4.491774653064975E-3</v>
      </c>
      <c r="G100" s="9" t="str">
        <f t="shared" si="70"/>
        <v>OK</v>
      </c>
    </row>
    <row r="101" spans="1:7" x14ac:dyDescent="0.25">
      <c r="A101" s="49"/>
      <c r="B101" s="9" t="s">
        <v>44</v>
      </c>
      <c r="C101" s="30">
        <f t="shared" si="66"/>
        <v>936.19461076975836</v>
      </c>
      <c r="D101" s="30">
        <f t="shared" si="67"/>
        <v>534.07075111026484</v>
      </c>
      <c r="E101" s="34">
        <f t="shared" si="68"/>
        <v>2.6808257310632902E-3</v>
      </c>
      <c r="F101" s="9">
        <f t="shared" si="69"/>
        <v>4.491774653064975E-3</v>
      </c>
      <c r="G101" s="9" t="str">
        <f t="shared" si="70"/>
        <v>OK</v>
      </c>
    </row>
    <row r="102" spans="1:7" x14ac:dyDescent="0.25">
      <c r="A102" s="7" t="s">
        <v>66</v>
      </c>
      <c r="B102" s="26" t="s">
        <v>42</v>
      </c>
      <c r="C102" s="33" t="s">
        <v>15</v>
      </c>
      <c r="D102" s="33" t="s">
        <v>16</v>
      </c>
      <c r="E102" s="19" t="s">
        <v>81</v>
      </c>
    </row>
    <row r="103" spans="1:7" x14ac:dyDescent="0.25">
      <c r="A103" s="7" t="s">
        <v>40</v>
      </c>
      <c r="B103" s="27"/>
      <c r="C103" s="7" t="s">
        <v>6</v>
      </c>
      <c r="D103" s="7" t="s">
        <v>6</v>
      </c>
      <c r="E103" s="18" t="s">
        <v>27</v>
      </c>
    </row>
    <row r="104" spans="1:7" x14ac:dyDescent="0.25">
      <c r="A104" s="48">
        <v>1</v>
      </c>
      <c r="B104" s="9" t="s">
        <v>43</v>
      </c>
      <c r="C104" s="30">
        <f t="shared" ref="C104:C109" si="71">G19</f>
        <v>936.19461076975836</v>
      </c>
      <c r="D104" s="30">
        <f t="shared" ref="D104:D109" si="72">L19</f>
        <v>534.07075111026484</v>
      </c>
      <c r="E104" s="34">
        <f t="shared" ref="E104:E109" si="73">(C104-D104)/($AI$3*$AI$4)</f>
        <v>2.6808257310632902E-3</v>
      </c>
      <c r="F104" s="9">
        <f t="shared" ref="F104:F109" si="74">0.0018*$AI$14/($B$84*1.86/1000*$AI$6)</f>
        <v>4.491774653064975E-3</v>
      </c>
      <c r="G104" s="9" t="str">
        <f>IF(E104&lt;F104,"OK","NO")</f>
        <v>OK</v>
      </c>
    </row>
    <row r="105" spans="1:7" x14ac:dyDescent="0.25">
      <c r="A105" s="49"/>
      <c r="B105" s="9" t="s">
        <v>44</v>
      </c>
      <c r="C105" s="30">
        <f t="shared" si="71"/>
        <v>1256.6370614359173</v>
      </c>
      <c r="D105" s="30">
        <f t="shared" si="72"/>
        <v>615.75216010359941</v>
      </c>
      <c r="E105" s="34">
        <f t="shared" si="73"/>
        <v>4.2725660088821192E-3</v>
      </c>
      <c r="F105" s="9">
        <f t="shared" si="74"/>
        <v>4.491774653064975E-3</v>
      </c>
      <c r="G105" s="9" t="str">
        <f t="shared" ref="G105:G109" si="75">IF(E105&lt;F105,"OK","NO")</f>
        <v>OK</v>
      </c>
    </row>
    <row r="106" spans="1:7" x14ac:dyDescent="0.25">
      <c r="A106" s="48">
        <v>2</v>
      </c>
      <c r="B106" s="9" t="s">
        <v>43</v>
      </c>
      <c r="C106" s="30">
        <f t="shared" si="71"/>
        <v>1256.6370614359173</v>
      </c>
      <c r="D106" s="30">
        <f t="shared" si="72"/>
        <v>615.75216010359941</v>
      </c>
      <c r="E106" s="34">
        <f t="shared" si="73"/>
        <v>4.2725660088821192E-3</v>
      </c>
      <c r="F106" s="9">
        <f t="shared" si="74"/>
        <v>4.491774653064975E-3</v>
      </c>
      <c r="G106" s="9" t="str">
        <f t="shared" si="75"/>
        <v>OK</v>
      </c>
    </row>
    <row r="107" spans="1:7" x14ac:dyDescent="0.25">
      <c r="A107" s="49"/>
      <c r="B107" s="9" t="s">
        <v>44</v>
      </c>
      <c r="C107" s="30">
        <f t="shared" si="71"/>
        <v>1256.6370614359173</v>
      </c>
      <c r="D107" s="30">
        <f t="shared" si="72"/>
        <v>615.75216010359941</v>
      </c>
      <c r="E107" s="34">
        <f t="shared" si="73"/>
        <v>4.2725660088821192E-3</v>
      </c>
      <c r="F107" s="9">
        <f t="shared" si="74"/>
        <v>4.491774653064975E-3</v>
      </c>
      <c r="G107" s="9" t="str">
        <f t="shared" si="75"/>
        <v>OK</v>
      </c>
    </row>
    <row r="108" spans="1:7" x14ac:dyDescent="0.25">
      <c r="A108" s="48">
        <v>3</v>
      </c>
      <c r="B108" s="9" t="s">
        <v>43</v>
      </c>
      <c r="C108" s="30">
        <f t="shared" si="71"/>
        <v>1256.6370614359173</v>
      </c>
      <c r="D108" s="30">
        <f t="shared" si="72"/>
        <v>615.75216010359941</v>
      </c>
      <c r="E108" s="34">
        <f t="shared" si="73"/>
        <v>4.2725660088821192E-3</v>
      </c>
      <c r="F108" s="9">
        <f t="shared" si="74"/>
        <v>4.491774653064975E-3</v>
      </c>
      <c r="G108" s="9" t="str">
        <f t="shared" si="75"/>
        <v>OK</v>
      </c>
    </row>
    <row r="109" spans="1:7" x14ac:dyDescent="0.25">
      <c r="A109" s="49"/>
      <c r="B109" s="9" t="s">
        <v>44</v>
      </c>
      <c r="C109" s="30">
        <f t="shared" si="71"/>
        <v>936.19461076975836</v>
      </c>
      <c r="D109" s="30">
        <f t="shared" si="72"/>
        <v>534.07075111026484</v>
      </c>
      <c r="E109" s="34">
        <f t="shared" si="73"/>
        <v>2.6808257310632902E-3</v>
      </c>
      <c r="F109" s="9">
        <f t="shared" si="74"/>
        <v>4.491774653064975E-3</v>
      </c>
      <c r="G109" s="9" t="str">
        <f t="shared" si="75"/>
        <v>OK</v>
      </c>
    </row>
  </sheetData>
  <mergeCells count="46">
    <mergeCell ref="A3:A4"/>
    <mergeCell ref="A5:A6"/>
    <mergeCell ref="A7:A8"/>
    <mergeCell ref="C17:G17"/>
    <mergeCell ref="H17:L17"/>
    <mergeCell ref="A11:A12"/>
    <mergeCell ref="A13:A14"/>
    <mergeCell ref="A15:A16"/>
    <mergeCell ref="B1:B2"/>
    <mergeCell ref="C1:G1"/>
    <mergeCell ref="H1:L1"/>
    <mergeCell ref="C9:G9"/>
    <mergeCell ref="H9:L9"/>
    <mergeCell ref="A48:A49"/>
    <mergeCell ref="A19:A20"/>
    <mergeCell ref="A21:A22"/>
    <mergeCell ref="A23:A24"/>
    <mergeCell ref="A26:H26"/>
    <mergeCell ref="A30:A31"/>
    <mergeCell ref="A32:A33"/>
    <mergeCell ref="A34:A35"/>
    <mergeCell ref="A38:A39"/>
    <mergeCell ref="A40:A41"/>
    <mergeCell ref="A42:A43"/>
    <mergeCell ref="A46:A47"/>
    <mergeCell ref="A83:J83"/>
    <mergeCell ref="A50:A51"/>
    <mergeCell ref="A54:I54"/>
    <mergeCell ref="A59:A60"/>
    <mergeCell ref="A61:A62"/>
    <mergeCell ref="A63:A64"/>
    <mergeCell ref="A67:A68"/>
    <mergeCell ref="A69:A70"/>
    <mergeCell ref="A71:A72"/>
    <mergeCell ref="A75:A76"/>
    <mergeCell ref="A77:A78"/>
    <mergeCell ref="A79:A80"/>
    <mergeCell ref="A104:A105"/>
    <mergeCell ref="A106:A107"/>
    <mergeCell ref="A108:A109"/>
    <mergeCell ref="A88:A89"/>
    <mergeCell ref="A90:A91"/>
    <mergeCell ref="A92:A93"/>
    <mergeCell ref="A96:A97"/>
    <mergeCell ref="A98:A99"/>
    <mergeCell ref="A100:A101"/>
  </mergeCells>
  <conditionalFormatting sqref="J59:J80">
    <cfRule type="cellIs" dxfId="6" priority="1" operator="equal">
      <formula>"OK"</formula>
    </cfRule>
  </conditionalFormatting>
  <pageMargins left="0.7" right="0.7" top="0.75" bottom="0.75" header="0.3" footer="0.3"/>
  <pageSetup paperSize="9" scale="1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059C-1B8E-4B3F-8C16-ECF44349B6C2}">
  <sheetPr>
    <pageSetUpPr fitToPage="1"/>
  </sheetPr>
  <dimension ref="A1:AN109"/>
  <sheetViews>
    <sheetView topLeftCell="A58" zoomScale="66" zoomScaleNormal="66" workbookViewId="0">
      <selection activeCell="C65" sqref="C65:I65"/>
    </sheetView>
  </sheetViews>
  <sheetFormatPr defaultRowHeight="15" x14ac:dyDescent="0.25"/>
  <cols>
    <col min="1" max="1" width="9.140625" style="2"/>
    <col min="2" max="2" width="11.42578125" style="2" customWidth="1"/>
    <col min="3" max="3" width="14.42578125" style="2" customWidth="1"/>
    <col min="4" max="4" width="13.5703125" style="2" customWidth="1"/>
    <col min="5" max="5" width="12.42578125" style="2" customWidth="1"/>
    <col min="6" max="6" width="11.42578125" style="2" customWidth="1"/>
    <col min="7" max="8" width="12" style="2" customWidth="1"/>
    <col min="9" max="9" width="10.42578125" style="2" customWidth="1"/>
    <col min="10" max="10" width="7.140625" style="2" customWidth="1"/>
    <col min="11" max="11" width="15.7109375" style="2" customWidth="1"/>
    <col min="12" max="12" width="13.85546875" style="2" customWidth="1"/>
    <col min="13" max="13" width="19.28515625" style="2" customWidth="1"/>
    <col min="15" max="15" width="16.7109375" customWidth="1"/>
    <col min="17" max="17" width="11.5703125" customWidth="1"/>
    <col min="18" max="18" width="10.7109375" customWidth="1"/>
    <col min="19" max="19" width="13.140625" customWidth="1"/>
    <col min="20" max="20" width="59.85546875" customWidth="1"/>
    <col min="21" max="21" width="14.7109375" customWidth="1"/>
    <col min="22" max="22" width="20.85546875" customWidth="1"/>
    <col min="23" max="23" width="19.7109375" style="2" customWidth="1"/>
    <col min="24" max="24" width="11.85546875" style="2" customWidth="1"/>
    <col min="25" max="25" width="14.85546875" style="2" customWidth="1"/>
    <col min="26" max="26" width="16.5703125" style="2" customWidth="1"/>
    <col min="27" max="27" width="16.85546875" style="2" customWidth="1"/>
    <col min="28" max="28" width="16" style="2" customWidth="1"/>
    <col min="29" max="29" width="18.7109375" style="2" customWidth="1"/>
    <col min="30" max="30" width="16.28515625" style="2" customWidth="1"/>
    <col min="31" max="31" width="16" style="2" customWidth="1"/>
    <col min="32" max="32" width="13.85546875" style="2" customWidth="1"/>
    <col min="33" max="33" width="15" style="2" customWidth="1"/>
    <col min="34" max="34" width="7.85546875" style="2" customWidth="1"/>
    <col min="35" max="35" width="15" style="2" customWidth="1"/>
    <col min="36" max="16384" width="9.140625" style="2"/>
  </cols>
  <sheetData>
    <row r="1" spans="1:40" x14ac:dyDescent="0.25">
      <c r="A1" s="7" t="s">
        <v>37</v>
      </c>
      <c r="B1" s="52" t="s">
        <v>42</v>
      </c>
      <c r="C1" s="54" t="s">
        <v>15</v>
      </c>
      <c r="D1" s="55"/>
      <c r="E1" s="55"/>
      <c r="F1" s="55"/>
      <c r="G1" s="56"/>
      <c r="H1" s="54" t="s">
        <v>16</v>
      </c>
      <c r="I1" s="55"/>
      <c r="J1" s="55"/>
      <c r="K1" s="55"/>
      <c r="L1" s="56"/>
      <c r="M1" s="7" t="s">
        <v>48</v>
      </c>
      <c r="O1" s="7" t="s">
        <v>47</v>
      </c>
      <c r="P1" s="2"/>
      <c r="Q1" s="7" t="s">
        <v>54</v>
      </c>
      <c r="AC1"/>
      <c r="AD1"/>
      <c r="AE1" s="7" t="s">
        <v>11</v>
      </c>
      <c r="AF1" s="7" t="s">
        <v>46</v>
      </c>
      <c r="AH1" s="14" t="s">
        <v>4</v>
      </c>
      <c r="AI1" s="14"/>
      <c r="AJ1" s="14"/>
      <c r="AL1" s="7" t="s">
        <v>0</v>
      </c>
      <c r="AM1" s="7" t="s">
        <v>1</v>
      </c>
      <c r="AN1" s="7" t="s">
        <v>13</v>
      </c>
    </row>
    <row r="2" spans="1:40" x14ac:dyDescent="0.25">
      <c r="A2" s="7" t="s">
        <v>40</v>
      </c>
      <c r="B2" s="53"/>
      <c r="C2" s="7" t="s">
        <v>25</v>
      </c>
      <c r="D2" s="7" t="s">
        <v>26</v>
      </c>
      <c r="E2" s="7" t="s">
        <v>25</v>
      </c>
      <c r="F2" s="7" t="s">
        <v>26</v>
      </c>
      <c r="G2" s="7" t="s">
        <v>41</v>
      </c>
      <c r="H2" s="7" t="s">
        <v>25</v>
      </c>
      <c r="I2" s="7" t="s">
        <v>26</v>
      </c>
      <c r="J2" s="7" t="s">
        <v>25</v>
      </c>
      <c r="K2" s="7" t="s">
        <v>26</v>
      </c>
      <c r="L2" s="7" t="s">
        <v>41</v>
      </c>
      <c r="M2" s="18" t="s">
        <v>27</v>
      </c>
      <c r="N2" s="17"/>
      <c r="O2" s="18" t="s">
        <v>27</v>
      </c>
      <c r="P2" s="2"/>
      <c r="Q2" s="7" t="s">
        <v>2</v>
      </c>
      <c r="T2" s="2" t="s">
        <v>84</v>
      </c>
      <c r="U2" s="2" t="s">
        <v>0</v>
      </c>
      <c r="V2" s="2" t="s">
        <v>85</v>
      </c>
      <c r="W2" s="2" t="s">
        <v>54</v>
      </c>
      <c r="X2" s="17" t="s">
        <v>87</v>
      </c>
      <c r="Y2"/>
      <c r="Z2" s="2" t="s">
        <v>88</v>
      </c>
      <c r="AC2"/>
      <c r="AD2"/>
      <c r="AE2" s="7" t="s">
        <v>27</v>
      </c>
      <c r="AF2" s="7" t="s">
        <v>27</v>
      </c>
      <c r="AH2" s="14" t="s">
        <v>5</v>
      </c>
      <c r="AI2" s="14"/>
      <c r="AJ2" s="14"/>
      <c r="AL2" s="7" t="s">
        <v>2</v>
      </c>
      <c r="AM2" s="7" t="s">
        <v>2</v>
      </c>
      <c r="AN2" s="7" t="s">
        <v>2</v>
      </c>
    </row>
    <row r="3" spans="1:40" x14ac:dyDescent="0.25">
      <c r="A3" s="51">
        <v>1</v>
      </c>
      <c r="B3" s="9" t="s">
        <v>43</v>
      </c>
      <c r="C3" s="9">
        <v>14</v>
      </c>
      <c r="D3" s="9">
        <v>2</v>
      </c>
      <c r="E3" s="9">
        <v>14</v>
      </c>
      <c r="F3" s="9">
        <v>2</v>
      </c>
      <c r="G3" s="10">
        <f>(C3^2/4*D3+E3^2/4*F3)*PI()</f>
        <v>615.75216010359941</v>
      </c>
      <c r="H3" s="9">
        <v>14</v>
      </c>
      <c r="I3" s="9">
        <v>2</v>
      </c>
      <c r="J3" s="9">
        <v>12</v>
      </c>
      <c r="K3" s="9">
        <v>2</v>
      </c>
      <c r="L3" s="10">
        <f>(H3^2/4*I3+J3^2/4*K3)*PI()</f>
        <v>534.07075111026484</v>
      </c>
      <c r="M3" s="15">
        <f t="shared" ref="M3:M8" si="0">G3/($AL$3*$AM$3)</f>
        <v>4.1050144006906627E-3</v>
      </c>
      <c r="N3" s="16" t="str">
        <f t="shared" ref="N3:N8" si="1">IF($AE$3&lt;=M3,"OK","NO")</f>
        <v>OK</v>
      </c>
      <c r="O3" s="23">
        <f t="shared" ref="O3:O8" si="2">L3/($AL$3*$AM$3)</f>
        <v>3.5604716740684321E-3</v>
      </c>
      <c r="P3" s="28" t="str">
        <f t="shared" ref="P3:P8" si="3">IF(O3&gt;$AE$3,"OK","NO")</f>
        <v>OK</v>
      </c>
      <c r="Q3" s="10">
        <f t="shared" ref="Q3:Q8" si="4">ABS($AI$6*(G3-L3)/($AI$14*0.8*$AI$3))</f>
        <v>7.8338947244246713</v>
      </c>
      <c r="T3" s="2">
        <f>$AI$3*$AI$14*0.8</f>
        <v>4080</v>
      </c>
      <c r="U3" s="2">
        <f>L3*$AI$15*3.5/1000-G3*$AI$6</f>
        <v>151595.50463420138</v>
      </c>
      <c r="V3" s="2" t="e">
        <f>$AI$6,$AI$6,L3*$AI$15*(3.5/1000)*($AI$4-40)</f>
        <v>#VALUE!</v>
      </c>
      <c r="W3" t="e">
        <f>CONCATENATE(T3," y^2 ",IF(U3&gt;0," + "," "),U3," y",IF(V3&gt;0," + "," "),V3, " = 0 ")</f>
        <v>#VALUE!</v>
      </c>
      <c r="X3" s="2" t="e">
        <f>U3^2-4*T3*V3</f>
        <v>#VALUE!</v>
      </c>
      <c r="Y3" t="e">
        <f>IF(X3&gt;0,"2 soluzioni distinte",IF(X3=0,"2 soluzioni coincidenti","nessuna soluzione"))</f>
        <v>#VALUE!</v>
      </c>
      <c r="Z3" s="2" t="e">
        <f>IF(X3&lt;0," ",(-U3+SQRT(X3))/(2*T3))</f>
        <v>#VALUE!</v>
      </c>
      <c r="AA3" s="3" t="e">
        <f>IF(X3&lt;0," ",(-U3-SQRT(X3))/(2*T3))</f>
        <v>#VALUE!</v>
      </c>
      <c r="AC3"/>
      <c r="AD3"/>
      <c r="AE3" s="24">
        <f>1.4/$AI$5</f>
        <v>3.1111111111111109E-3</v>
      </c>
      <c r="AF3" s="20">
        <f>3.5/$AI$5</f>
        <v>7.7777777777777776E-3</v>
      </c>
      <c r="AH3" s="2" t="s">
        <v>0</v>
      </c>
      <c r="AI3" s="2">
        <f>300</f>
        <v>300</v>
      </c>
      <c r="AJ3" s="2" t="s">
        <v>2</v>
      </c>
      <c r="AL3" s="35">
        <v>300</v>
      </c>
      <c r="AM3" s="35">
        <v>500</v>
      </c>
      <c r="AN3" s="35">
        <f>AM3-40</f>
        <v>460</v>
      </c>
    </row>
    <row r="4" spans="1:40" x14ac:dyDescent="0.25">
      <c r="A4" s="51"/>
      <c r="B4" s="9" t="s">
        <v>44</v>
      </c>
      <c r="C4" s="9">
        <v>18</v>
      </c>
      <c r="D4" s="9">
        <v>2</v>
      </c>
      <c r="E4" s="9">
        <v>18</v>
      </c>
      <c r="F4" s="9">
        <v>2</v>
      </c>
      <c r="G4" s="10">
        <f t="shared" ref="G4:G8" si="5">(C4^2/4*D4+E4^2/4*F4)*PI()</f>
        <v>1017.8760197630929</v>
      </c>
      <c r="H4" s="9">
        <v>14</v>
      </c>
      <c r="I4" s="9">
        <v>2</v>
      </c>
      <c r="J4" s="9">
        <v>12</v>
      </c>
      <c r="K4" s="9">
        <v>2</v>
      </c>
      <c r="L4" s="10">
        <f t="shared" ref="L4:L8" si="6">(H4^2/4*I4+J4^2/4*K4)*PI()</f>
        <v>534.07075111026484</v>
      </c>
      <c r="M4" s="15">
        <f t="shared" si="0"/>
        <v>6.7858401317539528E-3</v>
      </c>
      <c r="N4" s="16" t="str">
        <f t="shared" si="1"/>
        <v>OK</v>
      </c>
      <c r="O4" s="15">
        <f t="shared" si="2"/>
        <v>3.5604716740684321E-3</v>
      </c>
      <c r="P4" s="28" t="str">
        <f t="shared" si="3"/>
        <v>OK</v>
      </c>
      <c r="Q4" s="10">
        <f t="shared" si="4"/>
        <v>46.400761060053846</v>
      </c>
      <c r="T4" s="2">
        <f t="shared" ref="T4:T8" si="7">$AI$3*$AI$14*0.8</f>
        <v>4080</v>
      </c>
      <c r="U4" s="2">
        <f>G4*$AI$15*3.5/1000-L4*$AI$6</f>
        <v>539154.6675696827</v>
      </c>
      <c r="V4" s="2">
        <f t="shared" ref="V4:V8" ca="1" si="8">IF($AI$15*(3.5/1000)*(AA4-40)/(AA4)&gt;$AI$6,$AI$6,L4*$AI$15*(3.5/1000)*($AI$4-40))</f>
        <v>0</v>
      </c>
      <c r="W4" t="e">
        <f t="shared" ref="W4:W8" ca="1" si="9">CONCATENATE(T4," y^2 ",IF(U4&gt;0," + "," "),U4," y",IF(V4&gt;0," + "," "),V4, " = 0 ")</f>
        <v>#VALUE!</v>
      </c>
      <c r="X4" s="2" t="e">
        <f t="shared" ref="X4:X8" ca="1" si="10">U4^2-4*T4*V4</f>
        <v>#VALUE!</v>
      </c>
      <c r="Y4" t="e">
        <f t="shared" ref="Y4:Y8" ca="1" si="11">IF(X4&gt;0,"2 soluzioni distinte",IF(X4=0,"2 soluzioni coincidenti","nessuna soluzione"))</f>
        <v>#VALUE!</v>
      </c>
      <c r="Z4" s="2" t="e">
        <f t="shared" ref="Z4:Z8" ca="1" si="12">IF(X4&lt;0," ",(-U4+SQRT(X4))/(2*T4))</f>
        <v>#VALUE!</v>
      </c>
      <c r="AA4" s="3" t="e">
        <f t="shared" ref="AA4:AA8" ca="1" si="13">IF(X4&lt;0," ",(-U4-SQRT(X4))/(2*T4))</f>
        <v>#VALUE!</v>
      </c>
      <c r="AC4"/>
      <c r="AD4"/>
      <c r="AE4" s="21"/>
      <c r="AH4" s="2" t="s">
        <v>1</v>
      </c>
      <c r="AI4" s="2">
        <v>500</v>
      </c>
      <c r="AJ4" s="2" t="s">
        <v>2</v>
      </c>
      <c r="AL4" s="35"/>
      <c r="AM4" s="35"/>
      <c r="AN4" s="35"/>
    </row>
    <row r="5" spans="1:40" x14ac:dyDescent="0.25">
      <c r="A5" s="51">
        <v>2</v>
      </c>
      <c r="B5" s="9" t="s">
        <v>43</v>
      </c>
      <c r="C5" s="9">
        <v>18</v>
      </c>
      <c r="D5" s="9">
        <v>2</v>
      </c>
      <c r="E5" s="9">
        <v>18</v>
      </c>
      <c r="F5" s="9">
        <v>2</v>
      </c>
      <c r="G5" s="10">
        <f t="shared" si="5"/>
        <v>1017.8760197630929</v>
      </c>
      <c r="H5" s="9">
        <v>14</v>
      </c>
      <c r="I5" s="9">
        <v>2</v>
      </c>
      <c r="J5" s="9">
        <v>14</v>
      </c>
      <c r="K5" s="9">
        <v>2</v>
      </c>
      <c r="L5" s="10">
        <f t="shared" si="6"/>
        <v>615.75216010359941</v>
      </c>
      <c r="M5" s="15">
        <f t="shared" si="0"/>
        <v>6.7858401317539528E-3</v>
      </c>
      <c r="N5" s="16" t="str">
        <f t="shared" si="1"/>
        <v>OK</v>
      </c>
      <c r="O5" s="15">
        <f t="shared" si="2"/>
        <v>4.1050144006906627E-3</v>
      </c>
      <c r="P5" s="28" t="str">
        <f t="shared" si="3"/>
        <v>OK</v>
      </c>
      <c r="Q5" s="10">
        <f t="shared" si="4"/>
        <v>38.566866335629172</v>
      </c>
      <c r="T5" s="2">
        <f>$AI$3*$AI$14*0.8</f>
        <v>4080</v>
      </c>
      <c r="U5" s="2">
        <f>L5*$AI$15*3.5/1000-G5*$AI$6</f>
        <v>54278.525594935287</v>
      </c>
      <c r="V5" s="2">
        <f t="shared" ca="1" si="8"/>
        <v>0</v>
      </c>
      <c r="W5" t="e">
        <f t="shared" ca="1" si="9"/>
        <v>#VALUE!</v>
      </c>
      <c r="X5" s="2" t="e">
        <f t="shared" ca="1" si="10"/>
        <v>#VALUE!</v>
      </c>
      <c r="Y5" t="e">
        <f t="shared" ca="1" si="11"/>
        <v>#VALUE!</v>
      </c>
      <c r="Z5" s="2" t="e">
        <f t="shared" ca="1" si="12"/>
        <v>#VALUE!</v>
      </c>
      <c r="AA5" s="3" t="e">
        <f t="shared" ca="1" si="13"/>
        <v>#VALUE!</v>
      </c>
      <c r="AC5"/>
      <c r="AD5"/>
      <c r="AE5" s="21"/>
      <c r="AH5" s="2" t="s">
        <v>10</v>
      </c>
      <c r="AI5" s="2">
        <f>450</f>
        <v>450</v>
      </c>
      <c r="AJ5" s="2" t="s">
        <v>3</v>
      </c>
      <c r="AL5" s="35">
        <v>300</v>
      </c>
      <c r="AM5" s="35">
        <v>500</v>
      </c>
      <c r="AN5" s="35">
        <f t="shared" ref="AN5" si="14">AM5-40</f>
        <v>460</v>
      </c>
    </row>
    <row r="6" spans="1:40" x14ac:dyDescent="0.25">
      <c r="A6" s="51"/>
      <c r="B6" s="9" t="s">
        <v>44</v>
      </c>
      <c r="C6" s="9">
        <v>18</v>
      </c>
      <c r="D6" s="9">
        <v>2</v>
      </c>
      <c r="E6" s="9">
        <v>18</v>
      </c>
      <c r="F6" s="9">
        <v>2</v>
      </c>
      <c r="G6" s="10">
        <f t="shared" si="5"/>
        <v>1017.8760197630929</v>
      </c>
      <c r="H6" s="9">
        <v>14</v>
      </c>
      <c r="I6" s="9">
        <v>2</v>
      </c>
      <c r="J6" s="9">
        <v>14</v>
      </c>
      <c r="K6" s="9">
        <v>2</v>
      </c>
      <c r="L6" s="10">
        <f t="shared" si="6"/>
        <v>615.75216010359941</v>
      </c>
      <c r="M6" s="15">
        <f t="shared" si="0"/>
        <v>6.7858401317539528E-3</v>
      </c>
      <c r="N6" s="16" t="str">
        <f t="shared" si="1"/>
        <v>OK</v>
      </c>
      <c r="O6" s="15">
        <f t="shared" si="2"/>
        <v>4.1050144006906627E-3</v>
      </c>
      <c r="P6" s="28" t="str">
        <f t="shared" si="3"/>
        <v>OK</v>
      </c>
      <c r="Q6" s="10">
        <f t="shared" si="4"/>
        <v>38.566866335629172</v>
      </c>
      <c r="T6" s="2">
        <f t="shared" si="7"/>
        <v>4080</v>
      </c>
      <c r="U6" s="2">
        <f>G6*$AI$15*3.5/1000-L6*$AI$6</f>
        <v>507192.37709403003</v>
      </c>
      <c r="V6" s="2">
        <f t="shared" ca="1" si="8"/>
        <v>0</v>
      </c>
      <c r="W6" t="e">
        <f t="shared" ca="1" si="9"/>
        <v>#VALUE!</v>
      </c>
      <c r="X6" s="2" t="e">
        <f t="shared" ca="1" si="10"/>
        <v>#VALUE!</v>
      </c>
      <c r="Y6" t="e">
        <f t="shared" ca="1" si="11"/>
        <v>#VALUE!</v>
      </c>
      <c r="Z6" s="2" t="e">
        <f t="shared" ca="1" si="12"/>
        <v>#VALUE!</v>
      </c>
      <c r="AA6" s="3" t="e">
        <f t="shared" ca="1" si="13"/>
        <v>#VALUE!</v>
      </c>
      <c r="AC6"/>
      <c r="AD6"/>
      <c r="AE6" s="21"/>
      <c r="AH6" s="2" t="s">
        <v>56</v>
      </c>
      <c r="AI6" s="2">
        <f>AI5/1.15</f>
        <v>391.304347826087</v>
      </c>
      <c r="AL6" s="35"/>
      <c r="AM6" s="35"/>
      <c r="AN6" s="35"/>
    </row>
    <row r="7" spans="1:40" x14ac:dyDescent="0.25">
      <c r="A7" s="51">
        <v>3</v>
      </c>
      <c r="B7" s="9" t="s">
        <v>43</v>
      </c>
      <c r="C7" s="9">
        <v>18</v>
      </c>
      <c r="D7" s="9">
        <v>2</v>
      </c>
      <c r="E7" s="9">
        <v>18</v>
      </c>
      <c r="F7" s="9">
        <v>2</v>
      </c>
      <c r="G7" s="10">
        <f t="shared" si="5"/>
        <v>1017.8760197630929</v>
      </c>
      <c r="H7" s="9">
        <v>14</v>
      </c>
      <c r="I7" s="9">
        <v>2</v>
      </c>
      <c r="J7" s="9">
        <v>12</v>
      </c>
      <c r="K7" s="9">
        <v>2</v>
      </c>
      <c r="L7" s="10">
        <f t="shared" si="6"/>
        <v>534.07075111026484</v>
      </c>
      <c r="M7" s="15">
        <f t="shared" si="0"/>
        <v>6.7858401317539528E-3</v>
      </c>
      <c r="N7" s="16" t="str">
        <f t="shared" si="1"/>
        <v>OK</v>
      </c>
      <c r="O7" s="15">
        <f t="shared" si="2"/>
        <v>3.5604716740684321E-3</v>
      </c>
      <c r="P7" s="28" t="str">
        <f t="shared" si="3"/>
        <v>OK</v>
      </c>
      <c r="Q7" s="10">
        <f t="shared" si="4"/>
        <v>46.400761060053846</v>
      </c>
      <c r="T7" s="2">
        <f>$AI$3*$AI$14*0.8</f>
        <v>4080</v>
      </c>
      <c r="U7" s="2">
        <f>L7*$AI$15*3.5/1000-G7*$AI$6</f>
        <v>-5757.3100151656545</v>
      </c>
      <c r="V7" s="2">
        <f t="shared" ca="1" si="8"/>
        <v>0</v>
      </c>
      <c r="W7" t="e">
        <f t="shared" ca="1" si="9"/>
        <v>#VALUE!</v>
      </c>
      <c r="X7" s="2" t="e">
        <f t="shared" ca="1" si="10"/>
        <v>#VALUE!</v>
      </c>
      <c r="Y7" t="e">
        <f t="shared" ca="1" si="11"/>
        <v>#VALUE!</v>
      </c>
      <c r="Z7" s="2" t="e">
        <f t="shared" ca="1" si="12"/>
        <v>#VALUE!</v>
      </c>
      <c r="AA7" s="3" t="e">
        <f t="shared" ca="1" si="13"/>
        <v>#VALUE!</v>
      </c>
      <c r="AC7"/>
      <c r="AD7"/>
      <c r="AE7" s="21"/>
      <c r="AH7" s="2" t="s">
        <v>7</v>
      </c>
      <c r="AI7" s="3">
        <f>1.4/AI5*AI3*AI4</f>
        <v>466.66666666666663</v>
      </c>
      <c r="AJ7" s="2" t="s">
        <v>6</v>
      </c>
      <c r="AL7" s="35">
        <v>300</v>
      </c>
      <c r="AM7" s="35">
        <v>500</v>
      </c>
      <c r="AN7" s="35">
        <f t="shared" ref="AN7" si="15">AM7-40</f>
        <v>460</v>
      </c>
    </row>
    <row r="8" spans="1:40" x14ac:dyDescent="0.25">
      <c r="A8" s="51"/>
      <c r="B8" s="9" t="s">
        <v>44</v>
      </c>
      <c r="C8" s="9">
        <v>14</v>
      </c>
      <c r="D8" s="9">
        <v>2</v>
      </c>
      <c r="E8" s="9">
        <v>14</v>
      </c>
      <c r="F8" s="9">
        <v>2</v>
      </c>
      <c r="G8" s="10">
        <f t="shared" si="5"/>
        <v>615.75216010359941</v>
      </c>
      <c r="H8" s="9">
        <v>14</v>
      </c>
      <c r="I8" s="9">
        <v>2</v>
      </c>
      <c r="J8" s="9">
        <v>12</v>
      </c>
      <c r="K8" s="9">
        <v>2</v>
      </c>
      <c r="L8" s="10">
        <f t="shared" si="6"/>
        <v>534.07075111026484</v>
      </c>
      <c r="M8" s="15">
        <f t="shared" si="0"/>
        <v>4.1050144006906627E-3</v>
      </c>
      <c r="N8" s="16" t="str">
        <f t="shared" si="1"/>
        <v>OK</v>
      </c>
      <c r="O8" s="15">
        <f t="shared" si="2"/>
        <v>3.5604716740684321E-3</v>
      </c>
      <c r="P8" s="28" t="str">
        <f t="shared" si="3"/>
        <v>OK</v>
      </c>
      <c r="Q8" s="10">
        <f t="shared" si="4"/>
        <v>7.8338947244246713</v>
      </c>
      <c r="T8" s="2">
        <f t="shared" si="7"/>
        <v>4080</v>
      </c>
      <c r="U8" s="2">
        <f>G8*$AI$15*3.5/1000-L8*$AI$6</f>
        <v>243593.63071995499</v>
      </c>
      <c r="V8" s="2">
        <f t="shared" ca="1" si="8"/>
        <v>0</v>
      </c>
      <c r="W8" t="e">
        <f t="shared" ca="1" si="9"/>
        <v>#VALUE!</v>
      </c>
      <c r="X8" s="2" t="e">
        <f t="shared" ca="1" si="10"/>
        <v>#VALUE!</v>
      </c>
      <c r="Y8" t="e">
        <f t="shared" ca="1" si="11"/>
        <v>#VALUE!</v>
      </c>
      <c r="Z8" s="2" t="e">
        <f t="shared" ca="1" si="12"/>
        <v>#VALUE!</v>
      </c>
      <c r="AA8" s="3" t="e">
        <f t="shared" ca="1" si="13"/>
        <v>#VALUE!</v>
      </c>
      <c r="AC8"/>
      <c r="AD8"/>
      <c r="AE8" s="21"/>
      <c r="AH8" s="2" t="s">
        <v>8</v>
      </c>
      <c r="AI8" s="3">
        <f>3.5/AI5*AI3*AI4</f>
        <v>1166.6666666666667</v>
      </c>
      <c r="AJ8" s="2" t="s">
        <v>6</v>
      </c>
      <c r="AL8" s="35"/>
      <c r="AM8" s="35"/>
      <c r="AN8" s="35"/>
    </row>
    <row r="9" spans="1:40" x14ac:dyDescent="0.25">
      <c r="A9" s="7" t="s">
        <v>38</v>
      </c>
      <c r="B9" s="7" t="s">
        <v>14</v>
      </c>
      <c r="C9" s="54" t="s">
        <v>15</v>
      </c>
      <c r="D9" s="55"/>
      <c r="E9" s="55"/>
      <c r="F9" s="55"/>
      <c r="G9" s="56"/>
      <c r="H9" s="54" t="s">
        <v>16</v>
      </c>
      <c r="I9" s="55"/>
      <c r="J9" s="55"/>
      <c r="K9" s="55"/>
      <c r="L9" s="56"/>
      <c r="M9" s="7" t="s">
        <v>48</v>
      </c>
      <c r="O9" s="7" t="s">
        <v>47</v>
      </c>
      <c r="P9" s="2"/>
      <c r="Q9" s="7" t="s">
        <v>54</v>
      </c>
      <c r="AC9"/>
      <c r="AD9"/>
      <c r="AE9" s="17"/>
      <c r="AH9" s="2" t="s">
        <v>11</v>
      </c>
      <c r="AI9" s="4">
        <f>AI7/(AI4*AI3)</f>
        <v>3.1111111111111109E-3</v>
      </c>
      <c r="AL9" s="7" t="s">
        <v>0</v>
      </c>
      <c r="AM9" s="7" t="s">
        <v>1</v>
      </c>
      <c r="AN9" s="7" t="s">
        <v>13</v>
      </c>
    </row>
    <row r="10" spans="1:40" x14ac:dyDescent="0.25">
      <c r="A10" s="7" t="s">
        <v>40</v>
      </c>
      <c r="B10" s="7"/>
      <c r="C10" s="7" t="s">
        <v>25</v>
      </c>
      <c r="D10" s="7" t="s">
        <v>26</v>
      </c>
      <c r="E10" s="7" t="s">
        <v>25</v>
      </c>
      <c r="F10" s="7" t="s">
        <v>26</v>
      </c>
      <c r="G10" s="7" t="s">
        <v>41</v>
      </c>
      <c r="H10" s="7" t="s">
        <v>25</v>
      </c>
      <c r="I10" s="7" t="s">
        <v>26</v>
      </c>
      <c r="J10" s="7" t="s">
        <v>25</v>
      </c>
      <c r="K10" s="7" t="s">
        <v>26</v>
      </c>
      <c r="L10" s="7" t="s">
        <v>41</v>
      </c>
      <c r="M10" s="18" t="s">
        <v>27</v>
      </c>
      <c r="N10" s="17"/>
      <c r="O10" s="18" t="s">
        <v>27</v>
      </c>
      <c r="P10" s="2"/>
      <c r="Q10" s="7" t="s">
        <v>2</v>
      </c>
      <c r="S10" s="2"/>
      <c r="AC10"/>
      <c r="AD10"/>
      <c r="AE10" s="17"/>
      <c r="AH10" s="2" t="s">
        <v>9</v>
      </c>
      <c r="AI10" s="5">
        <f>0.25*AI9</f>
        <v>7.7777777777777773E-4</v>
      </c>
      <c r="AL10" s="7" t="s">
        <v>2</v>
      </c>
      <c r="AM10" s="7" t="s">
        <v>2</v>
      </c>
      <c r="AN10" s="7" t="s">
        <v>2</v>
      </c>
    </row>
    <row r="11" spans="1:40" x14ac:dyDescent="0.25">
      <c r="A11" s="51">
        <v>1</v>
      </c>
      <c r="B11" s="9" t="s">
        <v>43</v>
      </c>
      <c r="C11" s="9">
        <v>14</v>
      </c>
      <c r="D11" s="9">
        <v>2</v>
      </c>
      <c r="E11" s="9">
        <v>14</v>
      </c>
      <c r="F11" s="9">
        <v>2</v>
      </c>
      <c r="G11" s="10">
        <f>(C11^2/4*D11+E11^2/4*F11)*PI()</f>
        <v>615.75216010359941</v>
      </c>
      <c r="H11" s="9">
        <v>14</v>
      </c>
      <c r="I11" s="9">
        <v>2</v>
      </c>
      <c r="J11" s="9">
        <v>12</v>
      </c>
      <c r="K11" s="9">
        <v>2</v>
      </c>
      <c r="L11" s="10">
        <f>(H11^2/4*I11+J11^2/4*K11)*PI()</f>
        <v>534.07075111026484</v>
      </c>
      <c r="M11" s="15">
        <f t="shared" ref="M11:M16" si="16">G11/($AL$3*$AM$3)</f>
        <v>4.1050144006906627E-3</v>
      </c>
      <c r="N11" s="16" t="str">
        <f t="shared" ref="N11:N16" si="17">IF($AE$3&lt;=M11,"OK","NO")</f>
        <v>OK</v>
      </c>
      <c r="O11" s="23">
        <f t="shared" ref="O11:O16" si="18">L11/($AL$3*$AM$3)</f>
        <v>3.5604716740684321E-3</v>
      </c>
      <c r="P11" s="16" t="str">
        <f t="shared" ref="P11:P16" si="19">IF(O11&gt;$AE$3,"OK","NO")</f>
        <v>OK</v>
      </c>
      <c r="Q11" s="10">
        <f t="shared" ref="Q11:Q16" si="20">ABS($AI$6*(G11-L11)/($AI$14*0.8*$AI$3))</f>
        <v>7.8338947244246713</v>
      </c>
      <c r="S11" s="2"/>
      <c r="AC11"/>
      <c r="AD11"/>
      <c r="AE11" s="21"/>
      <c r="AH11" s="2" t="s">
        <v>9</v>
      </c>
      <c r="AI11" s="5">
        <f>0.5*AI9</f>
        <v>1.5555555555555555E-3</v>
      </c>
      <c r="AJ11" s="6" t="s">
        <v>12</v>
      </c>
      <c r="AL11" s="35">
        <v>300</v>
      </c>
      <c r="AM11" s="35">
        <v>500</v>
      </c>
      <c r="AN11" s="35">
        <f>AM11-40</f>
        <v>460</v>
      </c>
    </row>
    <row r="12" spans="1:40" x14ac:dyDescent="0.25">
      <c r="A12" s="51"/>
      <c r="B12" s="9" t="s">
        <v>44</v>
      </c>
      <c r="C12" s="9">
        <v>18</v>
      </c>
      <c r="D12" s="9">
        <v>2</v>
      </c>
      <c r="E12" s="9">
        <v>18</v>
      </c>
      <c r="F12" s="9">
        <v>2</v>
      </c>
      <c r="G12" s="10">
        <f t="shared" ref="G12:G16" si="21">(C12^2/4*D12+E12^2/4*F12)*PI()</f>
        <v>1017.8760197630929</v>
      </c>
      <c r="H12" s="9">
        <v>14</v>
      </c>
      <c r="I12" s="9">
        <v>2</v>
      </c>
      <c r="J12" s="9">
        <v>12</v>
      </c>
      <c r="K12" s="9">
        <v>2</v>
      </c>
      <c r="L12" s="10">
        <f t="shared" ref="L12:L16" si="22">(H12^2/4*I12+J12^2/4*K12)*PI()</f>
        <v>534.07075111026484</v>
      </c>
      <c r="M12" s="15">
        <f t="shared" si="16"/>
        <v>6.7858401317539528E-3</v>
      </c>
      <c r="N12" s="16" t="str">
        <f t="shared" si="17"/>
        <v>OK</v>
      </c>
      <c r="O12" s="15">
        <f t="shared" si="18"/>
        <v>3.5604716740684321E-3</v>
      </c>
      <c r="P12" s="16" t="str">
        <f t="shared" si="19"/>
        <v>OK</v>
      </c>
      <c r="Q12" s="10">
        <f t="shared" si="20"/>
        <v>46.400761060053846</v>
      </c>
      <c r="S12" s="2"/>
      <c r="AC12"/>
      <c r="AD12"/>
      <c r="AE12" s="21"/>
      <c r="AL12" s="35"/>
      <c r="AM12" s="35"/>
      <c r="AN12" s="35"/>
    </row>
    <row r="13" spans="1:40" x14ac:dyDescent="0.25">
      <c r="A13" s="51">
        <v>2</v>
      </c>
      <c r="B13" s="9" t="s">
        <v>43</v>
      </c>
      <c r="C13" s="9">
        <v>18</v>
      </c>
      <c r="D13" s="9">
        <v>2</v>
      </c>
      <c r="E13" s="9">
        <v>18</v>
      </c>
      <c r="F13" s="9">
        <v>2</v>
      </c>
      <c r="G13" s="10">
        <f t="shared" si="21"/>
        <v>1017.8760197630929</v>
      </c>
      <c r="H13" s="9">
        <v>14</v>
      </c>
      <c r="I13" s="9">
        <v>2</v>
      </c>
      <c r="J13" s="9">
        <v>14</v>
      </c>
      <c r="K13" s="9">
        <v>2</v>
      </c>
      <c r="L13" s="10">
        <f t="shared" si="22"/>
        <v>615.75216010359941</v>
      </c>
      <c r="M13" s="15">
        <f t="shared" si="16"/>
        <v>6.7858401317539528E-3</v>
      </c>
      <c r="N13" s="16" t="str">
        <f t="shared" si="17"/>
        <v>OK</v>
      </c>
      <c r="O13" s="15">
        <f t="shared" si="18"/>
        <v>4.1050144006906627E-3</v>
      </c>
      <c r="P13" s="16" t="str">
        <f t="shared" si="19"/>
        <v>OK</v>
      </c>
      <c r="Q13" s="10">
        <f t="shared" si="20"/>
        <v>38.566866335629172</v>
      </c>
      <c r="S13" s="2"/>
      <c r="AC13"/>
      <c r="AD13"/>
      <c r="AE13" s="21"/>
      <c r="AI13" s="2">
        <f>269*1000^2/(0.9*AN3*391)</f>
        <v>1661.7863276375454</v>
      </c>
      <c r="AL13" s="35">
        <v>300</v>
      </c>
      <c r="AM13" s="35">
        <v>500</v>
      </c>
      <c r="AN13" s="35">
        <f t="shared" ref="AN13" si="23">AM13-40</f>
        <v>460</v>
      </c>
    </row>
    <row r="14" spans="1:40" x14ac:dyDescent="0.25">
      <c r="A14" s="51"/>
      <c r="B14" s="9" t="s">
        <v>44</v>
      </c>
      <c r="C14" s="9">
        <v>18</v>
      </c>
      <c r="D14" s="9">
        <v>2</v>
      </c>
      <c r="E14" s="9">
        <v>18</v>
      </c>
      <c r="F14" s="9">
        <v>2</v>
      </c>
      <c r="G14" s="10">
        <f t="shared" si="21"/>
        <v>1017.8760197630929</v>
      </c>
      <c r="H14" s="9">
        <v>14</v>
      </c>
      <c r="I14" s="9">
        <v>2</v>
      </c>
      <c r="J14" s="9">
        <v>14</v>
      </c>
      <c r="K14" s="9">
        <v>2</v>
      </c>
      <c r="L14" s="10">
        <f t="shared" si="22"/>
        <v>615.75216010359941</v>
      </c>
      <c r="M14" s="15">
        <f t="shared" si="16"/>
        <v>6.7858401317539528E-3</v>
      </c>
      <c r="N14" s="16" t="str">
        <f t="shared" si="17"/>
        <v>OK</v>
      </c>
      <c r="O14" s="15">
        <f t="shared" si="18"/>
        <v>4.1050144006906627E-3</v>
      </c>
      <c r="P14" s="16" t="str">
        <f t="shared" si="19"/>
        <v>OK</v>
      </c>
      <c r="Q14" s="10">
        <f t="shared" si="20"/>
        <v>38.566866335629172</v>
      </c>
      <c r="S14" s="2"/>
      <c r="AC14"/>
      <c r="AD14"/>
      <c r="AE14" s="21"/>
      <c r="AH14" s="2" t="s">
        <v>55</v>
      </c>
      <c r="AI14" s="2">
        <f>0.85*30/1.5</f>
        <v>17</v>
      </c>
      <c r="AL14" s="35"/>
      <c r="AM14" s="35"/>
      <c r="AN14" s="35"/>
    </row>
    <row r="15" spans="1:40" x14ac:dyDescent="0.25">
      <c r="A15" s="51">
        <v>3</v>
      </c>
      <c r="B15" s="9" t="s">
        <v>43</v>
      </c>
      <c r="C15" s="9">
        <v>18</v>
      </c>
      <c r="D15" s="9">
        <v>2</v>
      </c>
      <c r="E15" s="9">
        <v>18</v>
      </c>
      <c r="F15" s="9">
        <v>2</v>
      </c>
      <c r="G15" s="10">
        <f t="shared" si="21"/>
        <v>1017.8760197630929</v>
      </c>
      <c r="H15" s="9">
        <v>14</v>
      </c>
      <c r="I15" s="9">
        <v>2</v>
      </c>
      <c r="J15" s="9">
        <v>12</v>
      </c>
      <c r="K15" s="9">
        <v>2</v>
      </c>
      <c r="L15" s="10">
        <f t="shared" si="22"/>
        <v>534.07075111026484</v>
      </c>
      <c r="M15" s="15">
        <f t="shared" si="16"/>
        <v>6.7858401317539528E-3</v>
      </c>
      <c r="N15" s="16" t="str">
        <f t="shared" si="17"/>
        <v>OK</v>
      </c>
      <c r="O15" s="15">
        <f t="shared" si="18"/>
        <v>3.5604716740684321E-3</v>
      </c>
      <c r="P15" s="16" t="str">
        <f t="shared" si="19"/>
        <v>OK</v>
      </c>
      <c r="Q15" s="10">
        <f t="shared" si="20"/>
        <v>46.400761060053846</v>
      </c>
      <c r="S15" s="2"/>
      <c r="AC15"/>
      <c r="AD15"/>
      <c r="AE15" s="21"/>
      <c r="AH15" s="2" t="s">
        <v>86</v>
      </c>
      <c r="AI15" s="2">
        <v>210000</v>
      </c>
      <c r="AL15" s="35">
        <v>300</v>
      </c>
      <c r="AM15" s="35">
        <v>500</v>
      </c>
      <c r="AN15" s="35">
        <f t="shared" ref="AN15" si="24">AM15-40</f>
        <v>460</v>
      </c>
    </row>
    <row r="16" spans="1:40" x14ac:dyDescent="0.25">
      <c r="A16" s="51"/>
      <c r="B16" s="9" t="s">
        <v>44</v>
      </c>
      <c r="C16" s="9">
        <v>14</v>
      </c>
      <c r="D16" s="9">
        <v>2</v>
      </c>
      <c r="E16" s="9">
        <v>14</v>
      </c>
      <c r="F16" s="9">
        <v>2</v>
      </c>
      <c r="G16" s="10">
        <f t="shared" si="21"/>
        <v>615.75216010359941</v>
      </c>
      <c r="H16" s="9">
        <v>14</v>
      </c>
      <c r="I16" s="9">
        <v>2</v>
      </c>
      <c r="J16" s="9">
        <v>12</v>
      </c>
      <c r="K16" s="9">
        <v>2</v>
      </c>
      <c r="L16" s="10">
        <f t="shared" si="22"/>
        <v>534.07075111026484</v>
      </c>
      <c r="M16" s="15">
        <f t="shared" si="16"/>
        <v>4.1050144006906627E-3</v>
      </c>
      <c r="N16" s="16" t="str">
        <f t="shared" si="17"/>
        <v>OK</v>
      </c>
      <c r="O16" s="15">
        <f t="shared" si="18"/>
        <v>3.5604716740684321E-3</v>
      </c>
      <c r="P16" s="16" t="str">
        <f t="shared" si="19"/>
        <v>OK</v>
      </c>
      <c r="Q16" s="10">
        <f t="shared" si="20"/>
        <v>7.8338947244246713</v>
      </c>
      <c r="AC16"/>
      <c r="AD16"/>
      <c r="AE16" s="21"/>
      <c r="AL16" s="35"/>
      <c r="AM16" s="35"/>
      <c r="AN16" s="35"/>
    </row>
    <row r="17" spans="1:40" x14ac:dyDescent="0.25">
      <c r="A17" s="7" t="s">
        <v>66</v>
      </c>
      <c r="B17" s="7" t="s">
        <v>14</v>
      </c>
      <c r="C17" s="54" t="s">
        <v>15</v>
      </c>
      <c r="D17" s="55"/>
      <c r="E17" s="55"/>
      <c r="F17" s="55"/>
      <c r="G17" s="56"/>
      <c r="H17" s="54" t="s">
        <v>16</v>
      </c>
      <c r="I17" s="55"/>
      <c r="J17" s="55"/>
      <c r="K17" s="55"/>
      <c r="L17" s="56"/>
      <c r="M17" s="7" t="s">
        <v>48</v>
      </c>
      <c r="O17" s="7" t="s">
        <v>47</v>
      </c>
      <c r="P17" s="2"/>
      <c r="Q17" s="7" t="s">
        <v>54</v>
      </c>
      <c r="AC17"/>
      <c r="AD17"/>
      <c r="AE17" s="17"/>
      <c r="AL17" s="7" t="s">
        <v>0</v>
      </c>
      <c r="AM17" s="7" t="s">
        <v>1</v>
      </c>
      <c r="AN17" s="7" t="s">
        <v>13</v>
      </c>
    </row>
    <row r="18" spans="1:40" x14ac:dyDescent="0.25">
      <c r="A18" s="7" t="s">
        <v>40</v>
      </c>
      <c r="B18" s="7"/>
      <c r="C18" s="7" t="s">
        <v>25</v>
      </c>
      <c r="D18" s="7" t="s">
        <v>26</v>
      </c>
      <c r="E18" s="7" t="s">
        <v>25</v>
      </c>
      <c r="F18" s="7" t="s">
        <v>26</v>
      </c>
      <c r="G18" s="7" t="s">
        <v>41</v>
      </c>
      <c r="H18" s="7" t="s">
        <v>25</v>
      </c>
      <c r="I18" s="7" t="s">
        <v>26</v>
      </c>
      <c r="J18" s="7" t="s">
        <v>25</v>
      </c>
      <c r="K18" s="7" t="s">
        <v>26</v>
      </c>
      <c r="L18" s="7" t="s">
        <v>41</v>
      </c>
      <c r="M18" s="18" t="s">
        <v>27</v>
      </c>
      <c r="N18" s="17"/>
      <c r="O18" s="18" t="s">
        <v>27</v>
      </c>
      <c r="P18" s="2"/>
      <c r="Q18" s="7" t="s">
        <v>2</v>
      </c>
      <c r="AC18"/>
      <c r="AD18"/>
      <c r="AE18" s="17"/>
      <c r="AL18" s="7" t="s">
        <v>2</v>
      </c>
      <c r="AM18" s="7" t="s">
        <v>2</v>
      </c>
      <c r="AN18" s="7" t="s">
        <v>2</v>
      </c>
    </row>
    <row r="19" spans="1:40" x14ac:dyDescent="0.25">
      <c r="A19" s="51">
        <v>1</v>
      </c>
      <c r="B19" s="9" t="s">
        <v>43</v>
      </c>
      <c r="C19" s="9">
        <v>18</v>
      </c>
      <c r="D19" s="9">
        <v>2</v>
      </c>
      <c r="E19" s="9">
        <v>12</v>
      </c>
      <c r="F19" s="9">
        <v>2</v>
      </c>
      <c r="G19" s="10">
        <f>(C19^2/4*D19+E19^2/4*F19)*PI()</f>
        <v>735.1326809400116</v>
      </c>
      <c r="H19" s="9">
        <v>14</v>
      </c>
      <c r="I19" s="9">
        <v>2</v>
      </c>
      <c r="J19" s="9">
        <v>12</v>
      </c>
      <c r="K19" s="9">
        <v>2</v>
      </c>
      <c r="L19" s="10">
        <f>(H19^2/4*I19+J19^2/4*K19)*PI()</f>
        <v>534.07075111026484</v>
      </c>
      <c r="M19" s="15">
        <f t="shared" ref="M19:M24" si="25">G19/($AL$3*$AM$3)</f>
        <v>4.9008845396000776E-3</v>
      </c>
      <c r="N19" s="16" t="str">
        <f t="shared" ref="N19:N24" si="26">IF($AE$3&lt;=M19,"OK","NO")</f>
        <v>OK</v>
      </c>
      <c r="O19" s="23">
        <f t="shared" ref="O19:O24" si="27">L19/($AL$3*$AM$3)</f>
        <v>3.5604716740684321E-3</v>
      </c>
      <c r="P19" s="16" t="str">
        <f t="shared" ref="P19:P24" si="28">IF(O19&gt;$AE$3,"OK","NO")</f>
        <v>OK</v>
      </c>
      <c r="Q19" s="10">
        <f t="shared" ref="Q19:Q24" si="29">ABS($AI$6*(G19-L19)/($AI$14*0.8*$AI$3))</f>
        <v>19.283433167814586</v>
      </c>
      <c r="AC19"/>
      <c r="AD19"/>
      <c r="AE19" s="21"/>
      <c r="AL19" s="35">
        <v>300</v>
      </c>
      <c r="AM19" s="35">
        <v>500</v>
      </c>
      <c r="AN19" s="35">
        <f>AM19-40</f>
        <v>460</v>
      </c>
    </row>
    <row r="20" spans="1:40" x14ac:dyDescent="0.25">
      <c r="A20" s="51"/>
      <c r="B20" s="9" t="s">
        <v>44</v>
      </c>
      <c r="C20" s="9">
        <v>20</v>
      </c>
      <c r="D20" s="9">
        <v>2</v>
      </c>
      <c r="E20" s="9">
        <v>18</v>
      </c>
      <c r="F20" s="9">
        <v>2</v>
      </c>
      <c r="G20" s="10">
        <f t="shared" ref="G20:G24" si="30">(C20^2/4*D20+E20^2/4*F20)*PI()</f>
        <v>1137.2565405995051</v>
      </c>
      <c r="H20" s="9">
        <v>14</v>
      </c>
      <c r="I20" s="9">
        <v>2</v>
      </c>
      <c r="J20" s="9">
        <v>12</v>
      </c>
      <c r="K20" s="9">
        <v>2</v>
      </c>
      <c r="L20" s="10">
        <f t="shared" ref="L20:L24" si="31">(H20^2/4*I20+J20^2/4*K20)*PI()</f>
        <v>534.07075111026484</v>
      </c>
      <c r="M20" s="15">
        <f t="shared" si="25"/>
        <v>7.5817102706633678E-3</v>
      </c>
      <c r="N20" s="16" t="str">
        <f t="shared" si="26"/>
        <v>OK</v>
      </c>
      <c r="O20" s="15">
        <f t="shared" si="27"/>
        <v>3.5604716740684321E-3</v>
      </c>
      <c r="P20" s="16" t="str">
        <f t="shared" si="28"/>
        <v>OK</v>
      </c>
      <c r="Q20" s="10">
        <f t="shared" si="29"/>
        <v>57.850299503443757</v>
      </c>
      <c r="AC20"/>
      <c r="AD20"/>
      <c r="AE20" s="21"/>
      <c r="AL20" s="35"/>
      <c r="AM20" s="35"/>
      <c r="AN20" s="35"/>
    </row>
    <row r="21" spans="1:40" x14ac:dyDescent="0.25">
      <c r="A21" s="51">
        <v>2</v>
      </c>
      <c r="B21" s="9" t="s">
        <v>43</v>
      </c>
      <c r="C21" s="9">
        <v>20</v>
      </c>
      <c r="D21" s="9">
        <v>2</v>
      </c>
      <c r="E21" s="9">
        <v>18</v>
      </c>
      <c r="F21" s="9">
        <v>2</v>
      </c>
      <c r="G21" s="10">
        <f t="shared" si="30"/>
        <v>1137.2565405995051</v>
      </c>
      <c r="H21" s="9">
        <v>14</v>
      </c>
      <c r="I21" s="9">
        <v>2</v>
      </c>
      <c r="J21" s="9">
        <v>14</v>
      </c>
      <c r="K21" s="9">
        <v>2</v>
      </c>
      <c r="L21" s="10">
        <f t="shared" si="31"/>
        <v>615.75216010359941</v>
      </c>
      <c r="M21" s="15">
        <f t="shared" si="25"/>
        <v>7.5817102706633678E-3</v>
      </c>
      <c r="N21" s="16" t="str">
        <f t="shared" si="26"/>
        <v>OK</v>
      </c>
      <c r="O21" s="15">
        <f t="shared" si="27"/>
        <v>4.1050144006906627E-3</v>
      </c>
      <c r="P21" s="16" t="str">
        <f t="shared" si="28"/>
        <v>OK</v>
      </c>
      <c r="Q21" s="10">
        <f t="shared" si="29"/>
        <v>50.016404779019091</v>
      </c>
      <c r="AC21"/>
      <c r="AD21"/>
      <c r="AE21" s="21"/>
      <c r="AL21" s="35">
        <v>300</v>
      </c>
      <c r="AM21" s="35">
        <v>500</v>
      </c>
      <c r="AN21" s="35">
        <f t="shared" ref="AN21" si="32">AM21-40</f>
        <v>460</v>
      </c>
    </row>
    <row r="22" spans="1:40" x14ac:dyDescent="0.25">
      <c r="A22" s="51"/>
      <c r="B22" s="9" t="s">
        <v>44</v>
      </c>
      <c r="C22" s="9">
        <v>20</v>
      </c>
      <c r="D22" s="9">
        <v>2</v>
      </c>
      <c r="E22" s="9">
        <v>18</v>
      </c>
      <c r="F22" s="9">
        <v>2</v>
      </c>
      <c r="G22" s="10">
        <f t="shared" si="30"/>
        <v>1137.2565405995051</v>
      </c>
      <c r="H22" s="9">
        <v>14</v>
      </c>
      <c r="I22" s="9">
        <v>2</v>
      </c>
      <c r="J22" s="9">
        <v>14</v>
      </c>
      <c r="K22" s="9">
        <v>2</v>
      </c>
      <c r="L22" s="10">
        <f t="shared" si="31"/>
        <v>615.75216010359941</v>
      </c>
      <c r="M22" s="15">
        <f t="shared" si="25"/>
        <v>7.5817102706633678E-3</v>
      </c>
      <c r="N22" s="16" t="str">
        <f t="shared" si="26"/>
        <v>OK</v>
      </c>
      <c r="O22" s="15">
        <f t="shared" si="27"/>
        <v>4.1050144006906627E-3</v>
      </c>
      <c r="P22" s="16" t="str">
        <f t="shared" si="28"/>
        <v>OK</v>
      </c>
      <c r="Q22" s="10">
        <f t="shared" si="29"/>
        <v>50.016404779019091</v>
      </c>
      <c r="AC22"/>
      <c r="AD22"/>
      <c r="AE22" s="21"/>
      <c r="AL22" s="35"/>
      <c r="AM22" s="35"/>
      <c r="AN22" s="35"/>
    </row>
    <row r="23" spans="1:40" x14ac:dyDescent="0.25">
      <c r="A23" s="51">
        <v>3</v>
      </c>
      <c r="B23" s="9" t="s">
        <v>43</v>
      </c>
      <c r="C23" s="9">
        <v>20</v>
      </c>
      <c r="D23" s="9">
        <v>2</v>
      </c>
      <c r="E23" s="9">
        <v>18</v>
      </c>
      <c r="F23" s="9">
        <v>2</v>
      </c>
      <c r="G23" s="10">
        <f t="shared" si="30"/>
        <v>1137.2565405995051</v>
      </c>
      <c r="H23" s="9">
        <v>14</v>
      </c>
      <c r="I23" s="9">
        <v>2</v>
      </c>
      <c r="J23" s="9">
        <v>12</v>
      </c>
      <c r="K23" s="9">
        <v>2</v>
      </c>
      <c r="L23" s="10">
        <f t="shared" si="31"/>
        <v>534.07075111026484</v>
      </c>
      <c r="M23" s="15">
        <f t="shared" si="25"/>
        <v>7.5817102706633678E-3</v>
      </c>
      <c r="N23" s="16" t="str">
        <f t="shared" si="26"/>
        <v>OK</v>
      </c>
      <c r="O23" s="15">
        <f t="shared" si="27"/>
        <v>3.5604716740684321E-3</v>
      </c>
      <c r="P23" s="16" t="str">
        <f t="shared" si="28"/>
        <v>OK</v>
      </c>
      <c r="Q23" s="10">
        <f t="shared" si="29"/>
        <v>57.850299503443757</v>
      </c>
      <c r="AC23"/>
      <c r="AD23"/>
      <c r="AE23" s="21"/>
      <c r="AL23" s="35">
        <v>300</v>
      </c>
      <c r="AM23" s="35">
        <v>500</v>
      </c>
      <c r="AN23" s="35">
        <f t="shared" ref="AN23" si="33">AM23-40</f>
        <v>460</v>
      </c>
    </row>
    <row r="24" spans="1:40" x14ac:dyDescent="0.25">
      <c r="A24" s="51"/>
      <c r="B24" s="9" t="s">
        <v>44</v>
      </c>
      <c r="C24" s="9">
        <v>20</v>
      </c>
      <c r="D24" s="9">
        <v>2</v>
      </c>
      <c r="E24" s="9">
        <v>14</v>
      </c>
      <c r="F24" s="9">
        <v>2</v>
      </c>
      <c r="G24" s="10">
        <f t="shared" si="30"/>
        <v>936.19461076975836</v>
      </c>
      <c r="H24" s="9">
        <v>14</v>
      </c>
      <c r="I24" s="9">
        <v>2</v>
      </c>
      <c r="J24" s="9">
        <v>12</v>
      </c>
      <c r="K24" s="9">
        <v>2</v>
      </c>
      <c r="L24" s="10">
        <f t="shared" si="31"/>
        <v>534.07075111026484</v>
      </c>
      <c r="M24" s="15">
        <f t="shared" si="25"/>
        <v>6.2412974051317223E-3</v>
      </c>
      <c r="N24" s="16" t="str">
        <f t="shared" si="26"/>
        <v>OK</v>
      </c>
      <c r="O24" s="15">
        <f t="shared" si="27"/>
        <v>3.5604716740684321E-3</v>
      </c>
      <c r="P24" s="16" t="str">
        <f t="shared" si="28"/>
        <v>OK</v>
      </c>
      <c r="Q24" s="10">
        <f t="shared" si="29"/>
        <v>38.566866335629172</v>
      </c>
      <c r="AC24"/>
      <c r="AD24"/>
      <c r="AE24" s="21"/>
      <c r="AL24" s="35"/>
      <c r="AM24" s="35"/>
      <c r="AN24" s="35"/>
    </row>
    <row r="26" spans="1:40" ht="23.25" x14ac:dyDescent="0.35">
      <c r="A26" s="57" t="s">
        <v>75</v>
      </c>
      <c r="B26" s="57"/>
      <c r="C26" s="57"/>
      <c r="D26" s="57"/>
      <c r="E26" s="57"/>
      <c r="F26" s="57"/>
      <c r="G26" s="57"/>
      <c r="H26" s="57"/>
    </row>
    <row r="28" spans="1:40" ht="17.25" x14ac:dyDescent="0.25">
      <c r="A28" s="7" t="s">
        <v>37</v>
      </c>
      <c r="B28" s="36" t="s">
        <v>42</v>
      </c>
      <c r="C28" s="7" t="s">
        <v>103</v>
      </c>
      <c r="D28" s="7" t="s">
        <v>104</v>
      </c>
      <c r="E28" s="7" t="s">
        <v>94</v>
      </c>
      <c r="F28" s="7" t="s">
        <v>62</v>
      </c>
      <c r="G28" s="7" t="s">
        <v>96</v>
      </c>
      <c r="H28" s="7" t="s">
        <v>95</v>
      </c>
    </row>
    <row r="29" spans="1:40" x14ac:dyDescent="0.25">
      <c r="A29" s="7" t="s">
        <v>40</v>
      </c>
      <c r="B29" s="37"/>
      <c r="C29" s="7" t="s">
        <v>23</v>
      </c>
      <c r="D29" s="7" t="s">
        <v>23</v>
      </c>
      <c r="E29" s="7" t="s">
        <v>58</v>
      </c>
      <c r="F29" s="7" t="s">
        <v>63</v>
      </c>
      <c r="G29" s="7" t="s">
        <v>59</v>
      </c>
      <c r="H29" s="7" t="s">
        <v>59</v>
      </c>
    </row>
    <row r="30" spans="1:40" x14ac:dyDescent="0.25">
      <c r="A30" s="48">
        <v>1</v>
      </c>
      <c r="B30" s="9" t="s">
        <v>43</v>
      </c>
      <c r="C30" s="29">
        <f>(G3*$AI$6*($AI$4-40-0.8*Q3/2)+L3*$AI$6*(0.8*Q3/2-40))/1000^2</f>
        <v>102.3758648529052</v>
      </c>
      <c r="D30" s="30">
        <f>-(L3*$AI$6*($AI$4-40-0.8*Q3/2)+G3*$AI$6*(0.8*Q3/2-40))/1000^2</f>
        <v>-86.595030990069048</v>
      </c>
      <c r="E30" s="29">
        <f>7.297*2+7.78</f>
        <v>22.373999999999999</v>
      </c>
      <c r="F30" s="9">
        <v>4</v>
      </c>
      <c r="G30" s="30">
        <f>$E30*$F30/2+($C30+$C31)/$F30*1.1</f>
        <v>95.922852726989888</v>
      </c>
      <c r="H30" s="30">
        <f>$E30*$F30/2+($D30+$D31)/$F30*1.1</f>
        <v>-26.185390078647863</v>
      </c>
    </row>
    <row r="31" spans="1:40" x14ac:dyDescent="0.25">
      <c r="A31" s="49"/>
      <c r="B31" s="9" t="s">
        <v>44</v>
      </c>
      <c r="C31" s="30">
        <f>(L4*$AI$6*($AI$4-40-0.8*Q4/2)+G4*$AI$6*(0.8*Q4/2-40))/1000^2</f>
        <v>83.714508699785284</v>
      </c>
      <c r="D31" s="29">
        <f>-(G4*$AI$6*($AI$4-40-0.8*Q4/2)+L4*$AI$6*(0.8*Q4/2-40))/1000^2</f>
        <v>-171.34456929592312</v>
      </c>
      <c r="E31" s="29">
        <f t="shared" ref="E31:E35" si="34">7.297*2+7.78</f>
        <v>22.373999999999999</v>
      </c>
      <c r="F31" s="9">
        <v>4</v>
      </c>
      <c r="G31" s="30">
        <f>-$E31*$F31/2+($C30+$C31)/$F31*1.1</f>
        <v>6.4268527269898925</v>
      </c>
      <c r="H31" s="30">
        <f>-$E31*$F31/2+($D30+$D31)/$F31*1.1</f>
        <v>-115.68139007864787</v>
      </c>
    </row>
    <row r="32" spans="1:40" x14ac:dyDescent="0.25">
      <c r="A32" s="48">
        <v>2</v>
      </c>
      <c r="B32" s="9" t="s">
        <v>43</v>
      </c>
      <c r="C32" s="29">
        <f>(G5*$AI$6*($AI$4-40-0.8*Q5/2)+L5*$AI$6*(0.8*Q5/2-40))/1000^2</f>
        <v>171.15238167203614</v>
      </c>
      <c r="D32" s="30">
        <f>-(L5*$AI$6*($AI$4-40-0.8*Q5/2)+G5*$AI$6*(0.8*Q5/2-40))/1000^2</f>
        <v>-97.330858323446364</v>
      </c>
      <c r="E32" s="29">
        <f t="shared" si="34"/>
        <v>22.373999999999999</v>
      </c>
      <c r="F32" s="9">
        <v>5.5</v>
      </c>
      <c r="G32" s="30">
        <f>$E32*$F32/2+($C32+$C33)/$F32*1.1</f>
        <v>115.22514799909649</v>
      </c>
      <c r="H32" s="30">
        <f>$E32*$F32/2+($D32+$D33)/$F32*1.1</f>
        <v>7.8318520009034884</v>
      </c>
    </row>
    <row r="33" spans="1:11" x14ac:dyDescent="0.25">
      <c r="A33" s="49"/>
      <c r="B33" s="9" t="s">
        <v>44</v>
      </c>
      <c r="C33" s="30">
        <f>(L6*$AI$6*($AI$4-40-0.8*Q6/2)+G6*$AI$6*(0.8*Q6/2-40))/1000^2</f>
        <v>97.330858323446364</v>
      </c>
      <c r="D33" s="29">
        <f>-(G6*$AI$6*($AI$4-40-0.8*Q6/2)+L6*$AI$6*(0.8*Q6/2-40))/1000^2</f>
        <v>-171.15238167203614</v>
      </c>
      <c r="E33" s="29">
        <f t="shared" si="34"/>
        <v>22.373999999999999</v>
      </c>
      <c r="F33" s="9">
        <v>5.5</v>
      </c>
      <c r="G33" s="30">
        <f>-$E33*$F33/2+($C32+$C33)/$F33*1.1</f>
        <v>-7.8318520009034884</v>
      </c>
      <c r="H33" s="30">
        <f>-$E33*$F33/2+($D32+$D33)/$F33*1.1</f>
        <v>-115.22514799909649</v>
      </c>
    </row>
    <row r="34" spans="1:11" x14ac:dyDescent="0.25">
      <c r="A34" s="48">
        <v>3</v>
      </c>
      <c r="B34" s="9" t="s">
        <v>43</v>
      </c>
      <c r="C34" s="29">
        <f>(G7*$AI$6*($AI$4-40-0.8*Q7/2)+L7*$AI$6*(0.8*Q7/2-40))/1000^2</f>
        <v>171.34456929592312</v>
      </c>
      <c r="D34" s="30">
        <f>-(L7*$AI$6*($AI$4-40-0.8*Q7/2)+G7*$AI$6*(0.8*Q7/2-40))/1000^2</f>
        <v>-83.714508699785284</v>
      </c>
      <c r="E34" s="29">
        <f t="shared" si="34"/>
        <v>22.373999999999999</v>
      </c>
      <c r="F34" s="9">
        <v>4</v>
      </c>
      <c r="G34" s="30">
        <f>$E34*$F34/2+($C34+$C35)/$F34*1.1</f>
        <v>115.68139007864787</v>
      </c>
      <c r="H34" s="30">
        <f>$E34*$F34/2+($D34+$D35)/$F34*1.1</f>
        <v>-6.4268527269898925</v>
      </c>
    </row>
    <row r="35" spans="1:11" x14ac:dyDescent="0.25">
      <c r="A35" s="49"/>
      <c r="B35" s="9" t="s">
        <v>44</v>
      </c>
      <c r="C35" s="30">
        <f>(L8*$AI$6*($AI$4-40-0.8*Q8/2)+G8*$AI$6*(0.8*Q8/2-40))/1000^2</f>
        <v>86.595030990069048</v>
      </c>
      <c r="D35" s="29">
        <f>-(G8*$AI$6*($AI$4-40-0.8*Q8/2)+L8*$AI$6*(0.8*Q8/2-40))/1000^2</f>
        <v>-102.3758648529052</v>
      </c>
      <c r="E35" s="29">
        <f t="shared" si="34"/>
        <v>22.373999999999999</v>
      </c>
      <c r="F35" s="9">
        <v>4</v>
      </c>
      <c r="G35" s="30">
        <f>-$E35*$F35/2+($C34+$C35)/$F35*1.1</f>
        <v>26.185390078647863</v>
      </c>
      <c r="H35" s="30">
        <f>-$E35*$F35/2+($D34+$D35)/$F35*1.1</f>
        <v>-95.922852726989888</v>
      </c>
    </row>
    <row r="36" spans="1:11" ht="17.25" x14ac:dyDescent="0.25">
      <c r="A36" s="7" t="s">
        <v>38</v>
      </c>
      <c r="B36" s="36" t="s">
        <v>42</v>
      </c>
      <c r="C36" s="7" t="s">
        <v>103</v>
      </c>
      <c r="D36" s="7" t="s">
        <v>104</v>
      </c>
      <c r="E36" s="7" t="s">
        <v>94</v>
      </c>
      <c r="F36" s="7" t="s">
        <v>62</v>
      </c>
      <c r="G36" s="7" t="s">
        <v>96</v>
      </c>
      <c r="H36" s="7" t="s">
        <v>95</v>
      </c>
    </row>
    <row r="37" spans="1:11" x14ac:dyDescent="0.25">
      <c r="A37" s="7" t="s">
        <v>40</v>
      </c>
      <c r="B37" s="37"/>
      <c r="C37" s="31" t="s">
        <v>23</v>
      </c>
      <c r="D37" s="31" t="s">
        <v>23</v>
      </c>
      <c r="E37" s="7" t="s">
        <v>58</v>
      </c>
      <c r="F37" s="7" t="s">
        <v>63</v>
      </c>
      <c r="G37" s="7" t="s">
        <v>59</v>
      </c>
      <c r="H37" s="7" t="s">
        <v>59</v>
      </c>
    </row>
    <row r="38" spans="1:11" x14ac:dyDescent="0.25">
      <c r="A38" s="48">
        <v>1</v>
      </c>
      <c r="B38" s="9" t="s">
        <v>43</v>
      </c>
      <c r="C38" s="29">
        <f>(G11*$AI$6*($AI$4-40-0.8*Q11/2)+L11*$AI$6*(0.8*Q11/2-40))/1000^2</f>
        <v>102.3758648529052</v>
      </c>
      <c r="D38" s="30">
        <f>-(L11*$AI$6*($AI$4-40-0.8*Q11/2)+G11*$AI$6*(0.8*Q11/2-40))/1000^2</f>
        <v>-86.595030990069048</v>
      </c>
      <c r="E38" s="29">
        <f>7.297*4</f>
        <v>29.187999999999999</v>
      </c>
      <c r="F38" s="9">
        <v>4</v>
      </c>
      <c r="G38" s="30">
        <f>$E38*$F38/2+($C38+$C39)/$F38*1.1</f>
        <v>109.55085272698989</v>
      </c>
      <c r="H38" s="30">
        <f>$E38*$F38/2+($D38+$D39)/$F38*1.1</f>
        <v>-12.557390078647863</v>
      </c>
    </row>
    <row r="39" spans="1:11" x14ac:dyDescent="0.25">
      <c r="A39" s="49"/>
      <c r="B39" s="9" t="s">
        <v>44</v>
      </c>
      <c r="C39" s="30">
        <f>(L12*$AI$6*($AI$4-40-0.8*Q12/2)+G12*$AI$6*(0.8*Q12/2-40))/1000^2</f>
        <v>83.714508699785284</v>
      </c>
      <c r="D39" s="29">
        <f>-(G12*$AI$6*($AI$4-40-0.8*Q12/2)+L12*$AI$6*(0.8*Q12/2-40))/1000^2</f>
        <v>-171.34456929592312</v>
      </c>
      <c r="E39" s="29">
        <f t="shared" ref="E39:E43" si="35">7.297*4</f>
        <v>29.187999999999999</v>
      </c>
      <c r="F39" s="9">
        <v>4</v>
      </c>
      <c r="G39" s="30">
        <f>-$E39*$F39/2+($C38+$C39)/$F39*1.1</f>
        <v>-7.2011472730101076</v>
      </c>
      <c r="H39" s="30">
        <f>-$E39*$F39/2+($D38+$D39)/$F39*1.1</f>
        <v>-129.30939007864785</v>
      </c>
      <c r="K39" s="2">
        <v>-107.11371326941605</v>
      </c>
    </row>
    <row r="40" spans="1:11" x14ac:dyDescent="0.25">
      <c r="A40" s="48">
        <v>2</v>
      </c>
      <c r="B40" s="9" t="s">
        <v>43</v>
      </c>
      <c r="C40" s="29">
        <f>(G13*$AI$6*($AI$4-40-0.8*Q13/2)+L13*$AI$6*(0.8*Q13/2-40))/1000^2</f>
        <v>171.15238167203614</v>
      </c>
      <c r="D40" s="30">
        <f>-(L13*$AI$6*($AI$4-40-0.8*Q13/2)+G13*$AI$6*(0.8*Q13/2-40))/1000^2</f>
        <v>-97.330858323446364</v>
      </c>
      <c r="E40" s="29">
        <f t="shared" si="35"/>
        <v>29.187999999999999</v>
      </c>
      <c r="F40" s="9">
        <v>5.5</v>
      </c>
      <c r="G40" s="30">
        <f>$E40*$F40/2+($C40+$C41)/$F40*1.1</f>
        <v>133.96364799909651</v>
      </c>
      <c r="H40" s="30">
        <f>$E40*$F40/2+($D40+$D41)/$F40*1.1</f>
        <v>26.57035200090349</v>
      </c>
    </row>
    <row r="41" spans="1:11" x14ac:dyDescent="0.25">
      <c r="A41" s="49"/>
      <c r="B41" s="9" t="s">
        <v>44</v>
      </c>
      <c r="C41" s="30">
        <f>(L14*$AI$6*($AI$4-40-0.8*Q14/2)+G14*$AI$6*(0.8*Q14/2-40))/1000^2</f>
        <v>97.330858323446364</v>
      </c>
      <c r="D41" s="29">
        <f>-(G14*$AI$6*($AI$4-40-0.8*Q14/2)+L14*$AI$6*(0.8*Q14/2-40))/1000^2</f>
        <v>-171.15238167203614</v>
      </c>
      <c r="E41" s="29">
        <f t="shared" si="35"/>
        <v>29.187999999999999</v>
      </c>
      <c r="F41" s="9">
        <v>5.5</v>
      </c>
      <c r="G41" s="30">
        <f>-$E41*$F41/2+($C40+$C41)/$F41*1.1</f>
        <v>-26.57035200090349</v>
      </c>
      <c r="H41" s="30">
        <f>-$E41*$F41/2+($D40+$D41)/$F41*1.1</f>
        <v>-133.96364799909651</v>
      </c>
    </row>
    <row r="42" spans="1:11" x14ac:dyDescent="0.25">
      <c r="A42" s="48">
        <v>3</v>
      </c>
      <c r="B42" s="9" t="s">
        <v>43</v>
      </c>
      <c r="C42" s="29">
        <f>(G15*$AI$6*($AI$4-40-0.8*Q15/2)+L15*$AI$6*(0.8*Q15/2-40))/1000^2</f>
        <v>171.34456929592312</v>
      </c>
      <c r="D42" s="30">
        <f>-(L15*$AI$6*($AI$4-40-0.8*Q15/2)+G15*$AI$6*(0.8*Q15/2-40))/1000^2</f>
        <v>-83.714508699785284</v>
      </c>
      <c r="E42" s="29">
        <f t="shared" si="35"/>
        <v>29.187999999999999</v>
      </c>
      <c r="F42" s="9">
        <v>4</v>
      </c>
      <c r="G42" s="30">
        <f>$E42*$F42/2+($C42+$C43)/$F42*1.1</f>
        <v>129.30939007864785</v>
      </c>
      <c r="H42" s="30">
        <f>$E42*$F42/2+($D42+$D43)/$F42*1.1</f>
        <v>7.2011472730101076</v>
      </c>
    </row>
    <row r="43" spans="1:11" x14ac:dyDescent="0.25">
      <c r="A43" s="49"/>
      <c r="B43" s="9" t="s">
        <v>44</v>
      </c>
      <c r="C43" s="30">
        <f>(L16*$AI$6*($AI$4-40-0.8*Q16/2)+G16*$AI$6*(0.8*Q16/2-40))/1000^2</f>
        <v>86.595030990069048</v>
      </c>
      <c r="D43" s="29">
        <f>-(G16*$AI$6*($AI$4-40-0.8*Q16/2)+L16*$AI$6*(0.8*Q16/2-40))/1000^2</f>
        <v>-102.3758648529052</v>
      </c>
      <c r="E43" s="29">
        <f t="shared" si="35"/>
        <v>29.187999999999999</v>
      </c>
      <c r="F43" s="9">
        <v>4</v>
      </c>
      <c r="G43" s="30">
        <f>-$E43*$F43/2+($C42+$C43)/$F43*1.1</f>
        <v>12.557390078647863</v>
      </c>
      <c r="H43" s="30">
        <f>-$E43*$F43/2+($D42+$D43)/$F43*1.1</f>
        <v>-109.55085272698989</v>
      </c>
    </row>
    <row r="44" spans="1:11" ht="17.25" x14ac:dyDescent="0.25">
      <c r="A44" s="7" t="s">
        <v>66</v>
      </c>
      <c r="B44" s="36" t="s">
        <v>42</v>
      </c>
      <c r="C44" s="7" t="s">
        <v>103</v>
      </c>
      <c r="D44" s="7" t="s">
        <v>104</v>
      </c>
      <c r="E44" s="7" t="s">
        <v>94</v>
      </c>
      <c r="F44" s="7" t="s">
        <v>62</v>
      </c>
      <c r="G44" s="7" t="s">
        <v>96</v>
      </c>
      <c r="H44" s="7" t="s">
        <v>95</v>
      </c>
    </row>
    <row r="45" spans="1:11" x14ac:dyDescent="0.25">
      <c r="A45" s="7" t="s">
        <v>40</v>
      </c>
      <c r="B45" s="37"/>
      <c r="C45" s="31" t="s">
        <v>23</v>
      </c>
      <c r="D45" s="31" t="s">
        <v>23</v>
      </c>
      <c r="E45" s="7" t="s">
        <v>58</v>
      </c>
      <c r="F45" s="7" t="s">
        <v>63</v>
      </c>
      <c r="G45" s="7" t="s">
        <v>59</v>
      </c>
      <c r="H45" s="7" t="s">
        <v>59</v>
      </c>
    </row>
    <row r="46" spans="1:11" x14ac:dyDescent="0.25">
      <c r="A46" s="48">
        <v>1</v>
      </c>
      <c r="B46" s="9" t="s">
        <v>43</v>
      </c>
      <c r="C46" s="29">
        <f>(G19*$AI$6*($AI$4-40-0.8*Q19/2)+L19*$AI$6*(0.8*Q19/2-40))/1000^2</f>
        <v>123.35765379394276</v>
      </c>
      <c r="D46" s="30">
        <f>-(L19*$AI$6*($AI$4-40-0.8*Q19/2)+G19*$AI$6*(0.8*Q19/2-40))/1000^2</f>
        <v>-85.233171125624438</v>
      </c>
      <c r="E46" s="29">
        <f>7.297*4.75</f>
        <v>34.66075</v>
      </c>
      <c r="F46" s="9">
        <v>4</v>
      </c>
      <c r="G46" s="30">
        <f>$E46*$F46/2+($C46+$C47)/$F46*1.1</f>
        <v>126.28818898516373</v>
      </c>
      <c r="H46" s="30">
        <f>$E46*$F46/2+($D46+$D47)/$F46*1.1</f>
        <v>-6.611014812600132</v>
      </c>
    </row>
    <row r="47" spans="1:11" x14ac:dyDescent="0.25">
      <c r="A47" s="49"/>
      <c r="B47" s="9" t="s">
        <v>44</v>
      </c>
      <c r="C47" s="30">
        <f>(L20*$AI$6*($AI$4-40-0.8*Q20/2)+G20*$AI$6*(0.8*Q20/2-40))/1000^2</f>
        <v>83.793942515743495</v>
      </c>
      <c r="D47" s="29">
        <f>-(G20*$AI$6*($AI$4-40-0.8*Q20/2)+L20*$AI$6*(0.8*Q20/2-40))/1000^2</f>
        <v>-190.88506455655784</v>
      </c>
      <c r="E47" s="29">
        <f t="shared" ref="E47:E51" si="36">7.297*4.75</f>
        <v>34.66075</v>
      </c>
      <c r="F47" s="9">
        <v>4</v>
      </c>
      <c r="G47" s="30">
        <f>-$E47*$F47/2+($C46+$C47)/$F47*1.1</f>
        <v>-12.354811014836272</v>
      </c>
      <c r="H47" s="30">
        <f>-$E47*$F47/2+($D46+$D47)/$F47*1.1</f>
        <v>-145.25401481260013</v>
      </c>
    </row>
    <row r="48" spans="1:11" x14ac:dyDescent="0.25">
      <c r="A48" s="48">
        <v>2</v>
      </c>
      <c r="B48" s="9" t="s">
        <v>43</v>
      </c>
      <c r="C48" s="29">
        <f>(G21*$AI$6*($AI$4-40-0.8*Q21/2)+L21*$AI$6*(0.8*Q21/2-40))/1000^2</f>
        <v>190.9856397115027</v>
      </c>
      <c r="D48" s="30">
        <f>-(L21*$AI$6*($AI$4-40-0.8*Q21/2)+G21*$AI$6*(0.8*Q21/2-40))/1000^2</f>
        <v>-97.117529360572746</v>
      </c>
      <c r="E48" s="29">
        <f t="shared" si="36"/>
        <v>34.66075</v>
      </c>
      <c r="F48" s="9">
        <v>5.5</v>
      </c>
      <c r="G48" s="30">
        <f>$E48*$F48/2+($C48+$C49)/$F48*1.1</f>
        <v>152.93769631441509</v>
      </c>
      <c r="H48" s="30">
        <f>$E48*$F48/2+($D48+$D49)/$F48*1.1</f>
        <v>37.696428685584912</v>
      </c>
    </row>
    <row r="49" spans="1:22" x14ac:dyDescent="0.25">
      <c r="A49" s="49"/>
      <c r="B49" s="9" t="s">
        <v>44</v>
      </c>
      <c r="C49" s="30">
        <f>(L22*$AI$6*($AI$4-40-0.8*Q22/2)+G22*$AI$6*(0.8*Q22/2-40))/1000^2</f>
        <v>97.117529360572746</v>
      </c>
      <c r="D49" s="29">
        <f>-(G22*$AI$6*($AI$4-40-0.8*Q22/2)+L22*$AI$6*(0.8*Q22/2-40))/1000^2</f>
        <v>-190.9856397115027</v>
      </c>
      <c r="E49" s="29">
        <f t="shared" si="36"/>
        <v>34.66075</v>
      </c>
      <c r="F49" s="9">
        <v>5.5</v>
      </c>
      <c r="G49" s="30">
        <f>-$E49*$F49/2+($C48+$C49)/$F49*1.1</f>
        <v>-37.696428685584912</v>
      </c>
      <c r="H49" s="30">
        <f>-$E49*$F49/2+($D48+$D49)/$F49*1.1</f>
        <v>-152.93769631441509</v>
      </c>
    </row>
    <row r="50" spans="1:22" x14ac:dyDescent="0.25">
      <c r="A50" s="48">
        <v>3</v>
      </c>
      <c r="B50" s="9" t="s">
        <v>43</v>
      </c>
      <c r="C50" s="29">
        <f>(G23*$AI$6*($AI$4-40-0.8*Q23/2)+L23*$AI$6*(0.8*Q23/2-40))/1000^2</f>
        <v>190.88506455655784</v>
      </c>
      <c r="D50" s="30">
        <f>-(L23*$AI$6*($AI$4-40-0.8*Q23/2)+G23*$AI$6*(0.8*Q23/2-40))/1000^2</f>
        <v>-83.793942515743495</v>
      </c>
      <c r="E50" s="29">
        <f t="shared" si="36"/>
        <v>34.66075</v>
      </c>
      <c r="F50" s="9">
        <v>4</v>
      </c>
      <c r="G50" s="30">
        <f>$E50*$F50/2+($C50+$C51)/$F50*1.1</f>
        <v>144.88923424206328</v>
      </c>
      <c r="H50" s="30">
        <f>$E50*$F50/2+($D50+$D51)/$F50*1.1</f>
        <v>2.9029053982984721</v>
      </c>
    </row>
    <row r="51" spans="1:22" x14ac:dyDescent="0.25">
      <c r="A51" s="49"/>
      <c r="B51" s="9" t="s">
        <v>44</v>
      </c>
      <c r="C51" s="30">
        <f>(L24*$AI$6*($AI$4-40-0.8*Q24/2)+G24*$AI$6*(0.8*Q24/2-40))/1000^2</f>
        <v>83.906696323672236</v>
      </c>
      <c r="D51" s="29">
        <f>-(G24*$AI$6*($AI$4-40-0.8*Q24/2)+L24*$AI$6*(0.8*Q24/2-40))/1000^2</f>
        <v>-157.72821967226204</v>
      </c>
      <c r="E51" s="29">
        <f t="shared" si="36"/>
        <v>34.66075</v>
      </c>
      <c r="F51" s="9">
        <v>4</v>
      </c>
      <c r="G51" s="30">
        <f>-$E51*$F51/2+($C50+$C51)/$F51*1.1</f>
        <v>6.2462342420632808</v>
      </c>
      <c r="H51" s="30">
        <f>-$E51*$F51/2+($D50+$D51)/$F51*1.1</f>
        <v>-135.74009460170151</v>
      </c>
    </row>
    <row r="54" spans="1:22" ht="26.25" x14ac:dyDescent="0.4">
      <c r="A54" s="50" t="s">
        <v>76</v>
      </c>
      <c r="B54" s="50"/>
      <c r="C54" s="50"/>
      <c r="D54" s="50"/>
      <c r="E54" s="50"/>
      <c r="F54" s="50"/>
      <c r="G54" s="50"/>
      <c r="H54" s="50"/>
      <c r="I54" s="50"/>
    </row>
    <row r="55" spans="1:22" x14ac:dyDescent="0.25">
      <c r="Q55" t="s">
        <v>80</v>
      </c>
    </row>
    <row r="57" spans="1:22" ht="18" x14ac:dyDescent="0.35">
      <c r="A57" s="7" t="s">
        <v>37</v>
      </c>
      <c r="B57" s="36" t="s">
        <v>42</v>
      </c>
      <c r="C57" s="7" t="s">
        <v>67</v>
      </c>
      <c r="D57" s="7" t="s">
        <v>98</v>
      </c>
      <c r="E57" s="7" t="s">
        <v>97</v>
      </c>
      <c r="F57" s="7" t="s">
        <v>99</v>
      </c>
      <c r="G57" s="7" t="s">
        <v>100</v>
      </c>
      <c r="H57" s="7" t="s">
        <v>101</v>
      </c>
      <c r="I57" s="7" t="s">
        <v>102</v>
      </c>
      <c r="N57" s="2"/>
      <c r="O57" s="2"/>
      <c r="Q57" s="7" t="s">
        <v>77</v>
      </c>
      <c r="R57" s="7" t="s">
        <v>77</v>
      </c>
      <c r="S57" s="7" t="s">
        <v>69</v>
      </c>
      <c r="T57" s="7" t="s">
        <v>70</v>
      </c>
      <c r="U57" s="7" t="s">
        <v>71</v>
      </c>
      <c r="V57" s="7" t="s">
        <v>72</v>
      </c>
    </row>
    <row r="58" spans="1:22" x14ac:dyDescent="0.25">
      <c r="A58" s="7" t="s">
        <v>40</v>
      </c>
      <c r="B58" s="37"/>
      <c r="C58" s="7" t="s">
        <v>2</v>
      </c>
      <c r="D58" s="7" t="s">
        <v>2</v>
      </c>
      <c r="E58" s="7" t="s">
        <v>2</v>
      </c>
      <c r="F58" s="7" t="s">
        <v>59</v>
      </c>
      <c r="G58" s="7" t="s">
        <v>59</v>
      </c>
      <c r="H58" s="7" t="s">
        <v>59</v>
      </c>
      <c r="I58" s="7" t="s">
        <v>59</v>
      </c>
      <c r="L58" s="14" t="s">
        <v>74</v>
      </c>
      <c r="M58" s="14"/>
      <c r="N58" s="14"/>
      <c r="Q58" s="7" t="s">
        <v>78</v>
      </c>
      <c r="R58" s="7" t="s">
        <v>79</v>
      </c>
      <c r="S58" s="7" t="s">
        <v>2</v>
      </c>
      <c r="T58" s="7" t="s">
        <v>59</v>
      </c>
      <c r="U58" s="7" t="s">
        <v>59</v>
      </c>
      <c r="V58" s="7" t="s">
        <v>59</v>
      </c>
    </row>
    <row r="59" spans="1:22" x14ac:dyDescent="0.25">
      <c r="A59" s="48">
        <v>1</v>
      </c>
      <c r="B59" s="9" t="s">
        <v>43</v>
      </c>
      <c r="C59" s="9">
        <f>500</f>
        <v>500</v>
      </c>
      <c r="D59" s="9">
        <v>8</v>
      </c>
      <c r="E59" s="9">
        <v>100</v>
      </c>
      <c r="F59" s="29">
        <f t="shared" ref="F59:F64" si="37">(0.9*($AI$4-30)*(2*PI()*D59^2/4)/E59*$AI$6)/1000</f>
        <v>166.40060149170563</v>
      </c>
      <c r="G59" s="30">
        <f t="shared" ref="G59:G64" si="38">(0.9*($AI$4-30)*$AI$3*0.5*$AI$14*0.5)/1000</f>
        <v>539.32500000000005</v>
      </c>
      <c r="H59" s="30">
        <f>MIN(F59:G59)</f>
        <v>166.40060149170563</v>
      </c>
      <c r="I59" s="30">
        <f t="shared" ref="I59:I64" si="39">MAX(ABS(G30),ABS(H30))</f>
        <v>95.922852726989888</v>
      </c>
      <c r="J59" s="32" t="str">
        <f>IF(H59&gt;I59,"OK","NO")</f>
        <v>OK</v>
      </c>
      <c r="L59" s="2">
        <f>(500-40)/4</f>
        <v>115</v>
      </c>
      <c r="M59" s="2">
        <v>175</v>
      </c>
      <c r="N59" s="2">
        <f>8*12</f>
        <v>96</v>
      </c>
      <c r="Q59" s="15">
        <f t="shared" ref="Q59:Q64" si="40">ASIN(SQRT(2*D59^2/4*PI()*$AI$6/($AI$3*E59*0.5*$AI$14)))</f>
        <v>0.40364060334951729</v>
      </c>
      <c r="R59" s="29">
        <f>DEGREES(Q59)</f>
        <v>23.12690301204146</v>
      </c>
      <c r="S59" s="9">
        <v>200</v>
      </c>
      <c r="T59" s="30">
        <f t="shared" ref="T59:T64" si="41">(0.9*($AI$4-30)*(2*PI()*8^2/4)/S59*$AI$6)/1000*_xlfn.COT(Q59)</f>
        <v>194.8068585947546</v>
      </c>
      <c r="U59" s="30">
        <f t="shared" ref="U59:U64" si="42">(0.9*($AI$4-30)*$AI$3*0.5*$AI$14)*(_xlfn.COT(Q59))/(1+_xlfn.COT(Q59)^2)/1000</f>
        <v>389.6137171895092</v>
      </c>
      <c r="V59" s="30">
        <f>MIN(T59:U59)</f>
        <v>194.8068585947546</v>
      </c>
    </row>
    <row r="60" spans="1:22" x14ac:dyDescent="0.25">
      <c r="A60" s="49"/>
      <c r="B60" s="9" t="s">
        <v>44</v>
      </c>
      <c r="C60" s="9">
        <f>500</f>
        <v>500</v>
      </c>
      <c r="D60" s="9">
        <v>8</v>
      </c>
      <c r="E60" s="9">
        <v>100</v>
      </c>
      <c r="F60" s="29">
        <f t="shared" si="37"/>
        <v>166.40060149170563</v>
      </c>
      <c r="G60" s="30">
        <f t="shared" si="38"/>
        <v>539.32500000000005</v>
      </c>
      <c r="H60" s="30">
        <f t="shared" ref="H60:H64" si="43">MIN(F60:G60)</f>
        <v>166.40060149170563</v>
      </c>
      <c r="I60" s="30">
        <f t="shared" si="39"/>
        <v>115.68139007864787</v>
      </c>
      <c r="J60" s="32" t="str">
        <f t="shared" ref="J60:J64" si="44">IF(H60&gt;I60,"OK","NO")</f>
        <v>OK</v>
      </c>
      <c r="N60" s="2">
        <f t="shared" ref="N60:N64" si="45">8*E4</f>
        <v>144</v>
      </c>
      <c r="Q60" s="15">
        <f t="shared" si="40"/>
        <v>0.40364060334951729</v>
      </c>
      <c r="R60" s="29">
        <f t="shared" ref="R60:R64" si="46">DEGREES(Q60)</f>
        <v>23.12690301204146</v>
      </c>
      <c r="S60" s="9">
        <v>200</v>
      </c>
      <c r="T60" s="30">
        <f t="shared" si="41"/>
        <v>194.8068585947546</v>
      </c>
      <c r="U60" s="30">
        <f t="shared" si="42"/>
        <v>389.6137171895092</v>
      </c>
      <c r="V60" s="30">
        <f t="shared" ref="V60:V64" si="47">MIN(T60:U60)</f>
        <v>194.8068585947546</v>
      </c>
    </row>
    <row r="61" spans="1:22" x14ac:dyDescent="0.25">
      <c r="A61" s="48">
        <v>2</v>
      </c>
      <c r="B61" s="9" t="s">
        <v>43</v>
      </c>
      <c r="C61" s="9">
        <f>500</f>
        <v>500</v>
      </c>
      <c r="D61" s="9">
        <v>8</v>
      </c>
      <c r="E61" s="9">
        <v>100</v>
      </c>
      <c r="F61" s="29">
        <f t="shared" si="37"/>
        <v>166.40060149170563</v>
      </c>
      <c r="G61" s="30">
        <f t="shared" si="38"/>
        <v>539.32500000000005</v>
      </c>
      <c r="H61" s="30">
        <f t="shared" si="43"/>
        <v>166.40060149170563</v>
      </c>
      <c r="I61" s="30">
        <f t="shared" si="39"/>
        <v>115.22514799909649</v>
      </c>
      <c r="J61" s="32" t="str">
        <f t="shared" si="44"/>
        <v>OK</v>
      </c>
      <c r="N61" s="2">
        <f t="shared" si="45"/>
        <v>144</v>
      </c>
      <c r="Q61" s="15">
        <f t="shared" si="40"/>
        <v>0.40364060334951729</v>
      </c>
      <c r="R61" s="29">
        <f t="shared" si="46"/>
        <v>23.12690301204146</v>
      </c>
      <c r="S61" s="9">
        <v>200</v>
      </c>
      <c r="T61" s="30">
        <f t="shared" si="41"/>
        <v>194.8068585947546</v>
      </c>
      <c r="U61" s="30">
        <f t="shared" si="42"/>
        <v>389.6137171895092</v>
      </c>
      <c r="V61" s="30">
        <f t="shared" si="47"/>
        <v>194.8068585947546</v>
      </c>
    </row>
    <row r="62" spans="1:22" x14ac:dyDescent="0.25">
      <c r="A62" s="49"/>
      <c r="B62" s="9" t="s">
        <v>44</v>
      </c>
      <c r="C62" s="9">
        <f>500</f>
        <v>500</v>
      </c>
      <c r="D62" s="9">
        <v>8</v>
      </c>
      <c r="E62" s="9">
        <v>100</v>
      </c>
      <c r="F62" s="29">
        <f t="shared" si="37"/>
        <v>166.40060149170563</v>
      </c>
      <c r="G62" s="30">
        <f t="shared" si="38"/>
        <v>539.32500000000005</v>
      </c>
      <c r="H62" s="30">
        <f t="shared" si="43"/>
        <v>166.40060149170563</v>
      </c>
      <c r="I62" s="30">
        <f t="shared" si="39"/>
        <v>115.22514799909649</v>
      </c>
      <c r="J62" s="32" t="str">
        <f t="shared" si="44"/>
        <v>OK</v>
      </c>
      <c r="N62" s="2">
        <f t="shared" si="45"/>
        <v>144</v>
      </c>
      <c r="Q62" s="15">
        <f t="shared" si="40"/>
        <v>0.40364060334951729</v>
      </c>
      <c r="R62" s="29">
        <f t="shared" si="46"/>
        <v>23.12690301204146</v>
      </c>
      <c r="S62" s="9">
        <v>200</v>
      </c>
      <c r="T62" s="30">
        <f t="shared" si="41"/>
        <v>194.8068585947546</v>
      </c>
      <c r="U62" s="30">
        <f t="shared" si="42"/>
        <v>389.6137171895092</v>
      </c>
      <c r="V62" s="30">
        <f t="shared" si="47"/>
        <v>194.8068585947546</v>
      </c>
    </row>
    <row r="63" spans="1:22" x14ac:dyDescent="0.25">
      <c r="A63" s="48">
        <v>3</v>
      </c>
      <c r="B63" s="9" t="s">
        <v>43</v>
      </c>
      <c r="C63" s="9">
        <f>500</f>
        <v>500</v>
      </c>
      <c r="D63" s="9">
        <v>8</v>
      </c>
      <c r="E63" s="9">
        <v>100</v>
      </c>
      <c r="F63" s="29">
        <f t="shared" si="37"/>
        <v>166.40060149170563</v>
      </c>
      <c r="G63" s="30">
        <f t="shared" si="38"/>
        <v>539.32500000000005</v>
      </c>
      <c r="H63" s="30">
        <f t="shared" si="43"/>
        <v>166.40060149170563</v>
      </c>
      <c r="I63" s="30">
        <f t="shared" si="39"/>
        <v>115.68139007864787</v>
      </c>
      <c r="J63" s="32" t="str">
        <f t="shared" si="44"/>
        <v>OK</v>
      </c>
      <c r="N63" s="2">
        <f t="shared" si="45"/>
        <v>144</v>
      </c>
      <c r="Q63" s="15">
        <f t="shared" si="40"/>
        <v>0.40364060334951729</v>
      </c>
      <c r="R63" s="29">
        <f t="shared" si="46"/>
        <v>23.12690301204146</v>
      </c>
      <c r="S63" s="9">
        <v>200</v>
      </c>
      <c r="T63" s="30">
        <f t="shared" si="41"/>
        <v>194.8068585947546</v>
      </c>
      <c r="U63" s="30">
        <f t="shared" si="42"/>
        <v>389.6137171895092</v>
      </c>
      <c r="V63" s="30">
        <f t="shared" si="47"/>
        <v>194.8068585947546</v>
      </c>
    </row>
    <row r="64" spans="1:22" x14ac:dyDescent="0.25">
      <c r="A64" s="49"/>
      <c r="B64" s="9" t="s">
        <v>44</v>
      </c>
      <c r="C64" s="9">
        <f>500</f>
        <v>500</v>
      </c>
      <c r="D64" s="9">
        <v>8</v>
      </c>
      <c r="E64" s="9">
        <v>100</v>
      </c>
      <c r="F64" s="29">
        <f t="shared" si="37"/>
        <v>166.40060149170563</v>
      </c>
      <c r="G64" s="30">
        <f t="shared" si="38"/>
        <v>539.32500000000005</v>
      </c>
      <c r="H64" s="30">
        <f t="shared" si="43"/>
        <v>166.40060149170563</v>
      </c>
      <c r="I64" s="30">
        <f t="shared" si="39"/>
        <v>95.922852726989888</v>
      </c>
      <c r="J64" s="32" t="str">
        <f t="shared" si="44"/>
        <v>OK</v>
      </c>
      <c r="N64" s="2">
        <f t="shared" si="45"/>
        <v>112</v>
      </c>
      <c r="Q64" s="15">
        <f t="shared" si="40"/>
        <v>0.40364060334951729</v>
      </c>
      <c r="R64" s="29">
        <f t="shared" si="46"/>
        <v>23.12690301204146</v>
      </c>
      <c r="S64" s="9">
        <v>200</v>
      </c>
      <c r="T64" s="30">
        <f t="shared" si="41"/>
        <v>194.8068585947546</v>
      </c>
      <c r="U64" s="30">
        <f t="shared" si="42"/>
        <v>389.6137171895092</v>
      </c>
      <c r="V64" s="30">
        <f t="shared" si="47"/>
        <v>194.8068585947546</v>
      </c>
    </row>
    <row r="65" spans="1:14" ht="18" x14ac:dyDescent="0.35">
      <c r="A65" s="7" t="s">
        <v>38</v>
      </c>
      <c r="B65" s="36" t="s">
        <v>42</v>
      </c>
      <c r="C65" s="7" t="s">
        <v>67</v>
      </c>
      <c r="D65" s="7" t="s">
        <v>98</v>
      </c>
      <c r="E65" s="7" t="s">
        <v>97</v>
      </c>
      <c r="F65" s="44" t="s">
        <v>99</v>
      </c>
      <c r="G65" s="7" t="s">
        <v>100</v>
      </c>
      <c r="H65" s="7" t="s">
        <v>101</v>
      </c>
      <c r="I65" s="7" t="s">
        <v>102</v>
      </c>
      <c r="N65" s="2"/>
    </row>
    <row r="66" spans="1:14" x14ac:dyDescent="0.25">
      <c r="A66" s="7" t="s">
        <v>40</v>
      </c>
      <c r="B66" s="37"/>
      <c r="C66" s="7" t="s">
        <v>2</v>
      </c>
      <c r="D66" s="7" t="s">
        <v>2</v>
      </c>
      <c r="E66" s="7" t="s">
        <v>2</v>
      </c>
      <c r="F66" s="44" t="s">
        <v>59</v>
      </c>
      <c r="G66" s="7" t="s">
        <v>59</v>
      </c>
      <c r="H66" s="31" t="s">
        <v>59</v>
      </c>
      <c r="I66" s="7" t="s">
        <v>59</v>
      </c>
      <c r="N66" s="2"/>
    </row>
    <row r="67" spans="1:14" x14ac:dyDescent="0.25">
      <c r="A67" s="48">
        <v>1</v>
      </c>
      <c r="B67" s="9" t="s">
        <v>43</v>
      </c>
      <c r="C67" s="9">
        <f>500</f>
        <v>500</v>
      </c>
      <c r="D67" s="9">
        <v>8</v>
      </c>
      <c r="E67" s="9">
        <v>100</v>
      </c>
      <c r="F67" s="29">
        <f t="shared" ref="F67:F72" si="48">(0.9*($AI$4-30)*(2*PI()*D67^2/4)/E67*$AI$6)/1000</f>
        <v>166.40060149170563</v>
      </c>
      <c r="G67" s="30">
        <f t="shared" ref="G67:G72" si="49">(0.9*($AI$4-30)*$AI$3*0.5*$AI$14*0.5)/1000</f>
        <v>539.32500000000005</v>
      </c>
      <c r="H67" s="30">
        <f>MIN(F67:G67)</f>
        <v>166.40060149170563</v>
      </c>
      <c r="I67" s="30">
        <f t="shared" ref="I67:I72" si="50">MAX(ABS(G38),ABS(H38))</f>
        <v>109.55085272698989</v>
      </c>
      <c r="J67" s="32" t="str">
        <f>IF(H67&gt;I67,"OK","NO")</f>
        <v>OK</v>
      </c>
      <c r="N67" s="2">
        <f>8*E11</f>
        <v>112</v>
      </c>
    </row>
    <row r="68" spans="1:14" x14ac:dyDescent="0.25">
      <c r="A68" s="49"/>
      <c r="B68" s="9" t="s">
        <v>44</v>
      </c>
      <c r="C68" s="9">
        <f>500</f>
        <v>500</v>
      </c>
      <c r="D68" s="9">
        <v>8</v>
      </c>
      <c r="E68" s="9">
        <v>100</v>
      </c>
      <c r="F68" s="29">
        <f t="shared" si="48"/>
        <v>166.40060149170563</v>
      </c>
      <c r="G68" s="30">
        <f t="shared" si="49"/>
        <v>539.32500000000005</v>
      </c>
      <c r="H68" s="30">
        <f t="shared" ref="H68:H72" si="51">MIN(F68:G68)</f>
        <v>166.40060149170563</v>
      </c>
      <c r="I68" s="30">
        <f t="shared" si="50"/>
        <v>129.30939007864785</v>
      </c>
      <c r="J68" s="32" t="str">
        <f t="shared" ref="J68:J72" si="52">IF(H68&gt;I68,"OK","NO")</f>
        <v>OK</v>
      </c>
      <c r="N68" s="2">
        <f t="shared" ref="N68:N72" si="53">8*E12</f>
        <v>144</v>
      </c>
    </row>
    <row r="69" spans="1:14" x14ac:dyDescent="0.25">
      <c r="A69" s="48">
        <v>2</v>
      </c>
      <c r="B69" s="9" t="s">
        <v>43</v>
      </c>
      <c r="C69" s="9">
        <f>500</f>
        <v>500</v>
      </c>
      <c r="D69" s="9">
        <v>8</v>
      </c>
      <c r="E69" s="9">
        <v>100</v>
      </c>
      <c r="F69" s="29">
        <f t="shared" si="48"/>
        <v>166.40060149170563</v>
      </c>
      <c r="G69" s="30">
        <f t="shared" si="49"/>
        <v>539.32500000000005</v>
      </c>
      <c r="H69" s="30">
        <f t="shared" si="51"/>
        <v>166.40060149170563</v>
      </c>
      <c r="I69" s="30">
        <f t="shared" si="50"/>
        <v>133.96364799909651</v>
      </c>
      <c r="J69" s="32" t="str">
        <f t="shared" si="52"/>
        <v>OK</v>
      </c>
      <c r="N69" s="2">
        <f t="shared" si="53"/>
        <v>144</v>
      </c>
    </row>
    <row r="70" spans="1:14" x14ac:dyDescent="0.25">
      <c r="A70" s="49"/>
      <c r="B70" s="9" t="s">
        <v>44</v>
      </c>
      <c r="C70" s="9">
        <f>500</f>
        <v>500</v>
      </c>
      <c r="D70" s="9">
        <v>8</v>
      </c>
      <c r="E70" s="9">
        <v>100</v>
      </c>
      <c r="F70" s="29">
        <f t="shared" si="48"/>
        <v>166.40060149170563</v>
      </c>
      <c r="G70" s="30">
        <f t="shared" si="49"/>
        <v>539.32500000000005</v>
      </c>
      <c r="H70" s="30">
        <f t="shared" si="51"/>
        <v>166.40060149170563</v>
      </c>
      <c r="I70" s="30">
        <f t="shared" si="50"/>
        <v>133.96364799909651</v>
      </c>
      <c r="J70" s="32" t="str">
        <f t="shared" si="52"/>
        <v>OK</v>
      </c>
      <c r="N70" s="2">
        <f t="shared" si="53"/>
        <v>144</v>
      </c>
    </row>
    <row r="71" spans="1:14" x14ac:dyDescent="0.25">
      <c r="A71" s="48">
        <v>3</v>
      </c>
      <c r="B71" s="9" t="s">
        <v>43</v>
      </c>
      <c r="C71" s="9">
        <f>500</f>
        <v>500</v>
      </c>
      <c r="D71" s="9">
        <v>8</v>
      </c>
      <c r="E71" s="9">
        <v>100</v>
      </c>
      <c r="F71" s="29">
        <f t="shared" si="48"/>
        <v>166.40060149170563</v>
      </c>
      <c r="G71" s="30">
        <f t="shared" si="49"/>
        <v>539.32500000000005</v>
      </c>
      <c r="H71" s="30">
        <f t="shared" si="51"/>
        <v>166.40060149170563</v>
      </c>
      <c r="I71" s="30">
        <f t="shared" si="50"/>
        <v>129.30939007864785</v>
      </c>
      <c r="J71" s="32" t="str">
        <f t="shared" si="52"/>
        <v>OK</v>
      </c>
      <c r="N71" s="2">
        <f t="shared" si="53"/>
        <v>144</v>
      </c>
    </row>
    <row r="72" spans="1:14" x14ac:dyDescent="0.25">
      <c r="A72" s="49"/>
      <c r="B72" s="9" t="s">
        <v>44</v>
      </c>
      <c r="C72" s="9">
        <f>500</f>
        <v>500</v>
      </c>
      <c r="D72" s="9">
        <v>8</v>
      </c>
      <c r="E72" s="9">
        <v>100</v>
      </c>
      <c r="F72" s="29">
        <f t="shared" si="48"/>
        <v>166.40060149170563</v>
      </c>
      <c r="G72" s="30">
        <f t="shared" si="49"/>
        <v>539.32500000000005</v>
      </c>
      <c r="H72" s="30">
        <f t="shared" si="51"/>
        <v>166.40060149170563</v>
      </c>
      <c r="I72" s="30">
        <f t="shared" si="50"/>
        <v>109.55085272698989</v>
      </c>
      <c r="J72" s="32" t="str">
        <f t="shared" si="52"/>
        <v>OK</v>
      </c>
      <c r="N72" s="2">
        <f t="shared" si="53"/>
        <v>112</v>
      </c>
    </row>
    <row r="73" spans="1:14" ht="18" x14ac:dyDescent="0.35">
      <c r="A73" s="7" t="s">
        <v>66</v>
      </c>
      <c r="B73" s="36" t="s">
        <v>42</v>
      </c>
      <c r="C73" s="7" t="s">
        <v>67</v>
      </c>
      <c r="D73" s="7" t="s">
        <v>98</v>
      </c>
      <c r="E73" s="7" t="s">
        <v>97</v>
      </c>
      <c r="F73" s="44" t="s">
        <v>99</v>
      </c>
      <c r="G73" s="7" t="s">
        <v>100</v>
      </c>
      <c r="H73" s="7" t="s">
        <v>101</v>
      </c>
      <c r="I73" s="7" t="s">
        <v>102</v>
      </c>
      <c r="N73" s="2"/>
    </row>
    <row r="74" spans="1:14" x14ac:dyDescent="0.25">
      <c r="A74" s="7" t="s">
        <v>40</v>
      </c>
      <c r="B74" s="37"/>
      <c r="C74" s="7" t="s">
        <v>2</v>
      </c>
      <c r="D74" s="7" t="s">
        <v>2</v>
      </c>
      <c r="E74" s="7" t="s">
        <v>2</v>
      </c>
      <c r="F74" s="44" t="s">
        <v>59</v>
      </c>
      <c r="G74" s="7" t="s">
        <v>59</v>
      </c>
      <c r="H74" s="31" t="s">
        <v>59</v>
      </c>
      <c r="I74" s="7" t="s">
        <v>59</v>
      </c>
      <c r="N74" s="2"/>
    </row>
    <row r="75" spans="1:14" x14ac:dyDescent="0.25">
      <c r="A75" s="48">
        <v>1</v>
      </c>
      <c r="B75" s="9" t="s">
        <v>43</v>
      </c>
      <c r="C75" s="9">
        <f>500</f>
        <v>500</v>
      </c>
      <c r="D75" s="9">
        <v>8</v>
      </c>
      <c r="E75" s="9">
        <v>100</v>
      </c>
      <c r="F75" s="29">
        <f t="shared" ref="F75:F80" si="54">(0.9*($AI$4-30)*(2*PI()*D75^2/4)/E75*$AI$6)/1000</f>
        <v>166.40060149170563</v>
      </c>
      <c r="G75" s="30">
        <f t="shared" ref="G75:G80" si="55">(0.9*($AI$4-30)*$AI$3*0.5*$AI$14*0.5)/1000</f>
        <v>539.32500000000005</v>
      </c>
      <c r="H75" s="30">
        <f>MIN(F75:G75)</f>
        <v>166.40060149170563</v>
      </c>
      <c r="I75" s="30">
        <f t="shared" ref="I75:I80" si="56">MAX(ABS(G46),ABS(H46))</f>
        <v>126.28818898516373</v>
      </c>
      <c r="J75" s="32" t="str">
        <f>IF(H75&gt;I75,"OK","NO")</f>
        <v>OK</v>
      </c>
      <c r="N75" s="2">
        <f>8*E19</f>
        <v>96</v>
      </c>
    </row>
    <row r="76" spans="1:14" x14ac:dyDescent="0.25">
      <c r="A76" s="49"/>
      <c r="B76" s="9" t="s">
        <v>44</v>
      </c>
      <c r="C76" s="9">
        <f>500</f>
        <v>500</v>
      </c>
      <c r="D76" s="9">
        <v>8</v>
      </c>
      <c r="E76" s="9">
        <v>100</v>
      </c>
      <c r="F76" s="29">
        <f t="shared" si="54"/>
        <v>166.40060149170563</v>
      </c>
      <c r="G76" s="30">
        <f t="shared" si="55"/>
        <v>539.32500000000005</v>
      </c>
      <c r="H76" s="30">
        <f t="shared" ref="H76:H80" si="57">MIN(F76:G76)</f>
        <v>166.40060149170563</v>
      </c>
      <c r="I76" s="30">
        <f t="shared" si="56"/>
        <v>145.25401481260013</v>
      </c>
      <c r="J76" s="32" t="str">
        <f t="shared" ref="J76:J80" si="58">IF(H76&gt;I76,"OK","NO")</f>
        <v>OK</v>
      </c>
      <c r="N76" s="2">
        <f>8*C20</f>
        <v>160</v>
      </c>
    </row>
    <row r="77" spans="1:14" x14ac:dyDescent="0.25">
      <c r="A77" s="48">
        <v>2</v>
      </c>
      <c r="B77" s="9" t="s">
        <v>43</v>
      </c>
      <c r="C77" s="9">
        <f>500</f>
        <v>500</v>
      </c>
      <c r="D77" s="9">
        <v>8</v>
      </c>
      <c r="E77" s="9">
        <v>100</v>
      </c>
      <c r="F77" s="29">
        <f t="shared" si="54"/>
        <v>166.40060149170563</v>
      </c>
      <c r="G77" s="30">
        <f t="shared" si="55"/>
        <v>539.32500000000005</v>
      </c>
      <c r="H77" s="30">
        <f t="shared" si="57"/>
        <v>166.40060149170563</v>
      </c>
      <c r="I77" s="30">
        <f t="shared" si="56"/>
        <v>152.93769631441509</v>
      </c>
      <c r="J77" s="32" t="str">
        <f t="shared" si="58"/>
        <v>OK</v>
      </c>
      <c r="N77" s="2">
        <f t="shared" ref="N77:N79" si="59">8*C21</f>
        <v>160</v>
      </c>
    </row>
    <row r="78" spans="1:14" x14ac:dyDescent="0.25">
      <c r="A78" s="49"/>
      <c r="B78" s="9" t="s">
        <v>44</v>
      </c>
      <c r="C78" s="9">
        <f>500</f>
        <v>500</v>
      </c>
      <c r="D78" s="9">
        <v>8</v>
      </c>
      <c r="E78" s="9">
        <v>100</v>
      </c>
      <c r="F78" s="29">
        <f t="shared" si="54"/>
        <v>166.40060149170563</v>
      </c>
      <c r="G78" s="30">
        <f t="shared" si="55"/>
        <v>539.32500000000005</v>
      </c>
      <c r="H78" s="30">
        <f t="shared" si="57"/>
        <v>166.40060149170563</v>
      </c>
      <c r="I78" s="30">
        <f t="shared" si="56"/>
        <v>152.93769631441509</v>
      </c>
      <c r="J78" s="32" t="str">
        <f t="shared" si="58"/>
        <v>OK</v>
      </c>
      <c r="N78" s="2">
        <f t="shared" si="59"/>
        <v>160</v>
      </c>
    </row>
    <row r="79" spans="1:14" x14ac:dyDescent="0.25">
      <c r="A79" s="48">
        <v>3</v>
      </c>
      <c r="B79" s="9" t="s">
        <v>43</v>
      </c>
      <c r="C79" s="9">
        <f>500</f>
        <v>500</v>
      </c>
      <c r="D79" s="9">
        <v>8</v>
      </c>
      <c r="E79" s="9">
        <v>100</v>
      </c>
      <c r="F79" s="29">
        <f t="shared" si="54"/>
        <v>166.40060149170563</v>
      </c>
      <c r="G79" s="30">
        <f t="shared" si="55"/>
        <v>539.32500000000005</v>
      </c>
      <c r="H79" s="30">
        <f t="shared" si="57"/>
        <v>166.40060149170563</v>
      </c>
      <c r="I79" s="30">
        <f t="shared" si="56"/>
        <v>144.88923424206328</v>
      </c>
      <c r="J79" s="32" t="str">
        <f t="shared" si="58"/>
        <v>OK</v>
      </c>
      <c r="N79" s="2">
        <f t="shared" si="59"/>
        <v>160</v>
      </c>
    </row>
    <row r="80" spans="1:14" x14ac:dyDescent="0.25">
      <c r="A80" s="49"/>
      <c r="B80" s="9" t="s">
        <v>44</v>
      </c>
      <c r="C80" s="9">
        <f>500</f>
        <v>500</v>
      </c>
      <c r="D80" s="9">
        <v>8</v>
      </c>
      <c r="E80" s="9">
        <v>100</v>
      </c>
      <c r="F80" s="29">
        <f t="shared" si="54"/>
        <v>166.40060149170563</v>
      </c>
      <c r="G80" s="30">
        <f t="shared" si="55"/>
        <v>539.32500000000005</v>
      </c>
      <c r="H80" s="30">
        <f t="shared" si="57"/>
        <v>166.40060149170563</v>
      </c>
      <c r="I80" s="30">
        <f t="shared" si="56"/>
        <v>135.74009460170151</v>
      </c>
      <c r="J80" s="32" t="str">
        <f t="shared" si="58"/>
        <v>OK</v>
      </c>
      <c r="N80" s="2">
        <f t="shared" ref="N80" si="60">8*E24</f>
        <v>112</v>
      </c>
    </row>
    <row r="83" spans="1:10" ht="26.25" x14ac:dyDescent="0.4">
      <c r="A83" s="50" t="s">
        <v>83</v>
      </c>
      <c r="B83" s="50"/>
      <c r="C83" s="50"/>
      <c r="D83" s="50"/>
      <c r="E83" s="50"/>
      <c r="F83" s="50"/>
      <c r="G83" s="50"/>
      <c r="H83" s="50"/>
      <c r="I83" s="50"/>
      <c r="J83" s="50"/>
    </row>
    <row r="84" spans="1:10" x14ac:dyDescent="0.25">
      <c r="A84" s="2" t="s">
        <v>82</v>
      </c>
      <c r="B84" s="2">
        <f>1.2*(2*3.9)</f>
        <v>9.36</v>
      </c>
    </row>
    <row r="86" spans="1:10" x14ac:dyDescent="0.25">
      <c r="A86" s="7" t="s">
        <v>37</v>
      </c>
      <c r="B86" s="36" t="s">
        <v>42</v>
      </c>
      <c r="C86" s="33" t="s">
        <v>15</v>
      </c>
      <c r="D86" s="33" t="s">
        <v>16</v>
      </c>
      <c r="E86" s="7" t="s">
        <v>81</v>
      </c>
    </row>
    <row r="87" spans="1:10" x14ac:dyDescent="0.25">
      <c r="A87" s="7" t="s">
        <v>40</v>
      </c>
      <c r="B87" s="37"/>
      <c r="C87" s="7" t="s">
        <v>6</v>
      </c>
      <c r="D87" s="7" t="s">
        <v>6</v>
      </c>
      <c r="E87" s="18" t="s">
        <v>27</v>
      </c>
    </row>
    <row r="88" spans="1:10" x14ac:dyDescent="0.25">
      <c r="A88" s="48">
        <v>1</v>
      </c>
      <c r="B88" s="9" t="s">
        <v>43</v>
      </c>
      <c r="C88" s="30">
        <f t="shared" ref="C88:C93" si="61">G3</f>
        <v>615.75216010359941</v>
      </c>
      <c r="D88" s="30">
        <f t="shared" ref="D88:D93" si="62">L3</f>
        <v>534.07075111026484</v>
      </c>
      <c r="E88" s="34">
        <f t="shared" ref="E88:E93" si="63">(C88-D88)/($AI$3*$AI$4)</f>
        <v>5.4454272662223045E-4</v>
      </c>
      <c r="F88" s="9">
        <f t="shared" ref="F88:F93" si="64">0.0018*$AI$14/($B$84*1.86/1000*$AI$6)</f>
        <v>4.491774653064975E-3</v>
      </c>
      <c r="G88" s="9" t="str">
        <f>IF(E88&lt;F88,"OK","NO")</f>
        <v>OK</v>
      </c>
    </row>
    <row r="89" spans="1:10" x14ac:dyDescent="0.25">
      <c r="A89" s="49"/>
      <c r="B89" s="9" t="s">
        <v>44</v>
      </c>
      <c r="C89" s="30">
        <f t="shared" si="61"/>
        <v>1017.8760197630929</v>
      </c>
      <c r="D89" s="30">
        <f t="shared" si="62"/>
        <v>534.07075111026484</v>
      </c>
      <c r="E89" s="34">
        <f t="shared" si="63"/>
        <v>3.2253684576855207E-3</v>
      </c>
      <c r="F89" s="9">
        <f t="shared" si="64"/>
        <v>4.491774653064975E-3</v>
      </c>
      <c r="G89" s="9" t="str">
        <f t="shared" ref="G89:G93" si="65">IF(E89&lt;F89,"OK","NO")</f>
        <v>OK</v>
      </c>
    </row>
    <row r="90" spans="1:10" x14ac:dyDescent="0.25">
      <c r="A90" s="48">
        <v>2</v>
      </c>
      <c r="B90" s="9" t="s">
        <v>43</v>
      </c>
      <c r="C90" s="30">
        <f t="shared" si="61"/>
        <v>1017.8760197630929</v>
      </c>
      <c r="D90" s="30">
        <f t="shared" si="62"/>
        <v>615.75216010359941</v>
      </c>
      <c r="E90" s="34">
        <f t="shared" si="63"/>
        <v>2.6808257310632902E-3</v>
      </c>
      <c r="F90" s="9">
        <f t="shared" si="64"/>
        <v>4.491774653064975E-3</v>
      </c>
      <c r="G90" s="9" t="str">
        <f t="shared" si="65"/>
        <v>OK</v>
      </c>
    </row>
    <row r="91" spans="1:10" x14ac:dyDescent="0.25">
      <c r="A91" s="49"/>
      <c r="B91" s="9" t="s">
        <v>44</v>
      </c>
      <c r="C91" s="30">
        <f t="shared" si="61"/>
        <v>1017.8760197630929</v>
      </c>
      <c r="D91" s="30">
        <f t="shared" si="62"/>
        <v>615.75216010359941</v>
      </c>
      <c r="E91" s="34">
        <f t="shared" si="63"/>
        <v>2.6808257310632902E-3</v>
      </c>
      <c r="F91" s="9">
        <f t="shared" si="64"/>
        <v>4.491774653064975E-3</v>
      </c>
      <c r="G91" s="9" t="str">
        <f t="shared" si="65"/>
        <v>OK</v>
      </c>
    </row>
    <row r="92" spans="1:10" x14ac:dyDescent="0.25">
      <c r="A92" s="48">
        <v>3</v>
      </c>
      <c r="B92" s="9" t="s">
        <v>43</v>
      </c>
      <c r="C92" s="30">
        <f t="shared" si="61"/>
        <v>1017.8760197630929</v>
      </c>
      <c r="D92" s="30">
        <f t="shared" si="62"/>
        <v>534.07075111026484</v>
      </c>
      <c r="E92" s="34">
        <f t="shared" si="63"/>
        <v>3.2253684576855207E-3</v>
      </c>
      <c r="F92" s="9">
        <f t="shared" si="64"/>
        <v>4.491774653064975E-3</v>
      </c>
      <c r="G92" s="9" t="str">
        <f t="shared" si="65"/>
        <v>OK</v>
      </c>
    </row>
    <row r="93" spans="1:10" x14ac:dyDescent="0.25">
      <c r="A93" s="49"/>
      <c r="B93" s="9" t="s">
        <v>44</v>
      </c>
      <c r="C93" s="30">
        <f t="shared" si="61"/>
        <v>615.75216010359941</v>
      </c>
      <c r="D93" s="30">
        <f t="shared" si="62"/>
        <v>534.07075111026484</v>
      </c>
      <c r="E93" s="34">
        <f t="shared" si="63"/>
        <v>5.4454272662223045E-4</v>
      </c>
      <c r="F93" s="9">
        <f t="shared" si="64"/>
        <v>4.491774653064975E-3</v>
      </c>
      <c r="G93" s="9" t="str">
        <f t="shared" si="65"/>
        <v>OK</v>
      </c>
    </row>
    <row r="94" spans="1:10" x14ac:dyDescent="0.25">
      <c r="A94" s="7" t="s">
        <v>38</v>
      </c>
      <c r="B94" s="36" t="s">
        <v>42</v>
      </c>
      <c r="C94" s="33" t="s">
        <v>15</v>
      </c>
      <c r="D94" s="33" t="s">
        <v>16</v>
      </c>
      <c r="E94" s="19" t="s">
        <v>81</v>
      </c>
    </row>
    <row r="95" spans="1:10" x14ac:dyDescent="0.25">
      <c r="A95" s="7" t="s">
        <v>40</v>
      </c>
      <c r="B95" s="37"/>
      <c r="C95" s="7" t="s">
        <v>6</v>
      </c>
      <c r="D95" s="7" t="s">
        <v>6</v>
      </c>
      <c r="E95" s="18" t="s">
        <v>27</v>
      </c>
    </row>
    <row r="96" spans="1:10" x14ac:dyDescent="0.25">
      <c r="A96" s="48">
        <v>1</v>
      </c>
      <c r="B96" s="9" t="s">
        <v>43</v>
      </c>
      <c r="C96" s="30">
        <f t="shared" ref="C96:C101" si="66">G11</f>
        <v>615.75216010359941</v>
      </c>
      <c r="D96" s="30">
        <f t="shared" ref="D96:D101" si="67">L11</f>
        <v>534.07075111026484</v>
      </c>
      <c r="E96" s="34">
        <f t="shared" ref="E96:E101" si="68">(C96-D96)/($AI$3*$AI$4)</f>
        <v>5.4454272662223045E-4</v>
      </c>
      <c r="F96" s="9">
        <f t="shared" ref="F96:F101" si="69">0.0018*$AI$14/($B$84*1.86/1000*$AI$6)</f>
        <v>4.491774653064975E-3</v>
      </c>
      <c r="G96" s="9" t="str">
        <f>IF(E96&lt;F96,"OK","NO")</f>
        <v>OK</v>
      </c>
    </row>
    <row r="97" spans="1:7" x14ac:dyDescent="0.25">
      <c r="A97" s="49"/>
      <c r="B97" s="9" t="s">
        <v>44</v>
      </c>
      <c r="C97" s="30">
        <f t="shared" si="66"/>
        <v>1017.8760197630929</v>
      </c>
      <c r="D97" s="30">
        <f t="shared" si="67"/>
        <v>534.07075111026484</v>
      </c>
      <c r="E97" s="34">
        <f t="shared" si="68"/>
        <v>3.2253684576855207E-3</v>
      </c>
      <c r="F97" s="9">
        <f t="shared" si="69"/>
        <v>4.491774653064975E-3</v>
      </c>
      <c r="G97" s="9" t="str">
        <f t="shared" ref="G97:G101" si="70">IF(E97&lt;F97,"OK","NO")</f>
        <v>OK</v>
      </c>
    </row>
    <row r="98" spans="1:7" x14ac:dyDescent="0.25">
      <c r="A98" s="48">
        <v>2</v>
      </c>
      <c r="B98" s="9" t="s">
        <v>43</v>
      </c>
      <c r="C98" s="30">
        <f t="shared" si="66"/>
        <v>1017.8760197630929</v>
      </c>
      <c r="D98" s="30">
        <f t="shared" si="67"/>
        <v>615.75216010359941</v>
      </c>
      <c r="E98" s="34">
        <f t="shared" si="68"/>
        <v>2.6808257310632902E-3</v>
      </c>
      <c r="F98" s="9">
        <f t="shared" si="69"/>
        <v>4.491774653064975E-3</v>
      </c>
      <c r="G98" s="9" t="str">
        <f t="shared" si="70"/>
        <v>OK</v>
      </c>
    </row>
    <row r="99" spans="1:7" x14ac:dyDescent="0.25">
      <c r="A99" s="49"/>
      <c r="B99" s="9" t="s">
        <v>44</v>
      </c>
      <c r="C99" s="30">
        <f t="shared" si="66"/>
        <v>1017.8760197630929</v>
      </c>
      <c r="D99" s="30">
        <f t="shared" si="67"/>
        <v>615.75216010359941</v>
      </c>
      <c r="E99" s="34">
        <f t="shared" si="68"/>
        <v>2.6808257310632902E-3</v>
      </c>
      <c r="F99" s="9">
        <f t="shared" si="69"/>
        <v>4.491774653064975E-3</v>
      </c>
      <c r="G99" s="9" t="str">
        <f t="shared" si="70"/>
        <v>OK</v>
      </c>
    </row>
    <row r="100" spans="1:7" x14ac:dyDescent="0.25">
      <c r="A100" s="48">
        <v>3</v>
      </c>
      <c r="B100" s="9" t="s">
        <v>43</v>
      </c>
      <c r="C100" s="30">
        <f t="shared" si="66"/>
        <v>1017.8760197630929</v>
      </c>
      <c r="D100" s="30">
        <f t="shared" si="67"/>
        <v>534.07075111026484</v>
      </c>
      <c r="E100" s="34">
        <f t="shared" si="68"/>
        <v>3.2253684576855207E-3</v>
      </c>
      <c r="F100" s="9">
        <f t="shared" si="69"/>
        <v>4.491774653064975E-3</v>
      </c>
      <c r="G100" s="9" t="str">
        <f t="shared" si="70"/>
        <v>OK</v>
      </c>
    </row>
    <row r="101" spans="1:7" x14ac:dyDescent="0.25">
      <c r="A101" s="49"/>
      <c r="B101" s="9" t="s">
        <v>44</v>
      </c>
      <c r="C101" s="30">
        <f t="shared" si="66"/>
        <v>615.75216010359941</v>
      </c>
      <c r="D101" s="30">
        <f t="shared" si="67"/>
        <v>534.07075111026484</v>
      </c>
      <c r="E101" s="34">
        <f t="shared" si="68"/>
        <v>5.4454272662223045E-4</v>
      </c>
      <c r="F101" s="9">
        <f t="shared" si="69"/>
        <v>4.491774653064975E-3</v>
      </c>
      <c r="G101" s="9" t="str">
        <f t="shared" si="70"/>
        <v>OK</v>
      </c>
    </row>
    <row r="102" spans="1:7" x14ac:dyDescent="0.25">
      <c r="A102" s="7" t="s">
        <v>66</v>
      </c>
      <c r="B102" s="36" t="s">
        <v>42</v>
      </c>
      <c r="C102" s="33" t="s">
        <v>15</v>
      </c>
      <c r="D102" s="33" t="s">
        <v>16</v>
      </c>
      <c r="E102" s="19" t="s">
        <v>81</v>
      </c>
    </row>
    <row r="103" spans="1:7" x14ac:dyDescent="0.25">
      <c r="A103" s="7" t="s">
        <v>40</v>
      </c>
      <c r="B103" s="37"/>
      <c r="C103" s="7" t="s">
        <v>6</v>
      </c>
      <c r="D103" s="7" t="s">
        <v>6</v>
      </c>
      <c r="E103" s="18" t="s">
        <v>27</v>
      </c>
    </row>
    <row r="104" spans="1:7" x14ac:dyDescent="0.25">
      <c r="A104" s="48">
        <v>1</v>
      </c>
      <c r="B104" s="9" t="s">
        <v>43</v>
      </c>
      <c r="C104" s="30">
        <f t="shared" ref="C104:C109" si="71">G19</f>
        <v>735.1326809400116</v>
      </c>
      <c r="D104" s="30">
        <f t="shared" ref="D104:D109" si="72">L19</f>
        <v>534.07075111026484</v>
      </c>
      <c r="E104" s="34">
        <f t="shared" ref="E104:E109" si="73">(C104-D104)/($AI$3*$AI$4)</f>
        <v>1.3404128655316451E-3</v>
      </c>
      <c r="F104" s="9">
        <f t="shared" ref="F104:F109" si="74">0.0018*$AI$14/($B$84*1.86/1000*$AI$6)</f>
        <v>4.491774653064975E-3</v>
      </c>
      <c r="G104" s="9" t="str">
        <f>IF(E104&lt;F104,"OK","NO")</f>
        <v>OK</v>
      </c>
    </row>
    <row r="105" spans="1:7" x14ac:dyDescent="0.25">
      <c r="A105" s="49"/>
      <c r="B105" s="9" t="s">
        <v>44</v>
      </c>
      <c r="C105" s="30">
        <f t="shared" si="71"/>
        <v>1137.2565405995051</v>
      </c>
      <c r="D105" s="30">
        <f t="shared" si="72"/>
        <v>534.07075111026484</v>
      </c>
      <c r="E105" s="34">
        <f t="shared" si="73"/>
        <v>4.0212385965949348E-3</v>
      </c>
      <c r="F105" s="9">
        <f t="shared" si="74"/>
        <v>4.491774653064975E-3</v>
      </c>
      <c r="G105" s="9" t="str">
        <f t="shared" ref="G105:G109" si="75">IF(E105&lt;F105,"OK","NO")</f>
        <v>OK</v>
      </c>
    </row>
    <row r="106" spans="1:7" x14ac:dyDescent="0.25">
      <c r="A106" s="48">
        <v>2</v>
      </c>
      <c r="B106" s="9" t="s">
        <v>43</v>
      </c>
      <c r="C106" s="30">
        <f t="shared" si="71"/>
        <v>1137.2565405995051</v>
      </c>
      <c r="D106" s="30">
        <f t="shared" si="72"/>
        <v>615.75216010359941</v>
      </c>
      <c r="E106" s="34">
        <f t="shared" si="73"/>
        <v>3.4766958699727047E-3</v>
      </c>
      <c r="F106" s="9">
        <f t="shared" si="74"/>
        <v>4.491774653064975E-3</v>
      </c>
      <c r="G106" s="9" t="str">
        <f t="shared" si="75"/>
        <v>OK</v>
      </c>
    </row>
    <row r="107" spans="1:7" x14ac:dyDescent="0.25">
      <c r="A107" s="49"/>
      <c r="B107" s="9" t="s">
        <v>44</v>
      </c>
      <c r="C107" s="30">
        <f t="shared" si="71"/>
        <v>1137.2565405995051</v>
      </c>
      <c r="D107" s="30">
        <f t="shared" si="72"/>
        <v>615.75216010359941</v>
      </c>
      <c r="E107" s="34">
        <f t="shared" si="73"/>
        <v>3.4766958699727047E-3</v>
      </c>
      <c r="F107" s="9">
        <f t="shared" si="74"/>
        <v>4.491774653064975E-3</v>
      </c>
      <c r="G107" s="9" t="str">
        <f t="shared" si="75"/>
        <v>OK</v>
      </c>
    </row>
    <row r="108" spans="1:7" x14ac:dyDescent="0.25">
      <c r="A108" s="48">
        <v>3</v>
      </c>
      <c r="B108" s="9" t="s">
        <v>43</v>
      </c>
      <c r="C108" s="30">
        <f t="shared" si="71"/>
        <v>1137.2565405995051</v>
      </c>
      <c r="D108" s="30">
        <f t="shared" si="72"/>
        <v>534.07075111026484</v>
      </c>
      <c r="E108" s="34">
        <f t="shared" si="73"/>
        <v>4.0212385965949348E-3</v>
      </c>
      <c r="F108" s="9">
        <f t="shared" si="74"/>
        <v>4.491774653064975E-3</v>
      </c>
      <c r="G108" s="9" t="str">
        <f t="shared" si="75"/>
        <v>OK</v>
      </c>
    </row>
    <row r="109" spans="1:7" x14ac:dyDescent="0.25">
      <c r="A109" s="49"/>
      <c r="B109" s="9" t="s">
        <v>44</v>
      </c>
      <c r="C109" s="30">
        <f t="shared" si="71"/>
        <v>936.19461076975836</v>
      </c>
      <c r="D109" s="30">
        <f t="shared" si="72"/>
        <v>534.07075111026484</v>
      </c>
      <c r="E109" s="34">
        <f t="shared" si="73"/>
        <v>2.6808257310632902E-3</v>
      </c>
      <c r="F109" s="9">
        <f t="shared" si="74"/>
        <v>4.491774653064975E-3</v>
      </c>
      <c r="G109" s="9" t="str">
        <f t="shared" si="75"/>
        <v>OK</v>
      </c>
    </row>
  </sheetData>
  <mergeCells count="46">
    <mergeCell ref="A3:A4"/>
    <mergeCell ref="A5:A6"/>
    <mergeCell ref="A7:A8"/>
    <mergeCell ref="C17:G17"/>
    <mergeCell ref="H17:L17"/>
    <mergeCell ref="A11:A12"/>
    <mergeCell ref="A13:A14"/>
    <mergeCell ref="A15:A16"/>
    <mergeCell ref="B1:B2"/>
    <mergeCell ref="C1:G1"/>
    <mergeCell ref="H1:L1"/>
    <mergeCell ref="C9:G9"/>
    <mergeCell ref="H9:L9"/>
    <mergeCell ref="A48:A49"/>
    <mergeCell ref="A19:A20"/>
    <mergeCell ref="A21:A22"/>
    <mergeCell ref="A23:A24"/>
    <mergeCell ref="A26:H26"/>
    <mergeCell ref="A30:A31"/>
    <mergeCell ref="A32:A33"/>
    <mergeCell ref="A34:A35"/>
    <mergeCell ref="A38:A39"/>
    <mergeCell ref="A40:A41"/>
    <mergeCell ref="A42:A43"/>
    <mergeCell ref="A46:A47"/>
    <mergeCell ref="A83:J83"/>
    <mergeCell ref="A50:A51"/>
    <mergeCell ref="A54:I54"/>
    <mergeCell ref="A59:A60"/>
    <mergeCell ref="A61:A62"/>
    <mergeCell ref="A63:A64"/>
    <mergeCell ref="A67:A68"/>
    <mergeCell ref="A69:A70"/>
    <mergeCell ref="A71:A72"/>
    <mergeCell ref="A75:A76"/>
    <mergeCell ref="A77:A78"/>
    <mergeCell ref="A79:A80"/>
    <mergeCell ref="A104:A105"/>
    <mergeCell ref="A106:A107"/>
    <mergeCell ref="A108:A109"/>
    <mergeCell ref="A88:A89"/>
    <mergeCell ref="A90:A91"/>
    <mergeCell ref="A92:A93"/>
    <mergeCell ref="A96:A97"/>
    <mergeCell ref="A98:A99"/>
    <mergeCell ref="A100:A101"/>
  </mergeCells>
  <conditionalFormatting sqref="N3:N8 N11:N16 N19:N24 P3:P8 P11:P16 P19:P24">
    <cfRule type="containsText" dxfId="5" priority="4" operator="containsText" text="OK">
      <formula>NOT(ISERROR(SEARCH("OK",N3)))</formula>
    </cfRule>
  </conditionalFormatting>
  <conditionalFormatting sqref="N3:N8 N11:N16 N19:N24 P3:P8 P11:P16 P19:P24">
    <cfRule type="containsText" dxfId="4" priority="3" operator="containsText" text="NO">
      <formula>NOT(ISERROR(SEARCH("NO",N3)))</formula>
    </cfRule>
  </conditionalFormatting>
  <conditionalFormatting sqref="S9 J59:J64 J67:J72 J75:J80 G88:G93 G96:G101 G104:G109">
    <cfRule type="containsText" dxfId="3" priority="1" operator="containsText" text="NO">
      <formula>NOT(ISERROR(SEARCH("NO",G9)))</formula>
    </cfRule>
    <cfRule type="cellIs" dxfId="2" priority="2" operator="equal">
      <formula>"OK"</formula>
    </cfRule>
  </conditionalFormatting>
  <pageMargins left="0.7" right="0.7" top="0.75" bottom="0.75" header="0.3" footer="0.3"/>
  <pageSetup paperSize="9" scale="1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0B67-D7D8-4542-85A6-19245C437B3B}">
  <sheetPr>
    <pageSetUpPr fitToPage="1"/>
  </sheetPr>
  <dimension ref="A1:AC109"/>
  <sheetViews>
    <sheetView topLeftCell="A73" zoomScale="55" zoomScaleNormal="55" workbookViewId="0">
      <selection activeCell="M52" sqref="M52"/>
    </sheetView>
  </sheetViews>
  <sheetFormatPr defaultRowHeight="15" x14ac:dyDescent="0.25"/>
  <cols>
    <col min="1" max="1" width="9.140625" style="2"/>
    <col min="2" max="2" width="11.42578125" style="2" customWidth="1"/>
    <col min="3" max="3" width="14.42578125" style="2" customWidth="1"/>
    <col min="4" max="4" width="13.5703125" style="2" customWidth="1"/>
    <col min="5" max="5" width="10" style="2" customWidth="1"/>
    <col min="6" max="6" width="11.42578125" style="2" customWidth="1"/>
    <col min="7" max="7" width="12" style="2" customWidth="1"/>
    <col min="8" max="8" width="12.28515625" style="2" customWidth="1"/>
    <col min="9" max="9" width="10.5703125" style="2" customWidth="1"/>
    <col min="10" max="10" width="7.28515625" style="2" customWidth="1"/>
    <col min="11" max="11" width="15.7109375" style="2" customWidth="1"/>
    <col min="12" max="12" width="13.85546875" style="2" customWidth="1"/>
    <col min="13" max="13" width="19.28515625" style="2" customWidth="1"/>
    <col min="15" max="15" width="16.7109375" customWidth="1"/>
    <col min="17" max="17" width="11.5703125" customWidth="1"/>
    <col min="18" max="18" width="10.7109375" customWidth="1"/>
    <col min="19" max="19" width="13.140625" customWidth="1"/>
    <col min="20" max="20" width="11.7109375" customWidth="1"/>
    <col min="21" max="21" width="14.7109375" customWidth="1"/>
    <col min="22" max="22" width="12.85546875" customWidth="1"/>
    <col min="23" max="23" width="13" style="2" customWidth="1"/>
    <col min="24" max="24" width="11.85546875" style="2" customWidth="1"/>
    <col min="25" max="25" width="14.85546875" style="2" customWidth="1"/>
    <col min="26" max="26" width="16.5703125" style="2" customWidth="1"/>
    <col min="27" max="27" width="16.85546875" style="2" customWidth="1"/>
    <col min="28" max="28" width="16" style="2" customWidth="1"/>
    <col min="29" max="29" width="18.7109375" style="2" customWidth="1"/>
    <col min="30" max="30" width="16.28515625" style="2" customWidth="1"/>
    <col min="31" max="31" width="16" style="2" customWidth="1"/>
    <col min="32" max="32" width="13.85546875" style="2" customWidth="1"/>
    <col min="33" max="33" width="15" style="2" customWidth="1"/>
    <col min="34" max="34" width="7.85546875" style="2" customWidth="1"/>
    <col min="35" max="35" width="15" style="2" customWidth="1"/>
    <col min="36" max="16384" width="9.140625" style="2"/>
  </cols>
  <sheetData>
    <row r="1" spans="1:29" x14ac:dyDescent="0.25">
      <c r="A1" s="7" t="s">
        <v>37</v>
      </c>
      <c r="B1" s="52" t="s">
        <v>42</v>
      </c>
      <c r="C1" s="54" t="s">
        <v>15</v>
      </c>
      <c r="D1" s="55"/>
      <c r="E1" s="55"/>
      <c r="F1" s="55"/>
      <c r="G1" s="56"/>
      <c r="H1" s="54" t="s">
        <v>16</v>
      </c>
      <c r="I1" s="55"/>
      <c r="J1" s="55"/>
      <c r="K1" s="55"/>
      <c r="L1" s="56"/>
      <c r="M1" s="7" t="s">
        <v>48</v>
      </c>
      <c r="O1" s="7" t="s">
        <v>47</v>
      </c>
      <c r="P1" s="2"/>
      <c r="Q1" s="7" t="s">
        <v>54</v>
      </c>
      <c r="T1" s="7" t="s">
        <v>11</v>
      </c>
      <c r="U1" s="7" t="s">
        <v>46</v>
      </c>
      <c r="V1" s="2"/>
      <c r="W1" s="14" t="s">
        <v>4</v>
      </c>
      <c r="X1" s="14"/>
      <c r="Y1" s="14"/>
      <c r="AA1" s="7" t="s">
        <v>0</v>
      </c>
      <c r="AB1" s="7" t="s">
        <v>1</v>
      </c>
      <c r="AC1" s="7" t="s">
        <v>13</v>
      </c>
    </row>
    <row r="2" spans="1:29" x14ac:dyDescent="0.25">
      <c r="A2" s="7" t="s">
        <v>40</v>
      </c>
      <c r="B2" s="53"/>
      <c r="C2" s="7" t="s">
        <v>25</v>
      </c>
      <c r="D2" s="7" t="s">
        <v>26</v>
      </c>
      <c r="E2" s="7" t="s">
        <v>25</v>
      </c>
      <c r="F2" s="7" t="s">
        <v>26</v>
      </c>
      <c r="G2" s="7" t="s">
        <v>41</v>
      </c>
      <c r="H2" s="7" t="s">
        <v>25</v>
      </c>
      <c r="I2" s="7" t="s">
        <v>26</v>
      </c>
      <c r="J2" s="7" t="s">
        <v>25</v>
      </c>
      <c r="K2" s="7" t="s">
        <v>26</v>
      </c>
      <c r="L2" s="7" t="s">
        <v>41</v>
      </c>
      <c r="M2" s="18" t="s">
        <v>27</v>
      </c>
      <c r="N2" s="17"/>
      <c r="O2" s="18" t="s">
        <v>27</v>
      </c>
      <c r="P2" s="2"/>
      <c r="Q2" s="7" t="s">
        <v>2</v>
      </c>
      <c r="T2" s="7" t="s">
        <v>27</v>
      </c>
      <c r="U2" s="7" t="s">
        <v>27</v>
      </c>
      <c r="V2" s="2"/>
      <c r="W2" s="14" t="s">
        <v>5</v>
      </c>
      <c r="X2" s="14"/>
      <c r="Y2" s="14"/>
      <c r="AA2" s="7" t="s">
        <v>2</v>
      </c>
      <c r="AB2" s="7" t="s">
        <v>2</v>
      </c>
      <c r="AC2" s="7" t="s">
        <v>2</v>
      </c>
    </row>
    <row r="3" spans="1:29" x14ac:dyDescent="0.25">
      <c r="A3" s="51">
        <v>1</v>
      </c>
      <c r="B3" s="9" t="s">
        <v>43</v>
      </c>
      <c r="C3" s="9">
        <v>14</v>
      </c>
      <c r="D3" s="9">
        <v>2</v>
      </c>
      <c r="E3" s="9">
        <v>12</v>
      </c>
      <c r="F3" s="9">
        <v>2</v>
      </c>
      <c r="G3" s="10">
        <f>(C3^2/4*D3+E3^2/4*F3)*PI()</f>
        <v>534.07075111026484</v>
      </c>
      <c r="H3" s="9">
        <v>14</v>
      </c>
      <c r="I3" s="9">
        <v>2</v>
      </c>
      <c r="J3" s="9">
        <v>12</v>
      </c>
      <c r="K3" s="9">
        <v>2</v>
      </c>
      <c r="L3" s="10">
        <f>(H3^2/4*I3+J3^2/4*K3)*PI()</f>
        <v>534.07075111026484</v>
      </c>
      <c r="M3" s="15">
        <f t="shared" ref="M3:M8" si="0">G3/($AA$3*$AB$3)</f>
        <v>3.5604716740684321E-3</v>
      </c>
      <c r="N3" s="16" t="str">
        <f t="shared" ref="N3:N8" si="1">IF($T$3&lt;=M3,"OK","NO")</f>
        <v>OK</v>
      </c>
      <c r="O3" s="23">
        <f t="shared" ref="O3:O8" si="2">L3/($AA$3*$AB$3)</f>
        <v>3.5604716740684321E-3</v>
      </c>
      <c r="P3" s="28" t="str">
        <f t="shared" ref="P3:P8" si="3">IF(O3&gt;$T$3,"OK","NO")</f>
        <v>OK</v>
      </c>
      <c r="Q3" s="10">
        <f t="shared" ref="Q3:Q8" si="4">ABS($X$6*(G3-L3)/($X$14*0.8*$X$3))</f>
        <v>0</v>
      </c>
      <c r="T3" s="24">
        <f>1.4/$X$5</f>
        <v>3.1111111111111109E-3</v>
      </c>
      <c r="U3" s="20">
        <f>3.5/$X$5</f>
        <v>7.7777777777777776E-3</v>
      </c>
      <c r="V3" s="2"/>
      <c r="W3" s="2" t="s">
        <v>0</v>
      </c>
      <c r="X3" s="2">
        <f>300</f>
        <v>300</v>
      </c>
      <c r="Y3" s="2" t="s">
        <v>2</v>
      </c>
      <c r="AA3" s="25">
        <v>300</v>
      </c>
      <c r="AB3" s="25">
        <v>500</v>
      </c>
      <c r="AC3" s="25">
        <f>AB3-40</f>
        <v>460</v>
      </c>
    </row>
    <row r="4" spans="1:29" x14ac:dyDescent="0.25">
      <c r="A4" s="51"/>
      <c r="B4" s="9" t="s">
        <v>44</v>
      </c>
      <c r="C4" s="9">
        <v>18</v>
      </c>
      <c r="D4" s="9">
        <v>2</v>
      </c>
      <c r="E4" s="9">
        <v>12</v>
      </c>
      <c r="F4" s="9">
        <v>2</v>
      </c>
      <c r="G4" s="10">
        <f t="shared" ref="G4:G8" si="5">(C4^2/4*D4+E4^2/4*F4)*PI()</f>
        <v>735.1326809400116</v>
      </c>
      <c r="H4" s="9">
        <v>14</v>
      </c>
      <c r="I4" s="9">
        <v>2</v>
      </c>
      <c r="J4" s="9">
        <v>12</v>
      </c>
      <c r="K4" s="9">
        <v>2</v>
      </c>
      <c r="L4" s="10">
        <f t="shared" ref="L4:L8" si="6">(H4^2/4*I4+J4^2/4*K4)*PI()</f>
        <v>534.07075111026484</v>
      </c>
      <c r="M4" s="15">
        <f t="shared" si="0"/>
        <v>4.9008845396000776E-3</v>
      </c>
      <c r="N4" s="16" t="str">
        <f t="shared" si="1"/>
        <v>OK</v>
      </c>
      <c r="O4" s="15">
        <f t="shared" si="2"/>
        <v>3.5604716740684321E-3</v>
      </c>
      <c r="P4" s="28" t="str">
        <f t="shared" si="3"/>
        <v>OK</v>
      </c>
      <c r="Q4" s="10">
        <f t="shared" si="4"/>
        <v>19.283433167814586</v>
      </c>
      <c r="T4" s="21"/>
      <c r="U4" s="2"/>
      <c r="V4" s="2"/>
      <c r="W4" s="2" t="s">
        <v>1</v>
      </c>
      <c r="X4" s="2">
        <v>500</v>
      </c>
      <c r="Y4" s="2" t="s">
        <v>2</v>
      </c>
      <c r="AA4" s="25"/>
      <c r="AB4" s="25"/>
      <c r="AC4" s="25"/>
    </row>
    <row r="5" spans="1:29" x14ac:dyDescent="0.25">
      <c r="A5" s="51">
        <v>2</v>
      </c>
      <c r="B5" s="9" t="s">
        <v>43</v>
      </c>
      <c r="C5" s="9">
        <v>18</v>
      </c>
      <c r="D5" s="9">
        <v>2</v>
      </c>
      <c r="E5" s="9">
        <v>12</v>
      </c>
      <c r="F5" s="9">
        <v>2</v>
      </c>
      <c r="G5" s="10">
        <f t="shared" si="5"/>
        <v>735.1326809400116</v>
      </c>
      <c r="H5" s="9">
        <v>14</v>
      </c>
      <c r="I5" s="9">
        <v>2</v>
      </c>
      <c r="J5" s="9">
        <v>12</v>
      </c>
      <c r="K5" s="9">
        <v>2</v>
      </c>
      <c r="L5" s="10">
        <f t="shared" si="6"/>
        <v>534.07075111026484</v>
      </c>
      <c r="M5" s="15">
        <f t="shared" si="0"/>
        <v>4.9008845396000776E-3</v>
      </c>
      <c r="N5" s="16" t="str">
        <f t="shared" si="1"/>
        <v>OK</v>
      </c>
      <c r="O5" s="15">
        <f t="shared" si="2"/>
        <v>3.5604716740684321E-3</v>
      </c>
      <c r="P5" s="28" t="str">
        <f t="shared" si="3"/>
        <v>OK</v>
      </c>
      <c r="Q5" s="10">
        <f t="shared" si="4"/>
        <v>19.283433167814586</v>
      </c>
      <c r="T5" s="21"/>
      <c r="U5" s="2"/>
      <c r="V5" s="2"/>
      <c r="W5" s="2" t="s">
        <v>10</v>
      </c>
      <c r="X5" s="2">
        <f>450</f>
        <v>450</v>
      </c>
      <c r="Y5" s="2" t="s">
        <v>3</v>
      </c>
      <c r="AA5" s="25">
        <v>300</v>
      </c>
      <c r="AB5" s="25">
        <v>500</v>
      </c>
      <c r="AC5" s="25">
        <f t="shared" ref="AC5" si="7">AB5-40</f>
        <v>460</v>
      </c>
    </row>
    <row r="6" spans="1:29" x14ac:dyDescent="0.25">
      <c r="A6" s="51"/>
      <c r="B6" s="9" t="s">
        <v>44</v>
      </c>
      <c r="C6" s="9">
        <v>18</v>
      </c>
      <c r="D6" s="9">
        <v>2</v>
      </c>
      <c r="E6" s="9">
        <v>12</v>
      </c>
      <c r="F6" s="9">
        <v>2</v>
      </c>
      <c r="G6" s="10">
        <f t="shared" si="5"/>
        <v>735.1326809400116</v>
      </c>
      <c r="H6" s="9">
        <v>14</v>
      </c>
      <c r="I6" s="9">
        <v>2</v>
      </c>
      <c r="J6" s="9">
        <v>12</v>
      </c>
      <c r="K6" s="9">
        <v>2</v>
      </c>
      <c r="L6" s="10">
        <f t="shared" si="6"/>
        <v>534.07075111026484</v>
      </c>
      <c r="M6" s="15">
        <f t="shared" si="0"/>
        <v>4.9008845396000776E-3</v>
      </c>
      <c r="N6" s="16" t="str">
        <f t="shared" si="1"/>
        <v>OK</v>
      </c>
      <c r="O6" s="15">
        <f t="shared" si="2"/>
        <v>3.5604716740684321E-3</v>
      </c>
      <c r="P6" s="28" t="str">
        <f t="shared" si="3"/>
        <v>OK</v>
      </c>
      <c r="Q6" s="10">
        <f t="shared" si="4"/>
        <v>19.283433167814586</v>
      </c>
      <c r="T6" s="21"/>
      <c r="U6" s="2"/>
      <c r="V6" s="2"/>
      <c r="W6" s="2" t="s">
        <v>56</v>
      </c>
      <c r="X6" s="2">
        <f>X5/1.15</f>
        <v>391.304347826087</v>
      </c>
      <c r="AA6" s="25"/>
      <c r="AB6" s="25"/>
      <c r="AC6" s="25"/>
    </row>
    <row r="7" spans="1:29" x14ac:dyDescent="0.25">
      <c r="A7" s="51">
        <v>3</v>
      </c>
      <c r="B7" s="9" t="s">
        <v>43</v>
      </c>
      <c r="C7" s="9">
        <v>18</v>
      </c>
      <c r="D7" s="9">
        <v>2</v>
      </c>
      <c r="E7" s="9">
        <v>12</v>
      </c>
      <c r="F7" s="9">
        <v>2</v>
      </c>
      <c r="G7" s="10">
        <f t="shared" si="5"/>
        <v>735.1326809400116</v>
      </c>
      <c r="H7" s="9">
        <v>14</v>
      </c>
      <c r="I7" s="9">
        <v>2</v>
      </c>
      <c r="J7" s="9">
        <v>12</v>
      </c>
      <c r="K7" s="9">
        <v>2</v>
      </c>
      <c r="L7" s="10">
        <f t="shared" si="6"/>
        <v>534.07075111026484</v>
      </c>
      <c r="M7" s="15">
        <f t="shared" si="0"/>
        <v>4.9008845396000776E-3</v>
      </c>
      <c r="N7" s="16" t="str">
        <f t="shared" si="1"/>
        <v>OK</v>
      </c>
      <c r="O7" s="15">
        <f t="shared" si="2"/>
        <v>3.5604716740684321E-3</v>
      </c>
      <c r="P7" s="28" t="str">
        <f t="shared" si="3"/>
        <v>OK</v>
      </c>
      <c r="Q7" s="10">
        <f t="shared" si="4"/>
        <v>19.283433167814586</v>
      </c>
      <c r="T7" s="21"/>
      <c r="U7" s="2"/>
      <c r="V7" s="2"/>
      <c r="W7" s="2" t="s">
        <v>7</v>
      </c>
      <c r="X7" s="3">
        <f>1.4/X5*X3*X4</f>
        <v>466.66666666666663</v>
      </c>
      <c r="Y7" s="2" t="s">
        <v>6</v>
      </c>
      <c r="AA7" s="25">
        <v>300</v>
      </c>
      <c r="AB7" s="25">
        <v>500</v>
      </c>
      <c r="AC7" s="25">
        <f t="shared" ref="AC7" si="8">AB7-40</f>
        <v>460</v>
      </c>
    </row>
    <row r="8" spans="1:29" x14ac:dyDescent="0.25">
      <c r="A8" s="51"/>
      <c r="B8" s="9" t="s">
        <v>44</v>
      </c>
      <c r="C8" s="9">
        <v>14</v>
      </c>
      <c r="D8" s="9">
        <v>2</v>
      </c>
      <c r="E8" s="9">
        <v>12</v>
      </c>
      <c r="F8" s="9">
        <v>2</v>
      </c>
      <c r="G8" s="10">
        <f t="shared" si="5"/>
        <v>534.07075111026484</v>
      </c>
      <c r="H8" s="9">
        <v>14</v>
      </c>
      <c r="I8" s="9">
        <v>2</v>
      </c>
      <c r="J8" s="9">
        <v>12</v>
      </c>
      <c r="K8" s="9">
        <v>2</v>
      </c>
      <c r="L8" s="10">
        <f t="shared" si="6"/>
        <v>534.07075111026484</v>
      </c>
      <c r="M8" s="15">
        <f t="shared" si="0"/>
        <v>3.5604716740684321E-3</v>
      </c>
      <c r="N8" s="16" t="str">
        <f t="shared" si="1"/>
        <v>OK</v>
      </c>
      <c r="O8" s="15">
        <f t="shared" si="2"/>
        <v>3.5604716740684321E-3</v>
      </c>
      <c r="P8" s="28" t="str">
        <f t="shared" si="3"/>
        <v>OK</v>
      </c>
      <c r="Q8" s="10">
        <f t="shared" si="4"/>
        <v>0</v>
      </c>
      <c r="T8" s="21"/>
      <c r="U8" s="2"/>
      <c r="V8" s="2"/>
      <c r="W8" s="2" t="s">
        <v>8</v>
      </c>
      <c r="X8" s="3">
        <f>3.5/X5*X3*X4</f>
        <v>1166.6666666666667</v>
      </c>
      <c r="Y8" s="2" t="s">
        <v>6</v>
      </c>
      <c r="AA8" s="25"/>
      <c r="AB8" s="25"/>
      <c r="AC8" s="25"/>
    </row>
    <row r="9" spans="1:29" x14ac:dyDescent="0.25">
      <c r="A9" s="7" t="s">
        <v>38</v>
      </c>
      <c r="B9" s="7" t="s">
        <v>14</v>
      </c>
      <c r="C9" s="54" t="s">
        <v>15</v>
      </c>
      <c r="D9" s="55"/>
      <c r="E9" s="55"/>
      <c r="F9" s="55"/>
      <c r="G9" s="56"/>
      <c r="H9" s="54" t="s">
        <v>16</v>
      </c>
      <c r="I9" s="55"/>
      <c r="J9" s="55"/>
      <c r="K9" s="55"/>
      <c r="L9" s="56"/>
      <c r="M9" s="7" t="s">
        <v>48</v>
      </c>
      <c r="O9" s="7" t="s">
        <v>47</v>
      </c>
      <c r="P9" s="2"/>
      <c r="Q9" s="7" t="s">
        <v>54</v>
      </c>
      <c r="T9" s="17"/>
      <c r="U9" s="2"/>
      <c r="V9" s="2"/>
      <c r="W9" s="2" t="s">
        <v>11</v>
      </c>
      <c r="X9" s="4">
        <f>X7/(X4*X3)</f>
        <v>3.1111111111111109E-3</v>
      </c>
      <c r="AA9" s="7" t="s">
        <v>0</v>
      </c>
      <c r="AB9" s="7" t="s">
        <v>1</v>
      </c>
      <c r="AC9" s="7" t="s">
        <v>13</v>
      </c>
    </row>
    <row r="10" spans="1:29" x14ac:dyDescent="0.25">
      <c r="A10" s="7" t="s">
        <v>40</v>
      </c>
      <c r="B10" s="7"/>
      <c r="C10" s="7" t="s">
        <v>25</v>
      </c>
      <c r="D10" s="7" t="s">
        <v>26</v>
      </c>
      <c r="E10" s="7" t="s">
        <v>25</v>
      </c>
      <c r="F10" s="7" t="s">
        <v>26</v>
      </c>
      <c r="G10" s="7" t="s">
        <v>41</v>
      </c>
      <c r="H10" s="7" t="s">
        <v>25</v>
      </c>
      <c r="I10" s="7" t="s">
        <v>26</v>
      </c>
      <c r="J10" s="7" t="s">
        <v>25</v>
      </c>
      <c r="K10" s="7" t="s">
        <v>26</v>
      </c>
      <c r="L10" s="7" t="s">
        <v>41</v>
      </c>
      <c r="M10" s="18" t="s">
        <v>27</v>
      </c>
      <c r="N10" s="17"/>
      <c r="O10" s="18" t="s">
        <v>27</v>
      </c>
      <c r="P10" s="2"/>
      <c r="Q10" s="7" t="s">
        <v>2</v>
      </c>
      <c r="T10" s="17"/>
      <c r="U10" s="2"/>
      <c r="V10" s="2"/>
      <c r="W10" s="2" t="s">
        <v>9</v>
      </c>
      <c r="X10" s="5">
        <f>0.25*X9</f>
        <v>7.7777777777777773E-4</v>
      </c>
      <c r="AA10" s="7" t="s">
        <v>2</v>
      </c>
      <c r="AB10" s="7" t="s">
        <v>2</v>
      </c>
      <c r="AC10" s="7" t="s">
        <v>2</v>
      </c>
    </row>
    <row r="11" spans="1:29" x14ac:dyDescent="0.25">
      <c r="A11" s="51">
        <v>1</v>
      </c>
      <c r="B11" s="9" t="s">
        <v>43</v>
      </c>
      <c r="C11" s="9">
        <v>14</v>
      </c>
      <c r="D11" s="9">
        <v>2</v>
      </c>
      <c r="E11" s="9">
        <v>12</v>
      </c>
      <c r="F11" s="9">
        <v>2</v>
      </c>
      <c r="G11" s="10">
        <f>(C11^2/4*D11+E11^2/4*F11)*PI()</f>
        <v>534.07075111026484</v>
      </c>
      <c r="H11" s="9">
        <v>14</v>
      </c>
      <c r="I11" s="9">
        <v>2</v>
      </c>
      <c r="J11" s="9">
        <v>12</v>
      </c>
      <c r="K11" s="9">
        <v>2</v>
      </c>
      <c r="L11" s="10">
        <f>(H11^2/4*I11+J11^2/4*K11)*PI()</f>
        <v>534.07075111026484</v>
      </c>
      <c r="M11" s="15">
        <f t="shared" ref="M11:M16" si="9">G11/($AA$3*$AB$3)</f>
        <v>3.5604716740684321E-3</v>
      </c>
      <c r="N11" s="16" t="str">
        <f t="shared" ref="N11:N16" si="10">IF($T$3&lt;=M11,"OK","NO")</f>
        <v>OK</v>
      </c>
      <c r="O11" s="23">
        <f t="shared" ref="O11:O16" si="11">L11/($AA$3*$AB$3)</f>
        <v>3.5604716740684321E-3</v>
      </c>
      <c r="P11" s="16" t="str">
        <f t="shared" ref="P11:P16" si="12">IF(O11&gt;$T$3,"OK","NO")</f>
        <v>OK</v>
      </c>
      <c r="Q11" s="10">
        <f t="shared" ref="Q11:Q16" si="13">ABS($X$6*(G11-L11)/($X$14*0.8*$X$3))</f>
        <v>0</v>
      </c>
      <c r="T11" s="21"/>
      <c r="U11" s="2"/>
      <c r="V11" s="2"/>
      <c r="W11" s="2" t="s">
        <v>9</v>
      </c>
      <c r="X11" s="5">
        <f>0.5*X9</f>
        <v>1.5555555555555555E-3</v>
      </c>
      <c r="Y11" s="6" t="s">
        <v>12</v>
      </c>
      <c r="AA11" s="25">
        <v>300</v>
      </c>
      <c r="AB11" s="25">
        <v>500</v>
      </c>
      <c r="AC11" s="25">
        <f>AB11-40</f>
        <v>460</v>
      </c>
    </row>
    <row r="12" spans="1:29" x14ac:dyDescent="0.25">
      <c r="A12" s="51"/>
      <c r="B12" s="9" t="s">
        <v>44</v>
      </c>
      <c r="C12" s="9">
        <v>18</v>
      </c>
      <c r="D12" s="9">
        <v>2</v>
      </c>
      <c r="E12" s="9">
        <v>12</v>
      </c>
      <c r="F12" s="9">
        <v>2</v>
      </c>
      <c r="G12" s="10">
        <f t="shared" ref="G12:G16" si="14">(C12^2/4*D12+E12^2/4*F12)*PI()</f>
        <v>735.1326809400116</v>
      </c>
      <c r="H12" s="9">
        <v>14</v>
      </c>
      <c r="I12" s="9">
        <v>2</v>
      </c>
      <c r="J12" s="9">
        <v>12</v>
      </c>
      <c r="K12" s="9">
        <v>2</v>
      </c>
      <c r="L12" s="10">
        <f t="shared" ref="L12:L16" si="15">(H12^2/4*I12+J12^2/4*K12)*PI()</f>
        <v>534.07075111026484</v>
      </c>
      <c r="M12" s="15">
        <f t="shared" si="9"/>
        <v>4.9008845396000776E-3</v>
      </c>
      <c r="N12" s="16" t="str">
        <f t="shared" si="10"/>
        <v>OK</v>
      </c>
      <c r="O12" s="15">
        <f t="shared" si="11"/>
        <v>3.5604716740684321E-3</v>
      </c>
      <c r="P12" s="16" t="str">
        <f t="shared" si="12"/>
        <v>OK</v>
      </c>
      <c r="Q12" s="10">
        <f t="shared" si="13"/>
        <v>19.283433167814586</v>
      </c>
      <c r="T12" s="21"/>
      <c r="U12" s="2"/>
      <c r="V12" s="2"/>
      <c r="AA12" s="25"/>
      <c r="AB12" s="25"/>
      <c r="AC12" s="25"/>
    </row>
    <row r="13" spans="1:29" x14ac:dyDescent="0.25">
      <c r="A13" s="51">
        <v>2</v>
      </c>
      <c r="B13" s="9" t="s">
        <v>43</v>
      </c>
      <c r="C13" s="9">
        <v>18</v>
      </c>
      <c r="D13" s="9">
        <v>2</v>
      </c>
      <c r="E13" s="9">
        <v>12</v>
      </c>
      <c r="F13" s="9">
        <v>2</v>
      </c>
      <c r="G13" s="10">
        <f t="shared" si="14"/>
        <v>735.1326809400116</v>
      </c>
      <c r="H13" s="9">
        <v>14</v>
      </c>
      <c r="I13" s="9">
        <v>2</v>
      </c>
      <c r="J13" s="9">
        <v>12</v>
      </c>
      <c r="K13" s="9">
        <v>2</v>
      </c>
      <c r="L13" s="10">
        <f t="shared" si="15"/>
        <v>534.07075111026484</v>
      </c>
      <c r="M13" s="15">
        <f t="shared" si="9"/>
        <v>4.9008845396000776E-3</v>
      </c>
      <c r="N13" s="16" t="str">
        <f t="shared" si="10"/>
        <v>OK</v>
      </c>
      <c r="O13" s="15">
        <f t="shared" si="11"/>
        <v>3.5604716740684321E-3</v>
      </c>
      <c r="P13" s="16" t="str">
        <f t="shared" si="12"/>
        <v>OK</v>
      </c>
      <c r="Q13" s="10">
        <f t="shared" si="13"/>
        <v>19.283433167814586</v>
      </c>
      <c r="T13" s="21"/>
      <c r="U13" s="2"/>
      <c r="V13" s="2"/>
      <c r="X13" s="2">
        <f>269*1000^2/(0.9*AC3*391)</f>
        <v>1661.7863276375454</v>
      </c>
      <c r="AA13" s="25">
        <v>300</v>
      </c>
      <c r="AB13" s="25">
        <v>500</v>
      </c>
      <c r="AC13" s="25">
        <f t="shared" ref="AC13" si="16">AB13-40</f>
        <v>460</v>
      </c>
    </row>
    <row r="14" spans="1:29" x14ac:dyDescent="0.25">
      <c r="A14" s="51"/>
      <c r="B14" s="9" t="s">
        <v>44</v>
      </c>
      <c r="C14" s="9">
        <v>18</v>
      </c>
      <c r="D14" s="9">
        <v>2</v>
      </c>
      <c r="E14" s="9">
        <v>12</v>
      </c>
      <c r="F14" s="9">
        <v>2</v>
      </c>
      <c r="G14" s="10">
        <f t="shared" si="14"/>
        <v>735.1326809400116</v>
      </c>
      <c r="H14" s="9">
        <v>14</v>
      </c>
      <c r="I14" s="9">
        <v>2</v>
      </c>
      <c r="J14" s="9">
        <v>12</v>
      </c>
      <c r="K14" s="9">
        <v>2</v>
      </c>
      <c r="L14" s="10">
        <f t="shared" si="15"/>
        <v>534.07075111026484</v>
      </c>
      <c r="M14" s="15">
        <f t="shared" si="9"/>
        <v>4.9008845396000776E-3</v>
      </c>
      <c r="N14" s="16" t="str">
        <f t="shared" si="10"/>
        <v>OK</v>
      </c>
      <c r="O14" s="15">
        <f t="shared" si="11"/>
        <v>3.5604716740684321E-3</v>
      </c>
      <c r="P14" s="16" t="str">
        <f t="shared" si="12"/>
        <v>OK</v>
      </c>
      <c r="Q14" s="10">
        <f t="shared" si="13"/>
        <v>19.283433167814586</v>
      </c>
      <c r="T14" s="21"/>
      <c r="U14" s="2"/>
      <c r="V14" s="2"/>
      <c r="W14" s="2" t="s">
        <v>55</v>
      </c>
      <c r="X14" s="2">
        <f>0.85*30/1.5</f>
        <v>17</v>
      </c>
      <c r="AA14" s="25"/>
      <c r="AB14" s="25"/>
      <c r="AC14" s="25"/>
    </row>
    <row r="15" spans="1:29" x14ac:dyDescent="0.25">
      <c r="A15" s="51">
        <v>3</v>
      </c>
      <c r="B15" s="9" t="s">
        <v>43</v>
      </c>
      <c r="C15" s="9">
        <v>18</v>
      </c>
      <c r="D15" s="9">
        <v>2</v>
      </c>
      <c r="E15" s="9">
        <v>12</v>
      </c>
      <c r="F15" s="9">
        <v>2</v>
      </c>
      <c r="G15" s="10">
        <f t="shared" si="14"/>
        <v>735.1326809400116</v>
      </c>
      <c r="H15" s="9">
        <v>14</v>
      </c>
      <c r="I15" s="9">
        <v>2</v>
      </c>
      <c r="J15" s="9">
        <v>12</v>
      </c>
      <c r="K15" s="9">
        <v>2</v>
      </c>
      <c r="L15" s="10">
        <f t="shared" si="15"/>
        <v>534.07075111026484</v>
      </c>
      <c r="M15" s="15">
        <f t="shared" si="9"/>
        <v>4.9008845396000776E-3</v>
      </c>
      <c r="N15" s="16" t="str">
        <f t="shared" si="10"/>
        <v>OK</v>
      </c>
      <c r="O15" s="15">
        <f t="shared" si="11"/>
        <v>3.5604716740684321E-3</v>
      </c>
      <c r="P15" s="16" t="str">
        <f t="shared" si="12"/>
        <v>OK</v>
      </c>
      <c r="Q15" s="10">
        <f t="shared" si="13"/>
        <v>19.283433167814586</v>
      </c>
      <c r="T15" s="21"/>
      <c r="U15" s="2"/>
      <c r="V15" s="2"/>
      <c r="AA15" s="25">
        <v>300</v>
      </c>
      <c r="AB15" s="25">
        <v>500</v>
      </c>
      <c r="AC15" s="25">
        <f t="shared" ref="AC15" si="17">AB15-40</f>
        <v>460</v>
      </c>
    </row>
    <row r="16" spans="1:29" x14ac:dyDescent="0.25">
      <c r="A16" s="51"/>
      <c r="B16" s="9" t="s">
        <v>44</v>
      </c>
      <c r="C16" s="9">
        <v>14</v>
      </c>
      <c r="D16" s="9">
        <v>2</v>
      </c>
      <c r="E16" s="9">
        <v>12</v>
      </c>
      <c r="F16" s="9">
        <v>2</v>
      </c>
      <c r="G16" s="10">
        <f t="shared" si="14"/>
        <v>534.07075111026484</v>
      </c>
      <c r="H16" s="9">
        <v>14</v>
      </c>
      <c r="I16" s="9">
        <v>2</v>
      </c>
      <c r="J16" s="9">
        <v>12</v>
      </c>
      <c r="K16" s="9">
        <v>2</v>
      </c>
      <c r="L16" s="10">
        <f t="shared" si="15"/>
        <v>534.07075111026484</v>
      </c>
      <c r="M16" s="15">
        <f t="shared" si="9"/>
        <v>3.5604716740684321E-3</v>
      </c>
      <c r="N16" s="16" t="str">
        <f t="shared" si="10"/>
        <v>OK</v>
      </c>
      <c r="O16" s="15">
        <f t="shared" si="11"/>
        <v>3.5604716740684321E-3</v>
      </c>
      <c r="P16" s="16" t="str">
        <f t="shared" si="12"/>
        <v>OK</v>
      </c>
      <c r="Q16" s="10">
        <f t="shared" si="13"/>
        <v>0</v>
      </c>
      <c r="T16" s="21"/>
      <c r="U16" s="2"/>
      <c r="V16" s="2"/>
      <c r="AA16" s="25"/>
      <c r="AB16" s="25"/>
      <c r="AC16" s="25"/>
    </row>
    <row r="17" spans="1:29" x14ac:dyDescent="0.25">
      <c r="A17" s="7" t="s">
        <v>66</v>
      </c>
      <c r="B17" s="7" t="s">
        <v>14</v>
      </c>
      <c r="C17" s="54" t="s">
        <v>15</v>
      </c>
      <c r="D17" s="55"/>
      <c r="E17" s="55"/>
      <c r="F17" s="55"/>
      <c r="G17" s="56"/>
      <c r="H17" s="54" t="s">
        <v>16</v>
      </c>
      <c r="I17" s="55"/>
      <c r="J17" s="55"/>
      <c r="K17" s="55"/>
      <c r="L17" s="56"/>
      <c r="M17" s="7" t="s">
        <v>48</v>
      </c>
      <c r="O17" s="7" t="s">
        <v>47</v>
      </c>
      <c r="P17" s="2"/>
      <c r="Q17" s="7" t="s">
        <v>54</v>
      </c>
      <c r="T17" s="17"/>
      <c r="U17" s="2"/>
      <c r="V17" s="2"/>
      <c r="AA17" s="7" t="s">
        <v>0</v>
      </c>
      <c r="AB17" s="7" t="s">
        <v>1</v>
      </c>
      <c r="AC17" s="7" t="s">
        <v>13</v>
      </c>
    </row>
    <row r="18" spans="1:29" x14ac:dyDescent="0.25">
      <c r="A18" s="7" t="s">
        <v>40</v>
      </c>
      <c r="B18" s="7"/>
      <c r="C18" s="7" t="s">
        <v>25</v>
      </c>
      <c r="D18" s="7" t="s">
        <v>26</v>
      </c>
      <c r="E18" s="7" t="s">
        <v>25</v>
      </c>
      <c r="F18" s="7" t="s">
        <v>26</v>
      </c>
      <c r="G18" s="7" t="s">
        <v>41</v>
      </c>
      <c r="H18" s="7" t="s">
        <v>25</v>
      </c>
      <c r="I18" s="7" t="s">
        <v>26</v>
      </c>
      <c r="J18" s="7" t="s">
        <v>25</v>
      </c>
      <c r="K18" s="7" t="s">
        <v>26</v>
      </c>
      <c r="L18" s="7" t="s">
        <v>41</v>
      </c>
      <c r="M18" s="18" t="s">
        <v>27</v>
      </c>
      <c r="N18" s="17"/>
      <c r="O18" s="18" t="s">
        <v>27</v>
      </c>
      <c r="P18" s="2"/>
      <c r="Q18" s="7" t="s">
        <v>2</v>
      </c>
      <c r="T18" s="17"/>
      <c r="U18" s="2"/>
      <c r="V18" s="2"/>
      <c r="AA18" s="7" t="s">
        <v>2</v>
      </c>
      <c r="AB18" s="7" t="s">
        <v>2</v>
      </c>
      <c r="AC18" s="7" t="s">
        <v>2</v>
      </c>
    </row>
    <row r="19" spans="1:29" x14ac:dyDescent="0.25">
      <c r="A19" s="51">
        <v>1</v>
      </c>
      <c r="B19" s="9" t="s">
        <v>43</v>
      </c>
      <c r="C19" s="9">
        <v>14</v>
      </c>
      <c r="D19" s="9">
        <v>2</v>
      </c>
      <c r="E19" s="9">
        <v>12</v>
      </c>
      <c r="F19" s="9">
        <v>2</v>
      </c>
      <c r="G19" s="10">
        <f>(C19^2/4*D19+E19^2/4*F19)*PI()</f>
        <v>534.07075111026484</v>
      </c>
      <c r="H19" s="9">
        <v>14</v>
      </c>
      <c r="I19" s="9">
        <v>2</v>
      </c>
      <c r="J19" s="9">
        <v>12</v>
      </c>
      <c r="K19" s="9">
        <v>2</v>
      </c>
      <c r="L19" s="10">
        <f>(H19^2/4*I19+J19^2/4*K19)*PI()</f>
        <v>534.07075111026484</v>
      </c>
      <c r="M19" s="15">
        <f t="shared" ref="M19:M24" si="18">G19/($AA$3*$AB$3)</f>
        <v>3.5604716740684321E-3</v>
      </c>
      <c r="N19" s="16" t="str">
        <f t="shared" ref="N19:N24" si="19">IF($T$3&lt;=M19,"OK","NO")</f>
        <v>OK</v>
      </c>
      <c r="O19" s="23">
        <f t="shared" ref="O19:O24" si="20">L19/($AA$3*$AB$3)</f>
        <v>3.5604716740684321E-3</v>
      </c>
      <c r="P19" s="16" t="str">
        <f t="shared" ref="P19:P24" si="21">IF(O19&gt;$T$3,"OK","NO")</f>
        <v>OK</v>
      </c>
      <c r="Q19" s="10">
        <f t="shared" ref="Q19:Q24" si="22">ABS($X$6*(G19-L19)/($X$14*0.8*$X$3))</f>
        <v>0</v>
      </c>
      <c r="T19" s="21"/>
      <c r="U19" s="2"/>
      <c r="V19" s="2"/>
      <c r="AA19" s="25">
        <v>300</v>
      </c>
      <c r="AB19" s="25">
        <v>500</v>
      </c>
      <c r="AC19" s="25">
        <f>AB19-40</f>
        <v>460</v>
      </c>
    </row>
    <row r="20" spans="1:29" x14ac:dyDescent="0.25">
      <c r="A20" s="51"/>
      <c r="B20" s="9" t="s">
        <v>44</v>
      </c>
      <c r="C20" s="9">
        <v>18</v>
      </c>
      <c r="D20" s="9">
        <v>2</v>
      </c>
      <c r="E20" s="9">
        <v>18</v>
      </c>
      <c r="F20" s="9">
        <v>2</v>
      </c>
      <c r="G20" s="10">
        <f t="shared" ref="G20:G24" si="23">(C20^2/4*D20+E20^2/4*F20)*PI()</f>
        <v>1017.8760197630929</v>
      </c>
      <c r="H20" s="9">
        <v>14</v>
      </c>
      <c r="I20" s="9">
        <v>2</v>
      </c>
      <c r="J20" s="9">
        <v>12</v>
      </c>
      <c r="K20" s="9">
        <v>2</v>
      </c>
      <c r="L20" s="10">
        <f t="shared" ref="L20:L24" si="24">(H20^2/4*I20+J20^2/4*K20)*PI()</f>
        <v>534.07075111026484</v>
      </c>
      <c r="M20" s="15">
        <f t="shared" si="18"/>
        <v>6.7858401317539528E-3</v>
      </c>
      <c r="N20" s="16" t="str">
        <f t="shared" si="19"/>
        <v>OK</v>
      </c>
      <c r="O20" s="15">
        <f t="shared" si="20"/>
        <v>3.5604716740684321E-3</v>
      </c>
      <c r="P20" s="16" t="str">
        <f t="shared" si="21"/>
        <v>OK</v>
      </c>
      <c r="Q20" s="10">
        <f t="shared" si="22"/>
        <v>46.400761060053846</v>
      </c>
      <c r="T20" s="21"/>
      <c r="U20" s="2"/>
      <c r="V20" s="2"/>
      <c r="AA20" s="25"/>
      <c r="AB20" s="25"/>
      <c r="AC20" s="25"/>
    </row>
    <row r="21" spans="1:29" x14ac:dyDescent="0.25">
      <c r="A21" s="51">
        <v>2</v>
      </c>
      <c r="B21" s="9" t="s">
        <v>43</v>
      </c>
      <c r="C21" s="9">
        <v>18</v>
      </c>
      <c r="D21" s="9">
        <v>2</v>
      </c>
      <c r="E21" s="9">
        <v>18</v>
      </c>
      <c r="F21" s="9">
        <v>2</v>
      </c>
      <c r="G21" s="10">
        <f t="shared" si="23"/>
        <v>1017.8760197630929</v>
      </c>
      <c r="H21" s="9">
        <v>14</v>
      </c>
      <c r="I21" s="9">
        <v>2</v>
      </c>
      <c r="J21" s="9">
        <v>12</v>
      </c>
      <c r="K21" s="9">
        <v>2</v>
      </c>
      <c r="L21" s="10">
        <f t="shared" si="24"/>
        <v>534.07075111026484</v>
      </c>
      <c r="M21" s="15">
        <f t="shared" si="18"/>
        <v>6.7858401317539528E-3</v>
      </c>
      <c r="N21" s="16" t="str">
        <f t="shared" si="19"/>
        <v>OK</v>
      </c>
      <c r="O21" s="15">
        <f t="shared" si="20"/>
        <v>3.5604716740684321E-3</v>
      </c>
      <c r="P21" s="16" t="str">
        <f t="shared" si="21"/>
        <v>OK</v>
      </c>
      <c r="Q21" s="10">
        <f t="shared" si="22"/>
        <v>46.400761060053846</v>
      </c>
      <c r="T21" s="21"/>
      <c r="U21" s="2"/>
      <c r="V21" s="2"/>
      <c r="AA21" s="25">
        <v>300</v>
      </c>
      <c r="AB21" s="25">
        <v>500</v>
      </c>
      <c r="AC21" s="25">
        <f t="shared" ref="AC21" si="25">AB21-40</f>
        <v>460</v>
      </c>
    </row>
    <row r="22" spans="1:29" x14ac:dyDescent="0.25">
      <c r="A22" s="51"/>
      <c r="B22" s="9" t="s">
        <v>44</v>
      </c>
      <c r="C22" s="9">
        <v>18</v>
      </c>
      <c r="D22" s="9">
        <v>2</v>
      </c>
      <c r="E22" s="9">
        <v>18</v>
      </c>
      <c r="F22" s="9">
        <v>2</v>
      </c>
      <c r="G22" s="10">
        <f t="shared" si="23"/>
        <v>1017.8760197630929</v>
      </c>
      <c r="H22" s="9">
        <v>14</v>
      </c>
      <c r="I22" s="9">
        <v>2</v>
      </c>
      <c r="J22" s="9">
        <v>12</v>
      </c>
      <c r="K22" s="9">
        <v>2</v>
      </c>
      <c r="L22" s="10">
        <f t="shared" si="24"/>
        <v>534.07075111026484</v>
      </c>
      <c r="M22" s="15">
        <f t="shared" si="18"/>
        <v>6.7858401317539528E-3</v>
      </c>
      <c r="N22" s="16" t="str">
        <f t="shared" si="19"/>
        <v>OK</v>
      </c>
      <c r="O22" s="15">
        <f t="shared" si="20"/>
        <v>3.5604716740684321E-3</v>
      </c>
      <c r="P22" s="16" t="str">
        <f t="shared" si="21"/>
        <v>OK</v>
      </c>
      <c r="Q22" s="10">
        <f t="shared" si="22"/>
        <v>46.400761060053846</v>
      </c>
      <c r="T22" s="21"/>
      <c r="U22" s="2"/>
      <c r="V22" s="2"/>
      <c r="AA22" s="25"/>
      <c r="AB22" s="25"/>
      <c r="AC22" s="25"/>
    </row>
    <row r="23" spans="1:29" x14ac:dyDescent="0.25">
      <c r="A23" s="51">
        <v>3</v>
      </c>
      <c r="B23" s="9" t="s">
        <v>43</v>
      </c>
      <c r="C23" s="9">
        <v>18</v>
      </c>
      <c r="D23" s="9">
        <v>2</v>
      </c>
      <c r="E23" s="9">
        <v>18</v>
      </c>
      <c r="F23" s="9">
        <v>2</v>
      </c>
      <c r="G23" s="10">
        <f t="shared" si="23"/>
        <v>1017.8760197630929</v>
      </c>
      <c r="H23" s="9">
        <v>14</v>
      </c>
      <c r="I23" s="9">
        <v>2</v>
      </c>
      <c r="J23" s="9">
        <v>12</v>
      </c>
      <c r="K23" s="9">
        <v>2</v>
      </c>
      <c r="L23" s="10">
        <f t="shared" si="24"/>
        <v>534.07075111026484</v>
      </c>
      <c r="M23" s="15">
        <f t="shared" si="18"/>
        <v>6.7858401317539528E-3</v>
      </c>
      <c r="N23" s="16" t="str">
        <f t="shared" si="19"/>
        <v>OK</v>
      </c>
      <c r="O23" s="15">
        <f t="shared" si="20"/>
        <v>3.5604716740684321E-3</v>
      </c>
      <c r="P23" s="16" t="str">
        <f t="shared" si="21"/>
        <v>OK</v>
      </c>
      <c r="Q23" s="10">
        <f t="shared" si="22"/>
        <v>46.400761060053846</v>
      </c>
      <c r="T23" s="21"/>
      <c r="U23" s="2"/>
      <c r="V23" s="2"/>
      <c r="AA23" s="25">
        <v>300</v>
      </c>
      <c r="AB23" s="25">
        <v>500</v>
      </c>
      <c r="AC23" s="25">
        <f t="shared" ref="AC23" si="26">AB23-40</f>
        <v>460</v>
      </c>
    </row>
    <row r="24" spans="1:29" x14ac:dyDescent="0.25">
      <c r="A24" s="51"/>
      <c r="B24" s="9" t="s">
        <v>44</v>
      </c>
      <c r="C24" s="9">
        <v>14</v>
      </c>
      <c r="D24" s="9">
        <v>2</v>
      </c>
      <c r="E24" s="9">
        <v>12</v>
      </c>
      <c r="F24" s="9">
        <v>2</v>
      </c>
      <c r="G24" s="10">
        <f t="shared" si="23"/>
        <v>534.07075111026484</v>
      </c>
      <c r="H24" s="9">
        <v>14</v>
      </c>
      <c r="I24" s="9">
        <v>2</v>
      </c>
      <c r="J24" s="9">
        <v>12</v>
      </c>
      <c r="K24" s="9">
        <v>2</v>
      </c>
      <c r="L24" s="10">
        <f t="shared" si="24"/>
        <v>534.07075111026484</v>
      </c>
      <c r="M24" s="15">
        <f t="shared" si="18"/>
        <v>3.5604716740684321E-3</v>
      </c>
      <c r="N24" s="16" t="str">
        <f t="shared" si="19"/>
        <v>OK</v>
      </c>
      <c r="O24" s="15">
        <f t="shared" si="20"/>
        <v>3.5604716740684321E-3</v>
      </c>
      <c r="P24" s="16" t="str">
        <f t="shared" si="21"/>
        <v>OK</v>
      </c>
      <c r="Q24" s="10">
        <f t="shared" si="22"/>
        <v>0</v>
      </c>
      <c r="T24" s="21"/>
      <c r="U24" s="2"/>
      <c r="V24" s="2"/>
      <c r="AA24" s="25"/>
      <c r="AB24" s="25"/>
      <c r="AC24" s="25"/>
    </row>
    <row r="26" spans="1:29" ht="23.25" x14ac:dyDescent="0.35">
      <c r="A26" s="57" t="s">
        <v>75</v>
      </c>
      <c r="B26" s="57"/>
      <c r="C26" s="57"/>
      <c r="D26" s="57"/>
      <c r="E26" s="57"/>
      <c r="F26" s="57"/>
      <c r="G26" s="57"/>
      <c r="H26" s="57"/>
    </row>
    <row r="28" spans="1:29" ht="17.25" x14ac:dyDescent="0.25">
      <c r="A28" s="7" t="s">
        <v>37</v>
      </c>
      <c r="B28" s="26" t="s">
        <v>42</v>
      </c>
      <c r="C28" s="7" t="s">
        <v>103</v>
      </c>
      <c r="D28" s="7" t="s">
        <v>104</v>
      </c>
      <c r="E28" s="7" t="s">
        <v>94</v>
      </c>
      <c r="F28" s="7" t="s">
        <v>62</v>
      </c>
      <c r="G28" s="7" t="s">
        <v>96</v>
      </c>
      <c r="H28" s="7" t="s">
        <v>95</v>
      </c>
    </row>
    <row r="29" spans="1:29" x14ac:dyDescent="0.25">
      <c r="A29" s="7" t="s">
        <v>40</v>
      </c>
      <c r="B29" s="27"/>
      <c r="C29" s="7" t="s">
        <v>23</v>
      </c>
      <c r="D29" s="7" t="s">
        <v>23</v>
      </c>
      <c r="E29" s="7" t="s">
        <v>58</v>
      </c>
      <c r="F29" s="7" t="s">
        <v>63</v>
      </c>
      <c r="G29" s="7" t="s">
        <v>59</v>
      </c>
      <c r="H29" s="7" t="s">
        <v>59</v>
      </c>
      <c r="K29" s="2">
        <v>96.122053784825468</v>
      </c>
    </row>
    <row r="30" spans="1:29" x14ac:dyDescent="0.25">
      <c r="A30" s="48">
        <v>1</v>
      </c>
      <c r="B30" s="9" t="s">
        <v>43</v>
      </c>
      <c r="C30" s="30">
        <f>(G3*$X$6*($X$4-40-0.8*Q3/2)+L3*(0.8*Q3-40)/2)/1000^2</f>
        <v>96.122053784825468</v>
      </c>
      <c r="D30" s="30">
        <f>-(L3*$X$6*($X$4-40-0.8*Q3/2)+G3*(0.8*Q3-40)/2)/1000^2</f>
        <v>-96.122053784825468</v>
      </c>
      <c r="E30" s="29">
        <f>7.297*2+7.78</f>
        <v>22.373999999999999</v>
      </c>
      <c r="F30" s="9">
        <v>4</v>
      </c>
      <c r="G30" s="30">
        <f>$E30*$F30/2+($C30+$C31)/$F30*1.1</f>
        <v>97.172290459374892</v>
      </c>
      <c r="H30" s="30">
        <f>$E30*$F30/2+($D30+$D31)/$F30*1.1</f>
        <v>-17.462648701811695</v>
      </c>
    </row>
    <row r="31" spans="1:29" x14ac:dyDescent="0.25">
      <c r="A31" s="49"/>
      <c r="B31" s="9" t="s">
        <v>44</v>
      </c>
      <c r="C31" s="30">
        <f>(L4*$X$6*($X$4-40-0.8*Q4/2)+G4*(0.8*Q4-40)/2)/1000^2</f>
        <v>94.511729703810474</v>
      </c>
      <c r="D31" s="30">
        <f>-(G4*$X$6*($X$4-40-0.8*Q4/2)+L4*(0.8*Q4-40)/2)/1000^2</f>
        <v>-130.09848694903519</v>
      </c>
      <c r="E31" s="29">
        <f t="shared" ref="E31:E35" si="27">7.297*2+7.78</f>
        <v>22.373999999999999</v>
      </c>
      <c r="F31" s="9">
        <v>4</v>
      </c>
      <c r="G31" s="30">
        <f>-$E31*$F31/2+($C30+$C31)/$F31*1.1</f>
        <v>7.67629045937489</v>
      </c>
      <c r="H31" s="30">
        <f>-$E31*$F31/2+($D30+$D31)/$F31*1.1</f>
        <v>-106.95864870181168</v>
      </c>
    </row>
    <row r="32" spans="1:29" x14ac:dyDescent="0.25">
      <c r="A32" s="48">
        <v>2</v>
      </c>
      <c r="B32" s="9" t="s">
        <v>43</v>
      </c>
      <c r="C32" s="30">
        <f>(G5*$X$6*($X$4-40-0.8*Q5/2)+L5*(0.8*Q5-40)/2)/1000^2</f>
        <v>130.09848694903519</v>
      </c>
      <c r="D32" s="30">
        <f>-(L5*$X$6*($X$4-40-0.8*Q5/2)+G5*(0.8*Q5-40)/2)/1000^2</f>
        <v>-94.511729703810474</v>
      </c>
      <c r="E32" s="29">
        <f t="shared" si="27"/>
        <v>22.373999999999999</v>
      </c>
      <c r="F32" s="9">
        <v>5.5</v>
      </c>
      <c r="G32" s="30">
        <f>$E32*$F32/2+($C32+$C33)/$F32*1.1</f>
        <v>106.45054333056913</v>
      </c>
      <c r="H32" s="30">
        <f>$E32*$F32/2+($D32+$D33)/$F32*1.1</f>
        <v>16.606456669430855</v>
      </c>
    </row>
    <row r="33" spans="1:11" x14ac:dyDescent="0.25">
      <c r="A33" s="49"/>
      <c r="B33" s="9" t="s">
        <v>44</v>
      </c>
      <c r="C33" s="30">
        <f>(L6*$X$6*($X$4-40-0.8*Q6/2)+G6*(0.8*Q6-40)/2)/1000^2</f>
        <v>94.511729703810474</v>
      </c>
      <c r="D33" s="30">
        <f>-(G6*$X$6*($X$4-40-0.8*Q6/2)+L6*(0.8*Q6-40)/2)/1000^2</f>
        <v>-130.09848694903519</v>
      </c>
      <c r="E33" s="29">
        <f t="shared" si="27"/>
        <v>22.373999999999999</v>
      </c>
      <c r="F33" s="9">
        <v>5.5</v>
      </c>
      <c r="G33" s="30">
        <f>-$E33*$F33/2+($C32+$C33)/$F33*1.1</f>
        <v>-16.606456669430855</v>
      </c>
      <c r="H33" s="30">
        <f>-$E33*$F33/2+($D32+$D33)/$F33*1.1</f>
        <v>-106.45054333056913</v>
      </c>
    </row>
    <row r="34" spans="1:11" x14ac:dyDescent="0.25">
      <c r="A34" s="48">
        <v>3</v>
      </c>
      <c r="B34" s="9" t="s">
        <v>43</v>
      </c>
      <c r="C34" s="30">
        <f>(G7*$X$6*($X$4-40-0.8*Q7/2)+L7*(0.8*Q7-40)/2)/1000^2</f>
        <v>130.09848694903519</v>
      </c>
      <c r="D34" s="30">
        <f>-(L7*$X$6*($X$4-40-0.8*Q7/2)+G7*(0.8*Q7-40)/2)/1000^2</f>
        <v>-94.511729703810474</v>
      </c>
      <c r="E34" s="29">
        <f t="shared" si="27"/>
        <v>22.373999999999999</v>
      </c>
      <c r="F34" s="9">
        <v>4</v>
      </c>
      <c r="G34" s="30">
        <f>$E34*$F34/2+($C34+$C35)/$F34*1.1</f>
        <v>106.95864870181168</v>
      </c>
      <c r="H34" s="30">
        <f>$E34*$F34/2+($D34+$D35)/$F34*1.1</f>
        <v>-7.67629045937489</v>
      </c>
    </row>
    <row r="35" spans="1:11" x14ac:dyDescent="0.25">
      <c r="A35" s="49"/>
      <c r="B35" s="9" t="s">
        <v>44</v>
      </c>
      <c r="C35" s="30">
        <f>(L8*$X$6*($X$4-40-0.8*Q8/2)+G8*(0.8*Q8-40)/2)/1000^2</f>
        <v>96.122053784825468</v>
      </c>
      <c r="D35" s="30">
        <f>-(G8*$X$6*($X$4-40-0.8*Q8/2)+L8*(0.8*Q8-40)/2)/1000^2</f>
        <v>-96.122053784825468</v>
      </c>
      <c r="E35" s="29">
        <f t="shared" si="27"/>
        <v>22.373999999999999</v>
      </c>
      <c r="F35" s="9">
        <v>4</v>
      </c>
      <c r="G35" s="30">
        <f>-$E35*$F35/2+($C34+$C35)/$F35*1.1</f>
        <v>17.462648701811695</v>
      </c>
      <c r="H35" s="30">
        <f>-$E35*$F35/2+($D34+$D35)/$F35*1.1</f>
        <v>-97.172290459374892</v>
      </c>
    </row>
    <row r="36" spans="1:11" ht="17.25" x14ac:dyDescent="0.25">
      <c r="A36" s="7" t="s">
        <v>38</v>
      </c>
      <c r="B36" s="26" t="s">
        <v>42</v>
      </c>
      <c r="C36" s="7" t="s">
        <v>103</v>
      </c>
      <c r="D36" s="7" t="s">
        <v>104</v>
      </c>
      <c r="E36" s="7" t="s">
        <v>94</v>
      </c>
      <c r="F36" s="7" t="s">
        <v>62</v>
      </c>
      <c r="G36" s="7" t="s">
        <v>96</v>
      </c>
      <c r="H36" s="7" t="s">
        <v>95</v>
      </c>
    </row>
    <row r="37" spans="1:11" x14ac:dyDescent="0.25">
      <c r="A37" s="7" t="s">
        <v>40</v>
      </c>
      <c r="B37" s="27"/>
      <c r="C37" s="31" t="s">
        <v>23</v>
      </c>
      <c r="D37" s="31" t="s">
        <v>23</v>
      </c>
      <c r="E37" s="7" t="s">
        <v>58</v>
      </c>
      <c r="F37" s="7" t="s">
        <v>63</v>
      </c>
      <c r="G37" s="7" t="s">
        <v>59</v>
      </c>
      <c r="H37" s="7" t="s">
        <v>59</v>
      </c>
    </row>
    <row r="38" spans="1:11" x14ac:dyDescent="0.25">
      <c r="A38" s="48">
        <v>1</v>
      </c>
      <c r="B38" s="9" t="s">
        <v>43</v>
      </c>
      <c r="C38" s="30">
        <f>(G11*$X$6*($X$4-40-0.8*Q11/2)+L11*(0.8*Q11-40)/2)/1000^2</f>
        <v>96.122053784825468</v>
      </c>
      <c r="D38" s="30">
        <f>-(L11*$X$6*($X$4-40-0.8*Q11/2)+G11*(0.8*Q11-40)/2)/1000^2</f>
        <v>-96.122053784825468</v>
      </c>
      <c r="E38" s="29">
        <f>7.297*4</f>
        <v>29.187999999999999</v>
      </c>
      <c r="F38" s="9">
        <v>4</v>
      </c>
      <c r="G38" s="30">
        <f>$E38*$F38/2+($C38+$C39)/$F38*1.1</f>
        <v>110.80029045937488</v>
      </c>
      <c r="H38" s="30">
        <f>$E38*$F38/2+($D38+$D39)/$F38*1.1</f>
        <v>-3.8346487018116946</v>
      </c>
      <c r="K38" s="2">
        <v>130.09848694903519</v>
      </c>
    </row>
    <row r="39" spans="1:11" x14ac:dyDescent="0.25">
      <c r="A39" s="49"/>
      <c r="B39" s="9" t="s">
        <v>44</v>
      </c>
      <c r="C39" s="30">
        <f>(L12*$X$6*($X$4-40-0.8*Q12/2)+G12*(0.8*Q12-40)/2)/1000^2</f>
        <v>94.511729703810474</v>
      </c>
      <c r="D39" s="30">
        <f>-(G12*$X$6*($X$4-40-0.8*Q12/2)+L12*(0.8*Q12-40)/2)/1000^2</f>
        <v>-130.09848694903519</v>
      </c>
      <c r="E39" s="29">
        <f t="shared" ref="E39:E43" si="28">7.297*4</f>
        <v>29.187999999999999</v>
      </c>
      <c r="F39" s="9">
        <v>4</v>
      </c>
      <c r="G39" s="30">
        <f>-$E39*$F39/2+($C38+$C39)/$F39*1.1</f>
        <v>-5.9517095406251102</v>
      </c>
      <c r="H39" s="30">
        <f>-$E39*$F39/2+($D38+$D39)/$F39*1.1</f>
        <v>-120.5866487018117</v>
      </c>
    </row>
    <row r="40" spans="1:11" x14ac:dyDescent="0.25">
      <c r="A40" s="48">
        <v>2</v>
      </c>
      <c r="B40" s="9" t="s">
        <v>43</v>
      </c>
      <c r="C40" s="30">
        <f>(G13*$X$6*($X$4-40-0.8*Q13/2)+L13*(0.8*Q13-40)/2)/1000^2</f>
        <v>130.09848694903519</v>
      </c>
      <c r="D40" s="30">
        <f>-(L13*$X$6*($X$4-40-0.8*Q13/2)+G13*(0.8*Q13-40)/2)/1000^2</f>
        <v>-94.511729703810474</v>
      </c>
      <c r="E40" s="29">
        <f t="shared" si="28"/>
        <v>29.187999999999999</v>
      </c>
      <c r="F40" s="9">
        <v>5.5</v>
      </c>
      <c r="G40" s="30">
        <f>$E40*$F40/2+($C40+$C41)/$F40*1.1</f>
        <v>125.18904333056913</v>
      </c>
      <c r="H40" s="30">
        <f>$E40*$F40/2+($D40+$D41)/$F40*1.1</f>
        <v>35.344956669430857</v>
      </c>
    </row>
    <row r="41" spans="1:11" x14ac:dyDescent="0.25">
      <c r="A41" s="49"/>
      <c r="B41" s="9" t="s">
        <v>44</v>
      </c>
      <c r="C41" s="30">
        <f>(L14*$X$6*($X$4-40-0.8*Q14/2)+G14*(0.8*Q14-40)/2)/1000^2</f>
        <v>94.511729703810474</v>
      </c>
      <c r="D41" s="30">
        <f>-(G14*$X$6*($X$4-40-0.8*Q14/2)+L14*(0.8*Q14-40)/2)/1000^2</f>
        <v>-130.09848694903519</v>
      </c>
      <c r="E41" s="29">
        <f t="shared" si="28"/>
        <v>29.187999999999999</v>
      </c>
      <c r="F41" s="9">
        <v>5.5</v>
      </c>
      <c r="G41" s="30">
        <f>-$E41*$F41/2+($C40+$C41)/$F41*1.1</f>
        <v>-35.344956669430857</v>
      </c>
      <c r="H41" s="30">
        <f>-$E41*$F41/2+($D40+$D41)/$F41*1.1</f>
        <v>-125.18904333056913</v>
      </c>
    </row>
    <row r="42" spans="1:11" x14ac:dyDescent="0.25">
      <c r="A42" s="48">
        <v>3</v>
      </c>
      <c r="B42" s="9" t="s">
        <v>43</v>
      </c>
      <c r="C42" s="30">
        <f>(G15*$X$6*($X$4-40-0.8*Q15/2)+L15*(0.8*Q15-40)/2)/1000^2</f>
        <v>130.09848694903519</v>
      </c>
      <c r="D42" s="30">
        <f>-(L15*$X$6*($X$4-40-0.8*Q15/2)+G15*(0.8*Q15-40)/2)/1000^2</f>
        <v>-94.511729703810474</v>
      </c>
      <c r="E42" s="29">
        <f t="shared" si="28"/>
        <v>29.187999999999999</v>
      </c>
      <c r="F42" s="9">
        <v>4</v>
      </c>
      <c r="G42" s="30">
        <f>$E42*$F42/2+($C42+$C43)/$F42*1.1</f>
        <v>120.5866487018117</v>
      </c>
      <c r="H42" s="30">
        <f>$E42*$F42/2+($D42+$D43)/$F42*1.1</f>
        <v>5.9517095406251102</v>
      </c>
    </row>
    <row r="43" spans="1:11" x14ac:dyDescent="0.25">
      <c r="A43" s="49"/>
      <c r="B43" s="9" t="s">
        <v>44</v>
      </c>
      <c r="C43" s="30">
        <f>(L16*$X$6*($X$4-40-0.8*Q16/2)+G16*(0.8*Q16-40)/2)/1000^2</f>
        <v>96.122053784825468</v>
      </c>
      <c r="D43" s="30">
        <f>-(G16*$X$6*($X$4-40-0.8*Q16/2)+L16*(0.8*Q16-40)/2)/1000^2</f>
        <v>-96.122053784825468</v>
      </c>
      <c r="E43" s="29">
        <f t="shared" si="28"/>
        <v>29.187999999999999</v>
      </c>
      <c r="F43" s="9">
        <v>4</v>
      </c>
      <c r="G43" s="30">
        <f>-$E43*$F43/2+($C42+$C43)/$F43*1.1</f>
        <v>3.8346487018116946</v>
      </c>
      <c r="H43" s="30">
        <f>-$E43*$F43/2+($D42+$D43)/$F43*1.1</f>
        <v>-110.80029045937488</v>
      </c>
    </row>
    <row r="44" spans="1:11" ht="17.25" x14ac:dyDescent="0.25">
      <c r="A44" s="7" t="s">
        <v>66</v>
      </c>
      <c r="B44" s="26" t="s">
        <v>42</v>
      </c>
      <c r="C44" s="7" t="s">
        <v>103</v>
      </c>
      <c r="D44" s="7" t="s">
        <v>104</v>
      </c>
      <c r="E44" s="7" t="s">
        <v>94</v>
      </c>
      <c r="F44" s="7" t="s">
        <v>62</v>
      </c>
      <c r="G44" s="7" t="s">
        <v>96</v>
      </c>
      <c r="H44" s="7" t="s">
        <v>95</v>
      </c>
    </row>
    <row r="45" spans="1:11" x14ac:dyDescent="0.25">
      <c r="A45" s="7" t="s">
        <v>40</v>
      </c>
      <c r="B45" s="27"/>
      <c r="C45" s="31" t="s">
        <v>23</v>
      </c>
      <c r="D45" s="31" t="s">
        <v>23</v>
      </c>
      <c r="E45" s="7" t="s">
        <v>58</v>
      </c>
      <c r="F45" s="7" t="s">
        <v>63</v>
      </c>
      <c r="G45" s="7" t="s">
        <v>59</v>
      </c>
      <c r="H45" s="7" t="s">
        <v>59</v>
      </c>
      <c r="K45" s="2">
        <v>175.8243581739535</v>
      </c>
    </row>
    <row r="46" spans="1:11" x14ac:dyDescent="0.25">
      <c r="A46" s="48">
        <v>1</v>
      </c>
      <c r="B46" s="9" t="s">
        <v>43</v>
      </c>
      <c r="C46" s="30">
        <f>(G19*$X$6*($X$4-40-0.8*Q19/2)+L19*(0.8*Q19-40)/2)/1000^2</f>
        <v>96.122053784825468</v>
      </c>
      <c r="D46" s="30">
        <f>-(L19*$X$6*($X$4-40-0.8*Q19/2)+G19*(0.8*Q19-40)/2)/1000^2</f>
        <v>-96.122053784825468</v>
      </c>
      <c r="E46" s="29">
        <f>7.297*4.75</f>
        <v>34.66075</v>
      </c>
      <c r="F46" s="9">
        <v>4</v>
      </c>
      <c r="G46" s="30">
        <f>$E46*$F46/2+($C46+$C47)/$F46*1.1</f>
        <v>121.12449108934152</v>
      </c>
      <c r="H46" s="30">
        <f>$E46*$F46/2+($D46+$D47)/$F46*1.1</f>
        <v>-5.4637632886642251</v>
      </c>
    </row>
    <row r="47" spans="1:11" x14ac:dyDescent="0.25">
      <c r="A47" s="49"/>
      <c r="B47" s="9" t="s">
        <v>44</v>
      </c>
      <c r="C47" s="30">
        <f>(L20*$X$6*($X$4-40-0.8*Q20/2)+G20*(0.8*Q20-40)/2)/1000^2</f>
        <v>92.25245926732552</v>
      </c>
      <c r="D47" s="30">
        <f>-(G20*$X$6*($X$4-40-0.8*Q20/2)+L20*(0.8*Q20-40)/2)/1000^2</f>
        <v>-175.8243581739535</v>
      </c>
      <c r="E47" s="29">
        <f t="shared" ref="E47:E51" si="29">7.297*4.75</f>
        <v>34.66075</v>
      </c>
      <c r="F47" s="9">
        <v>4</v>
      </c>
      <c r="G47" s="30">
        <f>-$E47*$F47/2+($C46+$C47)/$F47*1.1</f>
        <v>-17.518508910658475</v>
      </c>
      <c r="H47" s="30">
        <f>-$E47*$F47/2+($D46+$D47)/$F47*1.1</f>
        <v>-144.10676328866424</v>
      </c>
    </row>
    <row r="48" spans="1:11" x14ac:dyDescent="0.25">
      <c r="A48" s="48">
        <v>2</v>
      </c>
      <c r="B48" s="9" t="s">
        <v>43</v>
      </c>
      <c r="C48" s="30">
        <f>(G21*$X$6*($X$4-40-0.8*Q21/2)+L21*(0.8*Q21-40)/2)/1000^2</f>
        <v>175.8243581739535</v>
      </c>
      <c r="D48" s="30">
        <f>-(L21*$X$6*($X$4-40-0.8*Q21/2)+G21*(0.8*Q21-40)/2)/1000^2</f>
        <v>-92.25245926732552</v>
      </c>
      <c r="E48" s="29">
        <f t="shared" si="29"/>
        <v>34.66075</v>
      </c>
      <c r="F48" s="9">
        <v>5.5</v>
      </c>
      <c r="G48" s="30">
        <f>$E48*$F48/2+($C48+$C49)/$F48*1.1</f>
        <v>148.9324259882558</v>
      </c>
      <c r="H48" s="30">
        <f>$E48*$F48/2+($D48+$D49)/$F48*1.1</f>
        <v>41.701699011744203</v>
      </c>
    </row>
    <row r="49" spans="1:22" x14ac:dyDescent="0.25">
      <c r="A49" s="49"/>
      <c r="B49" s="9" t="s">
        <v>44</v>
      </c>
      <c r="C49" s="30">
        <f>(L22*$X$6*($X$4-40-0.8*Q22/2)+G22*(0.8*Q22-40)/2)/1000^2</f>
        <v>92.25245926732552</v>
      </c>
      <c r="D49" s="30">
        <f>-(G22*$X$6*($X$4-40-0.8*Q22/2)+L22*(0.8*Q22-40)/2)/1000^2</f>
        <v>-175.8243581739535</v>
      </c>
      <c r="E49" s="29">
        <f t="shared" si="29"/>
        <v>34.66075</v>
      </c>
      <c r="F49" s="9">
        <v>5.5</v>
      </c>
      <c r="G49" s="30">
        <f>-$E49*$F49/2+($C48+$C49)/$F49*1.1</f>
        <v>-41.701699011744203</v>
      </c>
      <c r="H49" s="30">
        <f>-$E49*$F49/2+($D48+$D49)/$F49*1.1</f>
        <v>-148.9324259882558</v>
      </c>
    </row>
    <row r="50" spans="1:22" x14ac:dyDescent="0.25">
      <c r="A50" s="48">
        <v>3</v>
      </c>
      <c r="B50" s="9" t="s">
        <v>43</v>
      </c>
      <c r="C50" s="30">
        <f>(G23*$X$6*($X$4-40-0.8*Q23/2)+L23*(0.8*Q23-40)/2)/1000^2</f>
        <v>175.8243581739535</v>
      </c>
      <c r="D50" s="30">
        <f>-(L23*$X$6*($X$4-40-0.8*Q23/2)+G23*(0.8*Q23-40)/2)/1000^2</f>
        <v>-92.25245926732552</v>
      </c>
      <c r="E50" s="29">
        <f t="shared" si="29"/>
        <v>34.66075</v>
      </c>
      <c r="F50" s="9">
        <v>4</v>
      </c>
      <c r="G50" s="30">
        <f>$E50*$F50/2+($C50+$C51)/$F50*1.1</f>
        <v>144.10676328866424</v>
      </c>
      <c r="H50" s="30">
        <f>$E50*$F50/2+($D50+$D51)/$F50*1.1</f>
        <v>17.518508910658475</v>
      </c>
    </row>
    <row r="51" spans="1:22" x14ac:dyDescent="0.25">
      <c r="A51" s="49"/>
      <c r="B51" s="9" t="s">
        <v>44</v>
      </c>
      <c r="C51" s="30">
        <f>(L24*$X$6*($X$4-40-0.8*Q24/2)+G24*(0.8*Q24-40)/2)/1000^2</f>
        <v>96.122053784825468</v>
      </c>
      <c r="D51" s="30">
        <f>-(G24*$X$6*($X$4-40-0.8*Q24/2)+L24*(0.8*Q24-40)/2)/1000^2</f>
        <v>-96.122053784825468</v>
      </c>
      <c r="E51" s="29">
        <f t="shared" si="29"/>
        <v>34.66075</v>
      </c>
      <c r="F51" s="9">
        <v>4</v>
      </c>
      <c r="G51" s="30">
        <f>-$E51*$F51/2+($C50+$C51)/$F51*1.1</f>
        <v>5.4637632886642251</v>
      </c>
      <c r="H51" s="30">
        <f>-$E51*$F51/2+($D50+$D51)/$F51*1.1</f>
        <v>-121.12449108934152</v>
      </c>
    </row>
    <row r="54" spans="1:22" ht="26.25" x14ac:dyDescent="0.4">
      <c r="A54" s="50" t="s">
        <v>76</v>
      </c>
      <c r="B54" s="50"/>
      <c r="C54" s="50"/>
      <c r="D54" s="50"/>
      <c r="E54" s="50"/>
      <c r="F54" s="50"/>
      <c r="G54" s="50"/>
      <c r="H54" s="50"/>
      <c r="I54" s="50"/>
    </row>
    <row r="55" spans="1:22" x14ac:dyDescent="0.25">
      <c r="Q55" t="s">
        <v>80</v>
      </c>
    </row>
    <row r="57" spans="1:22" ht="18" x14ac:dyDescent="0.35">
      <c r="A57" s="7" t="s">
        <v>37</v>
      </c>
      <c r="B57" s="26" t="s">
        <v>42</v>
      </c>
      <c r="C57" s="7" t="s">
        <v>67</v>
      </c>
      <c r="D57" s="7" t="s">
        <v>98</v>
      </c>
      <c r="E57" s="7" t="s">
        <v>97</v>
      </c>
      <c r="F57" s="44" t="s">
        <v>99</v>
      </c>
      <c r="G57" s="7" t="s">
        <v>100</v>
      </c>
      <c r="H57" s="7" t="s">
        <v>101</v>
      </c>
      <c r="I57" s="7" t="s">
        <v>102</v>
      </c>
      <c r="N57" s="2"/>
      <c r="O57" s="2"/>
      <c r="Q57" s="7" t="s">
        <v>77</v>
      </c>
      <c r="R57" s="7" t="s">
        <v>77</v>
      </c>
      <c r="S57" s="7" t="s">
        <v>69</v>
      </c>
      <c r="T57" s="7" t="s">
        <v>70</v>
      </c>
      <c r="U57" s="7" t="s">
        <v>71</v>
      </c>
      <c r="V57" s="7" t="s">
        <v>72</v>
      </c>
    </row>
    <row r="58" spans="1:22" x14ac:dyDescent="0.25">
      <c r="A58" s="7" t="s">
        <v>40</v>
      </c>
      <c r="B58" s="27"/>
      <c r="C58" s="7" t="s">
        <v>2</v>
      </c>
      <c r="D58" s="7" t="s">
        <v>2</v>
      </c>
      <c r="E58" s="7" t="s">
        <v>2</v>
      </c>
      <c r="F58" s="7" t="s">
        <v>59</v>
      </c>
      <c r="G58" s="7" t="s">
        <v>59</v>
      </c>
      <c r="H58" s="7" t="s">
        <v>59</v>
      </c>
      <c r="I58" s="7" t="s">
        <v>59</v>
      </c>
      <c r="L58" s="14" t="s">
        <v>74</v>
      </c>
      <c r="M58" s="14"/>
      <c r="N58" s="14"/>
      <c r="Q58" s="7" t="s">
        <v>78</v>
      </c>
      <c r="R58" s="7" t="s">
        <v>79</v>
      </c>
      <c r="S58" s="7" t="s">
        <v>2</v>
      </c>
      <c r="T58" s="7" t="s">
        <v>59</v>
      </c>
      <c r="U58" s="7" t="s">
        <v>59</v>
      </c>
      <c r="V58" s="7" t="s">
        <v>59</v>
      </c>
    </row>
    <row r="59" spans="1:22" x14ac:dyDescent="0.25">
      <c r="A59" s="48">
        <v>1</v>
      </c>
      <c r="B59" s="9" t="s">
        <v>43</v>
      </c>
      <c r="C59" s="9">
        <f>500</f>
        <v>500</v>
      </c>
      <c r="D59" s="9">
        <v>8</v>
      </c>
      <c r="E59" s="9">
        <v>100</v>
      </c>
      <c r="F59" s="10">
        <f t="shared" ref="F59:F64" si="30">(0.9*($X$4-30)*(2*PI()*D59^2/4)/E59*$X$6)/1000</f>
        <v>166.40060149170563</v>
      </c>
      <c r="G59" s="30">
        <f t="shared" ref="G59:G64" si="31">(0.9*($X$4-30)*$X$3*0.5*$X$14*0.5)/1000</f>
        <v>539.32500000000005</v>
      </c>
      <c r="H59" s="30">
        <f>MIN(F59:G59)</f>
        <v>166.40060149170563</v>
      </c>
      <c r="I59" s="30">
        <f t="shared" ref="I59:I64" si="32">MAX(ABS(G30),ABS(H30))</f>
        <v>97.172290459374892</v>
      </c>
      <c r="J59" s="32" t="str">
        <f>IF(H59&gt;I59,"OK","NO")</f>
        <v>OK</v>
      </c>
      <c r="L59" s="2">
        <f>(500-40)/4</f>
        <v>115</v>
      </c>
      <c r="M59" s="2">
        <v>175</v>
      </c>
      <c r="N59" s="2">
        <f>8*E3</f>
        <v>96</v>
      </c>
      <c r="Q59" s="15">
        <f t="shared" ref="Q59:Q64" si="33">ASIN(SQRT(2*D59^2/4*PI()*$X$6/($X$3*E59*0.5*$X$14)))</f>
        <v>0.40364060334951729</v>
      </c>
      <c r="R59" s="29">
        <f>DEGREES(Q59)</f>
        <v>23.12690301204146</v>
      </c>
      <c r="S59" s="9">
        <v>200</v>
      </c>
      <c r="T59" s="30">
        <f>(0.9*($X$4-30)*(2*PI()*8^2/4)/S59*$X$6)/1000*_xlfn.COT(Q59)</f>
        <v>194.8068585947546</v>
      </c>
      <c r="U59" s="30">
        <f>(0.9*($X$4-30)*$X$3*0.5*$X$14)*(_xlfn.COT(Q59))/(1+_xlfn.COT(Q59)^2)/1000</f>
        <v>389.6137171895092</v>
      </c>
      <c r="V59" s="30">
        <f>MIN(T59:U59)</f>
        <v>194.8068585947546</v>
      </c>
    </row>
    <row r="60" spans="1:22" x14ac:dyDescent="0.25">
      <c r="A60" s="49"/>
      <c r="B60" s="9" t="s">
        <v>44</v>
      </c>
      <c r="C60" s="9">
        <f>500</f>
        <v>500</v>
      </c>
      <c r="D60" s="9">
        <v>8</v>
      </c>
      <c r="E60" s="9">
        <v>100</v>
      </c>
      <c r="F60" s="10">
        <f t="shared" si="30"/>
        <v>166.40060149170563</v>
      </c>
      <c r="G60" s="30">
        <f t="shared" si="31"/>
        <v>539.32500000000005</v>
      </c>
      <c r="H60" s="30">
        <f t="shared" ref="H60:H64" si="34">MIN(F60:G60)</f>
        <v>166.40060149170563</v>
      </c>
      <c r="I60" s="30">
        <f t="shared" si="32"/>
        <v>106.95864870181168</v>
      </c>
      <c r="J60" s="32" t="str">
        <f t="shared" ref="J60:J64" si="35">IF(H60&gt;I60,"OK","NO")</f>
        <v>OK</v>
      </c>
      <c r="N60" s="2">
        <f t="shared" ref="N60:N64" si="36">8*E4</f>
        <v>96</v>
      </c>
      <c r="Q60" s="15">
        <f t="shared" si="33"/>
        <v>0.40364060334951729</v>
      </c>
      <c r="R60" s="29">
        <f t="shared" ref="R60:R64" si="37">DEGREES(Q60)</f>
        <v>23.12690301204146</v>
      </c>
      <c r="S60" s="9">
        <v>200</v>
      </c>
      <c r="T60" s="30">
        <f t="shared" ref="T60:T64" si="38">(0.9*($X$4-30)*(2*PI()*8^2/4)/S60*$X$6)/1000*_xlfn.COT(Q60)</f>
        <v>194.8068585947546</v>
      </c>
      <c r="U60" s="30">
        <f t="shared" ref="U60:U64" si="39">(0.9*($X$4-30)*$X$3*0.5*$X$14)*(_xlfn.COT(Q60))/(1+_xlfn.COT(Q60)^2)/1000</f>
        <v>389.6137171895092</v>
      </c>
      <c r="V60" s="30">
        <f t="shared" ref="V60:V64" si="40">MIN(T60:U60)</f>
        <v>194.8068585947546</v>
      </c>
    </row>
    <row r="61" spans="1:22" x14ac:dyDescent="0.25">
      <c r="A61" s="48">
        <v>2</v>
      </c>
      <c r="B61" s="9" t="s">
        <v>43</v>
      </c>
      <c r="C61" s="9">
        <f>500</f>
        <v>500</v>
      </c>
      <c r="D61" s="9">
        <v>8</v>
      </c>
      <c r="E61" s="9">
        <v>100</v>
      </c>
      <c r="F61" s="10">
        <f t="shared" si="30"/>
        <v>166.40060149170563</v>
      </c>
      <c r="G61" s="30">
        <f t="shared" si="31"/>
        <v>539.32500000000005</v>
      </c>
      <c r="H61" s="30">
        <f t="shared" si="34"/>
        <v>166.40060149170563</v>
      </c>
      <c r="I61" s="30">
        <f t="shared" si="32"/>
        <v>106.45054333056913</v>
      </c>
      <c r="J61" s="32" t="str">
        <f t="shared" si="35"/>
        <v>OK</v>
      </c>
      <c r="N61" s="2">
        <f t="shared" si="36"/>
        <v>96</v>
      </c>
      <c r="Q61" s="15">
        <f t="shared" si="33"/>
        <v>0.40364060334951729</v>
      </c>
      <c r="R61" s="29">
        <f t="shared" si="37"/>
        <v>23.12690301204146</v>
      </c>
      <c r="S61" s="9">
        <v>200</v>
      </c>
      <c r="T61" s="30">
        <f t="shared" si="38"/>
        <v>194.8068585947546</v>
      </c>
      <c r="U61" s="30">
        <f t="shared" si="39"/>
        <v>389.6137171895092</v>
      </c>
      <c r="V61" s="30">
        <f t="shared" si="40"/>
        <v>194.8068585947546</v>
      </c>
    </row>
    <row r="62" spans="1:22" x14ac:dyDescent="0.25">
      <c r="A62" s="49"/>
      <c r="B62" s="9" t="s">
        <v>44</v>
      </c>
      <c r="C62" s="9">
        <f>500</f>
        <v>500</v>
      </c>
      <c r="D62" s="9">
        <v>8</v>
      </c>
      <c r="E62" s="9">
        <v>100</v>
      </c>
      <c r="F62" s="10">
        <f t="shared" si="30"/>
        <v>166.40060149170563</v>
      </c>
      <c r="G62" s="30">
        <f t="shared" si="31"/>
        <v>539.32500000000005</v>
      </c>
      <c r="H62" s="30">
        <f t="shared" si="34"/>
        <v>166.40060149170563</v>
      </c>
      <c r="I62" s="30">
        <f t="shared" si="32"/>
        <v>106.45054333056913</v>
      </c>
      <c r="J62" s="32" t="str">
        <f t="shared" si="35"/>
        <v>OK</v>
      </c>
      <c r="N62" s="2">
        <f t="shared" si="36"/>
        <v>96</v>
      </c>
      <c r="Q62" s="15">
        <f t="shared" si="33"/>
        <v>0.40364060334951729</v>
      </c>
      <c r="R62" s="29">
        <f t="shared" si="37"/>
        <v>23.12690301204146</v>
      </c>
      <c r="S62" s="9">
        <v>200</v>
      </c>
      <c r="T62" s="30">
        <f t="shared" si="38"/>
        <v>194.8068585947546</v>
      </c>
      <c r="U62" s="30">
        <f t="shared" si="39"/>
        <v>389.6137171895092</v>
      </c>
      <c r="V62" s="30">
        <f t="shared" si="40"/>
        <v>194.8068585947546</v>
      </c>
    </row>
    <row r="63" spans="1:22" x14ac:dyDescent="0.25">
      <c r="A63" s="48">
        <v>3</v>
      </c>
      <c r="B63" s="9" t="s">
        <v>43</v>
      </c>
      <c r="C63" s="9">
        <f>500</f>
        <v>500</v>
      </c>
      <c r="D63" s="9">
        <v>8</v>
      </c>
      <c r="E63" s="9">
        <v>100</v>
      </c>
      <c r="F63" s="10">
        <f t="shared" si="30"/>
        <v>166.40060149170563</v>
      </c>
      <c r="G63" s="30">
        <f t="shared" si="31"/>
        <v>539.32500000000005</v>
      </c>
      <c r="H63" s="30">
        <f t="shared" si="34"/>
        <v>166.40060149170563</v>
      </c>
      <c r="I63" s="30">
        <f t="shared" si="32"/>
        <v>106.95864870181168</v>
      </c>
      <c r="J63" s="32" t="str">
        <f t="shared" si="35"/>
        <v>OK</v>
      </c>
      <c r="N63" s="2">
        <f t="shared" si="36"/>
        <v>96</v>
      </c>
      <c r="Q63" s="15">
        <f t="shared" si="33"/>
        <v>0.40364060334951729</v>
      </c>
      <c r="R63" s="29">
        <f t="shared" si="37"/>
        <v>23.12690301204146</v>
      </c>
      <c r="S63" s="9">
        <v>200</v>
      </c>
      <c r="T63" s="30">
        <f t="shared" si="38"/>
        <v>194.8068585947546</v>
      </c>
      <c r="U63" s="30">
        <f t="shared" si="39"/>
        <v>389.6137171895092</v>
      </c>
      <c r="V63" s="30">
        <f t="shared" si="40"/>
        <v>194.8068585947546</v>
      </c>
    </row>
    <row r="64" spans="1:22" x14ac:dyDescent="0.25">
      <c r="A64" s="49"/>
      <c r="B64" s="9" t="s">
        <v>44</v>
      </c>
      <c r="C64" s="9">
        <f>500</f>
        <v>500</v>
      </c>
      <c r="D64" s="9">
        <v>8</v>
      </c>
      <c r="E64" s="9">
        <v>100</v>
      </c>
      <c r="F64" s="10">
        <f t="shared" si="30"/>
        <v>166.40060149170563</v>
      </c>
      <c r="G64" s="30">
        <f t="shared" si="31"/>
        <v>539.32500000000005</v>
      </c>
      <c r="H64" s="30">
        <f t="shared" si="34"/>
        <v>166.40060149170563</v>
      </c>
      <c r="I64" s="30">
        <f t="shared" si="32"/>
        <v>97.172290459374892</v>
      </c>
      <c r="J64" s="32" t="str">
        <f t="shared" si="35"/>
        <v>OK</v>
      </c>
      <c r="N64" s="2">
        <f t="shared" si="36"/>
        <v>96</v>
      </c>
      <c r="Q64" s="15">
        <f t="shared" si="33"/>
        <v>0.40364060334951729</v>
      </c>
      <c r="R64" s="29">
        <f t="shared" si="37"/>
        <v>23.12690301204146</v>
      </c>
      <c r="S64" s="9">
        <v>200</v>
      </c>
      <c r="T64" s="30">
        <f t="shared" si="38"/>
        <v>194.8068585947546</v>
      </c>
      <c r="U64" s="30">
        <f t="shared" si="39"/>
        <v>389.6137171895092</v>
      </c>
      <c r="V64" s="30">
        <f t="shared" si="40"/>
        <v>194.8068585947546</v>
      </c>
    </row>
    <row r="65" spans="1:14" ht="18" x14ac:dyDescent="0.35">
      <c r="A65" s="7" t="s">
        <v>38</v>
      </c>
      <c r="B65" s="26" t="s">
        <v>42</v>
      </c>
      <c r="C65" s="7" t="s">
        <v>67</v>
      </c>
      <c r="D65" s="7" t="s">
        <v>98</v>
      </c>
      <c r="E65" s="7" t="s">
        <v>97</v>
      </c>
      <c r="F65" s="44" t="s">
        <v>99</v>
      </c>
      <c r="G65" s="7" t="s">
        <v>100</v>
      </c>
      <c r="H65" s="7" t="s">
        <v>101</v>
      </c>
      <c r="I65" s="7" t="s">
        <v>102</v>
      </c>
      <c r="N65" s="2"/>
    </row>
    <row r="66" spans="1:14" x14ac:dyDescent="0.25">
      <c r="A66" s="7" t="s">
        <v>40</v>
      </c>
      <c r="B66" s="27"/>
      <c r="C66" s="7" t="s">
        <v>2</v>
      </c>
      <c r="D66" s="7" t="s">
        <v>2</v>
      </c>
      <c r="E66" s="7" t="s">
        <v>2</v>
      </c>
      <c r="F66" s="7" t="s">
        <v>59</v>
      </c>
      <c r="G66" s="7" t="s">
        <v>59</v>
      </c>
      <c r="H66" s="31" t="s">
        <v>59</v>
      </c>
      <c r="I66" s="7" t="s">
        <v>59</v>
      </c>
      <c r="N66" s="2"/>
    </row>
    <row r="67" spans="1:14" x14ac:dyDescent="0.25">
      <c r="A67" s="48">
        <v>1</v>
      </c>
      <c r="B67" s="9" t="s">
        <v>43</v>
      </c>
      <c r="C67" s="9">
        <f>500</f>
        <v>500</v>
      </c>
      <c r="D67" s="9">
        <v>8</v>
      </c>
      <c r="E67" s="9">
        <v>100</v>
      </c>
      <c r="F67" s="10">
        <f t="shared" ref="F67:F72" si="41">(0.9*($X$4-30)*(2*PI()*D67^2/4)/E67*$X$6)/1000</f>
        <v>166.40060149170563</v>
      </c>
      <c r="G67" s="30">
        <f t="shared" ref="G67:G72" si="42">(0.9*($X$4-30)*$X$3*0.5*$X$14*0.5)/1000</f>
        <v>539.32500000000005</v>
      </c>
      <c r="H67" s="30">
        <f>MIN(F67:G67)</f>
        <v>166.40060149170563</v>
      </c>
      <c r="I67" s="30">
        <f t="shared" ref="I67:I72" si="43">MAX(ABS(G38),ABS(H38))</f>
        <v>110.80029045937488</v>
      </c>
      <c r="J67" s="32" t="str">
        <f>IF(H67&gt;I67,"OK","NO")</f>
        <v>OK</v>
      </c>
      <c r="N67" s="2">
        <f>8*E11</f>
        <v>96</v>
      </c>
    </row>
    <row r="68" spans="1:14" x14ac:dyDescent="0.25">
      <c r="A68" s="49"/>
      <c r="B68" s="9" t="s">
        <v>44</v>
      </c>
      <c r="C68" s="9">
        <f>500</f>
        <v>500</v>
      </c>
      <c r="D68" s="9">
        <v>8</v>
      </c>
      <c r="E68" s="9">
        <v>100</v>
      </c>
      <c r="F68" s="10">
        <f t="shared" si="41"/>
        <v>166.40060149170563</v>
      </c>
      <c r="G68" s="30">
        <f t="shared" si="42"/>
        <v>539.32500000000005</v>
      </c>
      <c r="H68" s="30">
        <f t="shared" ref="H68:H72" si="44">MIN(F68:G68)</f>
        <v>166.40060149170563</v>
      </c>
      <c r="I68" s="30">
        <f t="shared" si="43"/>
        <v>120.5866487018117</v>
      </c>
      <c r="J68" s="32" t="str">
        <f t="shared" ref="J68:J72" si="45">IF(H68&gt;I68,"OK","NO")</f>
        <v>OK</v>
      </c>
      <c r="N68" s="2">
        <f t="shared" ref="N68:N72" si="46">8*E12</f>
        <v>96</v>
      </c>
    </row>
    <row r="69" spans="1:14" x14ac:dyDescent="0.25">
      <c r="A69" s="48">
        <v>2</v>
      </c>
      <c r="B69" s="9" t="s">
        <v>43</v>
      </c>
      <c r="C69" s="9">
        <f>500</f>
        <v>500</v>
      </c>
      <c r="D69" s="9">
        <v>8</v>
      </c>
      <c r="E69" s="9">
        <v>100</v>
      </c>
      <c r="F69" s="10">
        <f t="shared" si="41"/>
        <v>166.40060149170563</v>
      </c>
      <c r="G69" s="30">
        <f t="shared" si="42"/>
        <v>539.32500000000005</v>
      </c>
      <c r="H69" s="30">
        <f t="shared" si="44"/>
        <v>166.40060149170563</v>
      </c>
      <c r="I69" s="30">
        <f t="shared" si="43"/>
        <v>125.18904333056913</v>
      </c>
      <c r="J69" s="32" t="str">
        <f t="shared" si="45"/>
        <v>OK</v>
      </c>
      <c r="N69" s="2">
        <f t="shared" si="46"/>
        <v>96</v>
      </c>
    </row>
    <row r="70" spans="1:14" x14ac:dyDescent="0.25">
      <c r="A70" s="49"/>
      <c r="B70" s="9" t="s">
        <v>44</v>
      </c>
      <c r="C70" s="9">
        <f>500</f>
        <v>500</v>
      </c>
      <c r="D70" s="9">
        <v>8</v>
      </c>
      <c r="E70" s="9">
        <v>100</v>
      </c>
      <c r="F70" s="10">
        <f t="shared" si="41"/>
        <v>166.40060149170563</v>
      </c>
      <c r="G70" s="30">
        <f t="shared" si="42"/>
        <v>539.32500000000005</v>
      </c>
      <c r="H70" s="30">
        <f t="shared" si="44"/>
        <v>166.40060149170563</v>
      </c>
      <c r="I70" s="30">
        <f t="shared" si="43"/>
        <v>125.18904333056913</v>
      </c>
      <c r="J70" s="32" t="str">
        <f t="shared" si="45"/>
        <v>OK</v>
      </c>
      <c r="N70" s="2">
        <f t="shared" si="46"/>
        <v>96</v>
      </c>
    </row>
    <row r="71" spans="1:14" x14ac:dyDescent="0.25">
      <c r="A71" s="48">
        <v>3</v>
      </c>
      <c r="B71" s="9" t="s">
        <v>43</v>
      </c>
      <c r="C71" s="9">
        <f>500</f>
        <v>500</v>
      </c>
      <c r="D71" s="9">
        <v>8</v>
      </c>
      <c r="E71" s="9">
        <v>100</v>
      </c>
      <c r="F71" s="10">
        <f t="shared" si="41"/>
        <v>166.40060149170563</v>
      </c>
      <c r="G71" s="30">
        <f t="shared" si="42"/>
        <v>539.32500000000005</v>
      </c>
      <c r="H71" s="30">
        <f t="shared" si="44"/>
        <v>166.40060149170563</v>
      </c>
      <c r="I71" s="30">
        <f t="shared" si="43"/>
        <v>120.5866487018117</v>
      </c>
      <c r="J71" s="32" t="str">
        <f t="shared" si="45"/>
        <v>OK</v>
      </c>
      <c r="N71" s="2">
        <f t="shared" si="46"/>
        <v>96</v>
      </c>
    </row>
    <row r="72" spans="1:14" x14ac:dyDescent="0.25">
      <c r="A72" s="49"/>
      <c r="B72" s="9" t="s">
        <v>44</v>
      </c>
      <c r="C72" s="9">
        <f>500</f>
        <v>500</v>
      </c>
      <c r="D72" s="9">
        <v>8</v>
      </c>
      <c r="E72" s="9">
        <v>100</v>
      </c>
      <c r="F72" s="10">
        <f t="shared" si="41"/>
        <v>166.40060149170563</v>
      </c>
      <c r="G72" s="30">
        <f t="shared" si="42"/>
        <v>539.32500000000005</v>
      </c>
      <c r="H72" s="30">
        <f t="shared" si="44"/>
        <v>166.40060149170563</v>
      </c>
      <c r="I72" s="30">
        <f t="shared" si="43"/>
        <v>110.80029045937488</v>
      </c>
      <c r="J72" s="32" t="str">
        <f t="shared" si="45"/>
        <v>OK</v>
      </c>
      <c r="N72" s="2">
        <f t="shared" si="46"/>
        <v>96</v>
      </c>
    </row>
    <row r="73" spans="1:14" ht="18" x14ac:dyDescent="0.35">
      <c r="A73" s="7" t="s">
        <v>66</v>
      </c>
      <c r="B73" s="26" t="s">
        <v>42</v>
      </c>
      <c r="C73" s="7" t="s">
        <v>67</v>
      </c>
      <c r="D73" s="7" t="s">
        <v>98</v>
      </c>
      <c r="E73" s="7" t="s">
        <v>97</v>
      </c>
      <c r="F73" s="44" t="s">
        <v>99</v>
      </c>
      <c r="G73" s="7" t="s">
        <v>100</v>
      </c>
      <c r="H73" s="7" t="s">
        <v>101</v>
      </c>
      <c r="I73" s="7" t="s">
        <v>102</v>
      </c>
      <c r="N73" s="2"/>
    </row>
    <row r="74" spans="1:14" x14ac:dyDescent="0.25">
      <c r="A74" s="7" t="s">
        <v>40</v>
      </c>
      <c r="B74" s="27"/>
      <c r="C74" s="7" t="s">
        <v>2</v>
      </c>
      <c r="D74" s="7" t="s">
        <v>2</v>
      </c>
      <c r="E74" s="7" t="s">
        <v>2</v>
      </c>
      <c r="F74" s="7" t="s">
        <v>59</v>
      </c>
      <c r="G74" s="7" t="s">
        <v>59</v>
      </c>
      <c r="H74" s="31" t="s">
        <v>59</v>
      </c>
      <c r="I74" s="7" t="s">
        <v>59</v>
      </c>
      <c r="N74" s="2"/>
    </row>
    <row r="75" spans="1:14" x14ac:dyDescent="0.25">
      <c r="A75" s="48">
        <v>1</v>
      </c>
      <c r="B75" s="9" t="s">
        <v>43</v>
      </c>
      <c r="C75" s="9">
        <f>500</f>
        <v>500</v>
      </c>
      <c r="D75" s="9">
        <v>8</v>
      </c>
      <c r="E75" s="9">
        <v>100</v>
      </c>
      <c r="F75" s="10">
        <f t="shared" ref="F75:F80" si="47">(0.9*($X$4-30)*(2*PI()*D75^2/4)/E75*$X$6)/1000</f>
        <v>166.40060149170563</v>
      </c>
      <c r="G75" s="30">
        <f t="shared" ref="G75:G80" si="48">(0.9*($X$4-30)*$X$3*0.5*$X$14*0.5)/1000</f>
        <v>539.32500000000005</v>
      </c>
      <c r="H75" s="30">
        <f>MIN(F75:G75)</f>
        <v>166.40060149170563</v>
      </c>
      <c r="I75" s="30">
        <f t="shared" ref="I75:I80" si="49">MAX(ABS(G46),ABS(H46))</f>
        <v>121.12449108934152</v>
      </c>
      <c r="J75" s="32" t="str">
        <f>IF(H75&gt;I75,"OK","NO")</f>
        <v>OK</v>
      </c>
      <c r="N75" s="2">
        <f>8*E19</f>
        <v>96</v>
      </c>
    </row>
    <row r="76" spans="1:14" x14ac:dyDescent="0.25">
      <c r="A76" s="49"/>
      <c r="B76" s="9" t="s">
        <v>44</v>
      </c>
      <c r="C76" s="9">
        <f>500</f>
        <v>500</v>
      </c>
      <c r="D76" s="9">
        <v>8</v>
      </c>
      <c r="E76" s="9">
        <v>100</v>
      </c>
      <c r="F76" s="10">
        <f t="shared" si="47"/>
        <v>166.40060149170563</v>
      </c>
      <c r="G76" s="30">
        <f t="shared" si="48"/>
        <v>539.32500000000005</v>
      </c>
      <c r="H76" s="30">
        <f t="shared" ref="H76:H80" si="50">MIN(F76:G76)</f>
        <v>166.40060149170563</v>
      </c>
      <c r="I76" s="30">
        <f t="shared" si="49"/>
        <v>144.10676328866424</v>
      </c>
      <c r="J76" s="32" t="str">
        <f t="shared" ref="J76:J80" si="51">IF(H76&gt;I76,"OK","NO")</f>
        <v>OK</v>
      </c>
      <c r="N76" s="2">
        <f t="shared" ref="N76:N80" si="52">8*E20</f>
        <v>144</v>
      </c>
    </row>
    <row r="77" spans="1:14" x14ac:dyDescent="0.25">
      <c r="A77" s="48">
        <v>2</v>
      </c>
      <c r="B77" s="9" t="s">
        <v>43</v>
      </c>
      <c r="C77" s="9">
        <f>500</f>
        <v>500</v>
      </c>
      <c r="D77" s="9">
        <v>8</v>
      </c>
      <c r="E77" s="9">
        <v>100</v>
      </c>
      <c r="F77" s="10">
        <f t="shared" si="47"/>
        <v>166.40060149170563</v>
      </c>
      <c r="G77" s="30">
        <f t="shared" si="48"/>
        <v>539.32500000000005</v>
      </c>
      <c r="H77" s="30">
        <f t="shared" si="50"/>
        <v>166.40060149170563</v>
      </c>
      <c r="I77" s="30">
        <f t="shared" si="49"/>
        <v>148.9324259882558</v>
      </c>
      <c r="J77" s="32" t="str">
        <f t="shared" si="51"/>
        <v>OK</v>
      </c>
      <c r="N77" s="2">
        <f t="shared" si="52"/>
        <v>144</v>
      </c>
    </row>
    <row r="78" spans="1:14" x14ac:dyDescent="0.25">
      <c r="A78" s="49"/>
      <c r="B78" s="9" t="s">
        <v>44</v>
      </c>
      <c r="C78" s="9">
        <f>500</f>
        <v>500</v>
      </c>
      <c r="D78" s="9">
        <v>8</v>
      </c>
      <c r="E78" s="9">
        <v>100</v>
      </c>
      <c r="F78" s="10">
        <f t="shared" si="47"/>
        <v>166.40060149170563</v>
      </c>
      <c r="G78" s="30">
        <f t="shared" si="48"/>
        <v>539.32500000000005</v>
      </c>
      <c r="H78" s="30">
        <f t="shared" si="50"/>
        <v>166.40060149170563</v>
      </c>
      <c r="I78" s="30">
        <f t="shared" si="49"/>
        <v>148.9324259882558</v>
      </c>
      <c r="J78" s="32" t="str">
        <f t="shared" si="51"/>
        <v>OK</v>
      </c>
      <c r="N78" s="2">
        <f t="shared" si="52"/>
        <v>144</v>
      </c>
    </row>
    <row r="79" spans="1:14" x14ac:dyDescent="0.25">
      <c r="A79" s="48">
        <v>3</v>
      </c>
      <c r="B79" s="9" t="s">
        <v>43</v>
      </c>
      <c r="C79" s="9">
        <f>500</f>
        <v>500</v>
      </c>
      <c r="D79" s="9">
        <v>8</v>
      </c>
      <c r="E79" s="9">
        <v>100</v>
      </c>
      <c r="F79" s="10">
        <f t="shared" si="47"/>
        <v>166.40060149170563</v>
      </c>
      <c r="G79" s="30">
        <f t="shared" si="48"/>
        <v>539.32500000000005</v>
      </c>
      <c r="H79" s="30">
        <f t="shared" si="50"/>
        <v>166.40060149170563</v>
      </c>
      <c r="I79" s="30">
        <f t="shared" si="49"/>
        <v>144.10676328866424</v>
      </c>
      <c r="J79" s="32" t="str">
        <f t="shared" si="51"/>
        <v>OK</v>
      </c>
      <c r="N79" s="2">
        <f t="shared" si="52"/>
        <v>144</v>
      </c>
    </row>
    <row r="80" spans="1:14" x14ac:dyDescent="0.25">
      <c r="A80" s="49"/>
      <c r="B80" s="9" t="s">
        <v>44</v>
      </c>
      <c r="C80" s="9">
        <f>500</f>
        <v>500</v>
      </c>
      <c r="D80" s="9">
        <v>8</v>
      </c>
      <c r="E80" s="9">
        <v>100</v>
      </c>
      <c r="F80" s="10">
        <f t="shared" si="47"/>
        <v>166.40060149170563</v>
      </c>
      <c r="G80" s="30">
        <f t="shared" si="48"/>
        <v>539.32500000000005</v>
      </c>
      <c r="H80" s="30">
        <f t="shared" si="50"/>
        <v>166.40060149170563</v>
      </c>
      <c r="I80" s="30">
        <f t="shared" si="49"/>
        <v>121.12449108934152</v>
      </c>
      <c r="J80" s="32" t="str">
        <f t="shared" si="51"/>
        <v>OK</v>
      </c>
      <c r="N80" s="2">
        <f t="shared" si="52"/>
        <v>96</v>
      </c>
    </row>
    <row r="83" spans="1:10" ht="26.25" x14ac:dyDescent="0.4">
      <c r="A83" s="50" t="s">
        <v>83</v>
      </c>
      <c r="B83" s="50"/>
      <c r="C83" s="50"/>
      <c r="D83" s="50"/>
      <c r="E83" s="50"/>
      <c r="F83" s="50"/>
      <c r="G83" s="50"/>
      <c r="H83" s="50"/>
      <c r="I83" s="50"/>
      <c r="J83" s="50"/>
    </row>
    <row r="84" spans="1:10" x14ac:dyDescent="0.25">
      <c r="A84" s="2" t="s">
        <v>82</v>
      </c>
      <c r="B84" s="2">
        <f>1.2*(2*3.9)</f>
        <v>9.36</v>
      </c>
    </row>
    <row r="86" spans="1:10" x14ac:dyDescent="0.25">
      <c r="A86" s="7" t="s">
        <v>37</v>
      </c>
      <c r="B86" s="26" t="s">
        <v>42</v>
      </c>
      <c r="C86" s="33" t="s">
        <v>15</v>
      </c>
      <c r="D86" s="33" t="s">
        <v>16</v>
      </c>
      <c r="E86" s="7" t="s">
        <v>81</v>
      </c>
    </row>
    <row r="87" spans="1:10" x14ac:dyDescent="0.25">
      <c r="A87" s="7" t="s">
        <v>40</v>
      </c>
      <c r="B87" s="27"/>
      <c r="C87" s="7" t="s">
        <v>6</v>
      </c>
      <c r="D87" s="7" t="s">
        <v>6</v>
      </c>
      <c r="E87" s="18" t="s">
        <v>27</v>
      </c>
    </row>
    <row r="88" spans="1:10" x14ac:dyDescent="0.25">
      <c r="A88" s="48">
        <v>1</v>
      </c>
      <c r="B88" s="9" t="s">
        <v>43</v>
      </c>
      <c r="C88" s="30">
        <f t="shared" ref="C88:C93" si="53">G3</f>
        <v>534.07075111026484</v>
      </c>
      <c r="D88" s="30">
        <f t="shared" ref="D88:D93" si="54">L3</f>
        <v>534.07075111026484</v>
      </c>
      <c r="E88" s="34">
        <f>(C88-D88)/($X$3*$X$4)</f>
        <v>0</v>
      </c>
      <c r="F88" s="9">
        <f>0.0018*$X$14/($B$84*1.86/1000*$X$6)</f>
        <v>4.491774653064975E-3</v>
      </c>
      <c r="G88" s="9" t="str">
        <f>IF(E88&lt;F88,"OK","NO")</f>
        <v>OK</v>
      </c>
    </row>
    <row r="89" spans="1:10" x14ac:dyDescent="0.25">
      <c r="A89" s="49"/>
      <c r="B89" s="9" t="s">
        <v>44</v>
      </c>
      <c r="C89" s="30">
        <f t="shared" si="53"/>
        <v>735.1326809400116</v>
      </c>
      <c r="D89" s="30">
        <f t="shared" si="54"/>
        <v>534.07075111026484</v>
      </c>
      <c r="E89" s="34">
        <f t="shared" ref="E89:E93" si="55">(C89-D89)/($X$3*$X$4)</f>
        <v>1.3404128655316451E-3</v>
      </c>
      <c r="F89" s="9">
        <f t="shared" ref="F89:F93" si="56">0.0018*$X$14/($B$84*1.86/1000*$X$6)</f>
        <v>4.491774653064975E-3</v>
      </c>
      <c r="G89" s="9" t="str">
        <f t="shared" ref="G89:G93" si="57">IF(E89&lt;F89,"OK","NO")</f>
        <v>OK</v>
      </c>
    </row>
    <row r="90" spans="1:10" x14ac:dyDescent="0.25">
      <c r="A90" s="48">
        <v>2</v>
      </c>
      <c r="B90" s="9" t="s">
        <v>43</v>
      </c>
      <c r="C90" s="30">
        <f t="shared" si="53"/>
        <v>735.1326809400116</v>
      </c>
      <c r="D90" s="30">
        <f t="shared" si="54"/>
        <v>534.07075111026484</v>
      </c>
      <c r="E90" s="34">
        <f t="shared" si="55"/>
        <v>1.3404128655316451E-3</v>
      </c>
      <c r="F90" s="9">
        <f t="shared" si="56"/>
        <v>4.491774653064975E-3</v>
      </c>
      <c r="G90" s="9" t="str">
        <f t="shared" si="57"/>
        <v>OK</v>
      </c>
    </row>
    <row r="91" spans="1:10" x14ac:dyDescent="0.25">
      <c r="A91" s="49"/>
      <c r="B91" s="9" t="s">
        <v>44</v>
      </c>
      <c r="C91" s="30">
        <f t="shared" si="53"/>
        <v>735.1326809400116</v>
      </c>
      <c r="D91" s="30">
        <f t="shared" si="54"/>
        <v>534.07075111026484</v>
      </c>
      <c r="E91" s="34">
        <f t="shared" si="55"/>
        <v>1.3404128655316451E-3</v>
      </c>
      <c r="F91" s="9">
        <f t="shared" si="56"/>
        <v>4.491774653064975E-3</v>
      </c>
      <c r="G91" s="9" t="str">
        <f t="shared" si="57"/>
        <v>OK</v>
      </c>
    </row>
    <row r="92" spans="1:10" x14ac:dyDescent="0.25">
      <c r="A92" s="48">
        <v>3</v>
      </c>
      <c r="B92" s="9" t="s">
        <v>43</v>
      </c>
      <c r="C92" s="30">
        <f t="shared" si="53"/>
        <v>735.1326809400116</v>
      </c>
      <c r="D92" s="30">
        <f t="shared" si="54"/>
        <v>534.07075111026484</v>
      </c>
      <c r="E92" s="34">
        <f t="shared" si="55"/>
        <v>1.3404128655316451E-3</v>
      </c>
      <c r="F92" s="9">
        <f t="shared" si="56"/>
        <v>4.491774653064975E-3</v>
      </c>
      <c r="G92" s="9" t="str">
        <f t="shared" si="57"/>
        <v>OK</v>
      </c>
    </row>
    <row r="93" spans="1:10" x14ac:dyDescent="0.25">
      <c r="A93" s="49"/>
      <c r="B93" s="9" t="s">
        <v>44</v>
      </c>
      <c r="C93" s="30">
        <f t="shared" si="53"/>
        <v>534.07075111026484</v>
      </c>
      <c r="D93" s="30">
        <f t="shared" si="54"/>
        <v>534.07075111026484</v>
      </c>
      <c r="E93" s="34">
        <f t="shared" si="55"/>
        <v>0</v>
      </c>
      <c r="F93" s="9">
        <f t="shared" si="56"/>
        <v>4.491774653064975E-3</v>
      </c>
      <c r="G93" s="9" t="str">
        <f t="shared" si="57"/>
        <v>OK</v>
      </c>
    </row>
    <row r="94" spans="1:10" x14ac:dyDescent="0.25">
      <c r="A94" s="7" t="s">
        <v>38</v>
      </c>
      <c r="B94" s="26" t="s">
        <v>42</v>
      </c>
      <c r="C94" s="33" t="s">
        <v>15</v>
      </c>
      <c r="D94" s="33" t="s">
        <v>16</v>
      </c>
      <c r="E94" s="19" t="s">
        <v>81</v>
      </c>
    </row>
    <row r="95" spans="1:10" x14ac:dyDescent="0.25">
      <c r="A95" s="7" t="s">
        <v>40</v>
      </c>
      <c r="B95" s="27"/>
      <c r="C95" s="7" t="s">
        <v>6</v>
      </c>
      <c r="D95" s="7" t="s">
        <v>6</v>
      </c>
      <c r="E95" s="18" t="s">
        <v>27</v>
      </c>
    </row>
    <row r="96" spans="1:10" x14ac:dyDescent="0.25">
      <c r="A96" s="48">
        <v>1</v>
      </c>
      <c r="B96" s="9" t="s">
        <v>43</v>
      </c>
      <c r="C96" s="30">
        <f t="shared" ref="C96:C101" si="58">G11</f>
        <v>534.07075111026484</v>
      </c>
      <c r="D96" s="30">
        <f t="shared" ref="D96:D101" si="59">L11</f>
        <v>534.07075111026484</v>
      </c>
      <c r="E96" s="34">
        <f>(C96-D96)/($X$3*$X$4)</f>
        <v>0</v>
      </c>
      <c r="F96" s="9">
        <f>0.0018*$X$14/($B$84*1.86/1000*$X$6)</f>
        <v>4.491774653064975E-3</v>
      </c>
      <c r="G96" s="9" t="str">
        <f>IF(E96&lt;F96,"OK","NO")</f>
        <v>OK</v>
      </c>
    </row>
    <row r="97" spans="1:7" x14ac:dyDescent="0.25">
      <c r="A97" s="49"/>
      <c r="B97" s="9" t="s">
        <v>44</v>
      </c>
      <c r="C97" s="30">
        <f t="shared" si="58"/>
        <v>735.1326809400116</v>
      </c>
      <c r="D97" s="30">
        <f t="shared" si="59"/>
        <v>534.07075111026484</v>
      </c>
      <c r="E97" s="34">
        <f t="shared" ref="E97:E101" si="60">(C97-D97)/($X$3*$X$4)</f>
        <v>1.3404128655316451E-3</v>
      </c>
      <c r="F97" s="9">
        <f t="shared" ref="F97:F101" si="61">0.0018*$X$14/($B$84*1.86/1000*$X$6)</f>
        <v>4.491774653064975E-3</v>
      </c>
      <c r="G97" s="9" t="str">
        <f t="shared" ref="G97:G101" si="62">IF(E97&lt;F97,"OK","NO")</f>
        <v>OK</v>
      </c>
    </row>
    <row r="98" spans="1:7" x14ac:dyDescent="0.25">
      <c r="A98" s="48">
        <v>2</v>
      </c>
      <c r="B98" s="9" t="s">
        <v>43</v>
      </c>
      <c r="C98" s="30">
        <f t="shared" si="58"/>
        <v>735.1326809400116</v>
      </c>
      <c r="D98" s="30">
        <f t="shared" si="59"/>
        <v>534.07075111026484</v>
      </c>
      <c r="E98" s="34">
        <f t="shared" si="60"/>
        <v>1.3404128655316451E-3</v>
      </c>
      <c r="F98" s="9">
        <f t="shared" si="61"/>
        <v>4.491774653064975E-3</v>
      </c>
      <c r="G98" s="9" t="str">
        <f t="shared" si="62"/>
        <v>OK</v>
      </c>
    </row>
    <row r="99" spans="1:7" x14ac:dyDescent="0.25">
      <c r="A99" s="49"/>
      <c r="B99" s="9" t="s">
        <v>44</v>
      </c>
      <c r="C99" s="30">
        <f t="shared" si="58"/>
        <v>735.1326809400116</v>
      </c>
      <c r="D99" s="30">
        <f t="shared" si="59"/>
        <v>534.07075111026484</v>
      </c>
      <c r="E99" s="34">
        <f t="shared" si="60"/>
        <v>1.3404128655316451E-3</v>
      </c>
      <c r="F99" s="9">
        <f t="shared" si="61"/>
        <v>4.491774653064975E-3</v>
      </c>
      <c r="G99" s="9" t="str">
        <f t="shared" si="62"/>
        <v>OK</v>
      </c>
    </row>
    <row r="100" spans="1:7" x14ac:dyDescent="0.25">
      <c r="A100" s="48">
        <v>3</v>
      </c>
      <c r="B100" s="9" t="s">
        <v>43</v>
      </c>
      <c r="C100" s="30">
        <f t="shared" si="58"/>
        <v>735.1326809400116</v>
      </c>
      <c r="D100" s="30">
        <f t="shared" si="59"/>
        <v>534.07075111026484</v>
      </c>
      <c r="E100" s="34">
        <f t="shared" si="60"/>
        <v>1.3404128655316451E-3</v>
      </c>
      <c r="F100" s="9">
        <f t="shared" si="61"/>
        <v>4.491774653064975E-3</v>
      </c>
      <c r="G100" s="9" t="str">
        <f t="shared" si="62"/>
        <v>OK</v>
      </c>
    </row>
    <row r="101" spans="1:7" x14ac:dyDescent="0.25">
      <c r="A101" s="49"/>
      <c r="B101" s="9" t="s">
        <v>44</v>
      </c>
      <c r="C101" s="30">
        <f t="shared" si="58"/>
        <v>534.07075111026484</v>
      </c>
      <c r="D101" s="30">
        <f t="shared" si="59"/>
        <v>534.07075111026484</v>
      </c>
      <c r="E101" s="34">
        <f t="shared" si="60"/>
        <v>0</v>
      </c>
      <c r="F101" s="9">
        <f t="shared" si="61"/>
        <v>4.491774653064975E-3</v>
      </c>
      <c r="G101" s="9" t="str">
        <f t="shared" si="62"/>
        <v>OK</v>
      </c>
    </row>
    <row r="102" spans="1:7" x14ac:dyDescent="0.25">
      <c r="A102" s="7" t="s">
        <v>66</v>
      </c>
      <c r="B102" s="26" t="s">
        <v>42</v>
      </c>
      <c r="C102" s="33" t="s">
        <v>15</v>
      </c>
      <c r="D102" s="33" t="s">
        <v>16</v>
      </c>
      <c r="E102" s="19" t="s">
        <v>81</v>
      </c>
    </row>
    <row r="103" spans="1:7" x14ac:dyDescent="0.25">
      <c r="A103" s="7" t="s">
        <v>40</v>
      </c>
      <c r="B103" s="27"/>
      <c r="C103" s="7" t="s">
        <v>6</v>
      </c>
      <c r="D103" s="7" t="s">
        <v>6</v>
      </c>
      <c r="E103" s="18" t="s">
        <v>27</v>
      </c>
    </row>
    <row r="104" spans="1:7" x14ac:dyDescent="0.25">
      <c r="A104" s="48">
        <v>1</v>
      </c>
      <c r="B104" s="9" t="s">
        <v>43</v>
      </c>
      <c r="C104" s="30">
        <f t="shared" ref="C104:C109" si="63">G19</f>
        <v>534.07075111026484</v>
      </c>
      <c r="D104" s="30">
        <f t="shared" ref="D104:D109" si="64">L19</f>
        <v>534.07075111026484</v>
      </c>
      <c r="E104" s="34">
        <f>(C104-D104)/($X$3*$X$4)</f>
        <v>0</v>
      </c>
      <c r="F104" s="9">
        <f>0.0018*$X$14/($B$84*1.86/1000*$X$6)</f>
        <v>4.491774653064975E-3</v>
      </c>
      <c r="G104" s="9" t="str">
        <f>IF(E104&lt;F104,"OK","NO")</f>
        <v>OK</v>
      </c>
    </row>
    <row r="105" spans="1:7" x14ac:dyDescent="0.25">
      <c r="A105" s="49"/>
      <c r="B105" s="9" t="s">
        <v>44</v>
      </c>
      <c r="C105" s="30">
        <f t="shared" si="63"/>
        <v>1017.8760197630929</v>
      </c>
      <c r="D105" s="30">
        <f t="shared" si="64"/>
        <v>534.07075111026484</v>
      </c>
      <c r="E105" s="34">
        <f t="shared" ref="E105:E109" si="65">(C105-D105)/($X$3*$X$4)</f>
        <v>3.2253684576855207E-3</v>
      </c>
      <c r="F105" s="9">
        <f t="shared" ref="F105:F109" si="66">0.0018*$X$14/($B$84*1.86/1000*$X$6)</f>
        <v>4.491774653064975E-3</v>
      </c>
      <c r="G105" s="9" t="str">
        <f t="shared" ref="G105:G109" si="67">IF(E105&lt;F105,"OK","NO")</f>
        <v>OK</v>
      </c>
    </row>
    <row r="106" spans="1:7" x14ac:dyDescent="0.25">
      <c r="A106" s="48">
        <v>2</v>
      </c>
      <c r="B106" s="9" t="s">
        <v>43</v>
      </c>
      <c r="C106" s="30">
        <f t="shared" si="63"/>
        <v>1017.8760197630929</v>
      </c>
      <c r="D106" s="30">
        <f t="shared" si="64"/>
        <v>534.07075111026484</v>
      </c>
      <c r="E106" s="34">
        <f t="shared" si="65"/>
        <v>3.2253684576855207E-3</v>
      </c>
      <c r="F106" s="9">
        <f t="shared" si="66"/>
        <v>4.491774653064975E-3</v>
      </c>
      <c r="G106" s="9" t="str">
        <f t="shared" si="67"/>
        <v>OK</v>
      </c>
    </row>
    <row r="107" spans="1:7" x14ac:dyDescent="0.25">
      <c r="A107" s="49"/>
      <c r="B107" s="9" t="s">
        <v>44</v>
      </c>
      <c r="C107" s="30">
        <f t="shared" si="63"/>
        <v>1017.8760197630929</v>
      </c>
      <c r="D107" s="30">
        <f t="shared" si="64"/>
        <v>534.07075111026484</v>
      </c>
      <c r="E107" s="34">
        <f t="shared" si="65"/>
        <v>3.2253684576855207E-3</v>
      </c>
      <c r="F107" s="9">
        <f t="shared" si="66"/>
        <v>4.491774653064975E-3</v>
      </c>
      <c r="G107" s="9" t="str">
        <f t="shared" si="67"/>
        <v>OK</v>
      </c>
    </row>
    <row r="108" spans="1:7" x14ac:dyDescent="0.25">
      <c r="A108" s="48">
        <v>3</v>
      </c>
      <c r="B108" s="9" t="s">
        <v>43</v>
      </c>
      <c r="C108" s="30">
        <f t="shared" si="63"/>
        <v>1017.8760197630929</v>
      </c>
      <c r="D108" s="30">
        <f t="shared" si="64"/>
        <v>534.07075111026484</v>
      </c>
      <c r="E108" s="34">
        <f t="shared" si="65"/>
        <v>3.2253684576855207E-3</v>
      </c>
      <c r="F108" s="9">
        <f t="shared" si="66"/>
        <v>4.491774653064975E-3</v>
      </c>
      <c r="G108" s="9" t="str">
        <f t="shared" si="67"/>
        <v>OK</v>
      </c>
    </row>
    <row r="109" spans="1:7" x14ac:dyDescent="0.25">
      <c r="A109" s="49"/>
      <c r="B109" s="9" t="s">
        <v>44</v>
      </c>
      <c r="C109" s="30">
        <f t="shared" si="63"/>
        <v>534.07075111026484</v>
      </c>
      <c r="D109" s="30">
        <f t="shared" si="64"/>
        <v>534.07075111026484</v>
      </c>
      <c r="E109" s="34">
        <f t="shared" si="65"/>
        <v>0</v>
      </c>
      <c r="F109" s="9">
        <f t="shared" si="66"/>
        <v>4.491774653064975E-3</v>
      </c>
      <c r="G109" s="9" t="str">
        <f t="shared" si="67"/>
        <v>OK</v>
      </c>
    </row>
  </sheetData>
  <mergeCells count="46">
    <mergeCell ref="A23:A24"/>
    <mergeCell ref="A13:A14"/>
    <mergeCell ref="A15:A16"/>
    <mergeCell ref="C17:G17"/>
    <mergeCell ref="H17:L17"/>
    <mergeCell ref="C1:G1"/>
    <mergeCell ref="H1:L1"/>
    <mergeCell ref="A21:A22"/>
    <mergeCell ref="A19:A20"/>
    <mergeCell ref="A11:A12"/>
    <mergeCell ref="B1:B2"/>
    <mergeCell ref="H9:L9"/>
    <mergeCell ref="A5:A6"/>
    <mergeCell ref="A7:A8"/>
    <mergeCell ref="A3:A4"/>
    <mergeCell ref="C9:G9"/>
    <mergeCell ref="A61:A62"/>
    <mergeCell ref="A63:A64"/>
    <mergeCell ref="A67:A68"/>
    <mergeCell ref="A26:H26"/>
    <mergeCell ref="A54:I54"/>
    <mergeCell ref="A30:A31"/>
    <mergeCell ref="A32:A33"/>
    <mergeCell ref="A34:A35"/>
    <mergeCell ref="A38:A39"/>
    <mergeCell ref="A59:A60"/>
    <mergeCell ref="A40:A41"/>
    <mergeCell ref="A42:A43"/>
    <mergeCell ref="A46:A47"/>
    <mergeCell ref="A48:A49"/>
    <mergeCell ref="A50:A51"/>
    <mergeCell ref="A83:J83"/>
    <mergeCell ref="A69:A70"/>
    <mergeCell ref="A71:A72"/>
    <mergeCell ref="A75:A76"/>
    <mergeCell ref="A77:A78"/>
    <mergeCell ref="A79:A80"/>
    <mergeCell ref="A108:A109"/>
    <mergeCell ref="A88:A89"/>
    <mergeCell ref="A90:A91"/>
    <mergeCell ref="A92:A93"/>
    <mergeCell ref="A100:A101"/>
    <mergeCell ref="A96:A97"/>
    <mergeCell ref="A98:A99"/>
    <mergeCell ref="A104:A105"/>
    <mergeCell ref="A106:A107"/>
  </mergeCells>
  <conditionalFormatting sqref="J59:J80">
    <cfRule type="cellIs" dxfId="1" priority="1" operator="equal">
      <formula>"OK"</formula>
    </cfRule>
    <cfRule type="cellIs" dxfId="0" priority="2" operator="equal">
      <formula>"="</formula>
    </cfRule>
  </conditionalFormatting>
  <pageMargins left="0.7" right="0.7" top="0.75" bottom="0.75" header="0.3" footer="0.3"/>
  <pageSetup paperSize="9" scale="2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EA9C-C23E-4155-9DEF-E5E6F70A3117}">
  <dimension ref="A1:W50"/>
  <sheetViews>
    <sheetView zoomScale="66" zoomScaleNormal="66" workbookViewId="0">
      <selection activeCell="D3" sqref="D3"/>
    </sheetView>
  </sheetViews>
  <sheetFormatPr defaultRowHeight="15" x14ac:dyDescent="0.25"/>
  <cols>
    <col min="1" max="1" width="9.140625" style="1"/>
    <col min="2" max="2" width="11.42578125" style="1" customWidth="1"/>
    <col min="3" max="3" width="9.5703125" style="1" customWidth="1"/>
    <col min="4" max="4" width="9.42578125" style="1" customWidth="1"/>
    <col min="5" max="5" width="14.7109375" style="1" customWidth="1"/>
    <col min="6" max="6" width="9.85546875" style="1" customWidth="1"/>
    <col min="7" max="7" width="7.85546875" style="1" customWidth="1"/>
    <col min="8" max="8" width="13.28515625" style="1" customWidth="1"/>
    <col min="9" max="9" width="15.5703125" style="1" customWidth="1"/>
    <col min="10" max="10" width="6.42578125" style="1" customWidth="1"/>
    <col min="11" max="11" width="14.42578125" style="1" customWidth="1"/>
    <col min="12" max="12" width="6" style="1" customWidth="1"/>
    <col min="13" max="13" width="10.42578125" style="1" customWidth="1"/>
    <col min="14" max="14" width="12.42578125" style="1" customWidth="1"/>
    <col min="15" max="15" width="16.5703125" style="1" customWidth="1"/>
    <col min="16" max="24" width="9.140625" style="1"/>
    <col min="25" max="25" width="5" style="1" customWidth="1"/>
    <col min="26" max="26" width="14" style="1" customWidth="1"/>
    <col min="27" max="16384" width="9.140625" style="1"/>
  </cols>
  <sheetData>
    <row r="1" spans="1:23" x14ac:dyDescent="0.25">
      <c r="A1" s="7" t="s">
        <v>37</v>
      </c>
      <c r="B1" s="52" t="s">
        <v>42</v>
      </c>
      <c r="C1" s="58" t="s">
        <v>15</v>
      </c>
      <c r="D1" s="59"/>
      <c r="E1" s="60"/>
      <c r="F1" s="58" t="s">
        <v>16</v>
      </c>
      <c r="G1" s="59"/>
      <c r="H1" s="60"/>
      <c r="I1" s="7" t="s">
        <v>48</v>
      </c>
      <c r="J1" s="17"/>
      <c r="K1" s="7" t="s">
        <v>47</v>
      </c>
      <c r="N1" s="7" t="s">
        <v>11</v>
      </c>
      <c r="O1" s="7" t="s">
        <v>46</v>
      </c>
      <c r="Q1" s="14" t="s">
        <v>4</v>
      </c>
      <c r="R1" s="14"/>
      <c r="S1" s="14"/>
      <c r="U1" s="7" t="s">
        <v>0</v>
      </c>
      <c r="V1" s="7" t="s">
        <v>1</v>
      </c>
      <c r="W1" s="7" t="s">
        <v>13</v>
      </c>
    </row>
    <row r="2" spans="1:23" x14ac:dyDescent="0.25">
      <c r="A2" s="7" t="s">
        <v>40</v>
      </c>
      <c r="B2" s="53"/>
      <c r="C2" s="7" t="s">
        <v>25</v>
      </c>
      <c r="D2" s="7" t="s">
        <v>26</v>
      </c>
      <c r="E2" s="7" t="s">
        <v>41</v>
      </c>
      <c r="F2" s="7" t="s">
        <v>25</v>
      </c>
      <c r="G2" s="7" t="s">
        <v>26</v>
      </c>
      <c r="H2" s="7" t="s">
        <v>41</v>
      </c>
      <c r="I2" s="18" t="s">
        <v>27</v>
      </c>
      <c r="J2" s="17"/>
      <c r="K2" s="18" t="s">
        <v>27</v>
      </c>
      <c r="N2" s="7" t="s">
        <v>27</v>
      </c>
      <c r="O2" s="7" t="s">
        <v>27</v>
      </c>
      <c r="Q2" s="14" t="s">
        <v>5</v>
      </c>
      <c r="R2" s="14"/>
      <c r="S2" s="14"/>
      <c r="U2" s="7" t="s">
        <v>2</v>
      </c>
      <c r="V2" s="7" t="s">
        <v>2</v>
      </c>
      <c r="W2" s="7" t="s">
        <v>2</v>
      </c>
    </row>
    <row r="3" spans="1:23" x14ac:dyDescent="0.25">
      <c r="A3" s="51">
        <v>1</v>
      </c>
      <c r="B3" s="9" t="s">
        <v>43</v>
      </c>
      <c r="C3" s="9">
        <v>18</v>
      </c>
      <c r="D3" s="9">
        <v>4</v>
      </c>
      <c r="E3" s="10">
        <f t="shared" ref="E3:E8" si="0">C3^2/4*PI()*D3</f>
        <v>1017.8760197630929</v>
      </c>
      <c r="F3" s="9">
        <v>14</v>
      </c>
      <c r="G3" s="9">
        <v>3</v>
      </c>
      <c r="H3" s="10">
        <f t="shared" ref="H3:H8" si="1">F3^2/4*PI()*G3</f>
        <v>461.81412007769956</v>
      </c>
      <c r="I3" s="15">
        <f t="shared" ref="I3:I8" si="2">E3/($U$3*$V$3)</f>
        <v>6.7858401317539528E-3</v>
      </c>
      <c r="J3" s="16" t="str">
        <f>IF($N$3&lt;=I3,"OK","NO")</f>
        <v>OK</v>
      </c>
      <c r="K3" s="23">
        <f t="shared" ref="K3" si="3">H3/($U$3*$V$3)</f>
        <v>3.0787608005179972E-3</v>
      </c>
      <c r="L3" s="16" t="str">
        <f>IF(K3&gt;$N$3,"OK","NO")</f>
        <v>NO</v>
      </c>
      <c r="N3" s="24">
        <f>1.4/$R$5</f>
        <v>3.1111111111111109E-3</v>
      </c>
      <c r="O3" s="20">
        <f>3.5/$R$5</f>
        <v>7.7777777777777776E-3</v>
      </c>
      <c r="Q3" s="1" t="s">
        <v>0</v>
      </c>
      <c r="R3" s="1">
        <f>300</f>
        <v>300</v>
      </c>
      <c r="S3" s="1" t="s">
        <v>2</v>
      </c>
      <c r="U3" s="51">
        <v>300</v>
      </c>
      <c r="V3" s="51">
        <v>500</v>
      </c>
      <c r="W3" s="51">
        <f>V3-40</f>
        <v>460</v>
      </c>
    </row>
    <row r="4" spans="1:23" x14ac:dyDescent="0.25">
      <c r="A4" s="51"/>
      <c r="B4" s="9" t="s">
        <v>44</v>
      </c>
      <c r="C4" s="9">
        <v>18</v>
      </c>
      <c r="D4" s="9">
        <v>4</v>
      </c>
      <c r="E4" s="10">
        <f t="shared" si="0"/>
        <v>1017.8760197630929</v>
      </c>
      <c r="F4" s="9">
        <v>14</v>
      </c>
      <c r="G4" s="9">
        <v>6</v>
      </c>
      <c r="H4" s="10">
        <f t="shared" si="1"/>
        <v>923.62824015539911</v>
      </c>
      <c r="I4" s="15">
        <f t="shared" si="2"/>
        <v>6.7858401317539528E-3</v>
      </c>
      <c r="J4" s="16" t="str">
        <f t="shared" ref="J4:J8" si="4">IF($N$3&lt;=I4,"OK","NO")</f>
        <v>OK</v>
      </c>
      <c r="K4" s="15">
        <f t="shared" ref="K4:K8" si="5">H4/($U$3*$V$3)</f>
        <v>6.1575216010359944E-3</v>
      </c>
      <c r="L4" s="16" t="str">
        <f t="shared" ref="L4:L8" si="6">IF(K4&gt;$N$3,"OK","NO")</f>
        <v>OK</v>
      </c>
      <c r="N4" s="21"/>
      <c r="Q4" s="1" t="s">
        <v>1</v>
      </c>
      <c r="R4" s="1">
        <v>500</v>
      </c>
      <c r="S4" s="1" t="s">
        <v>2</v>
      </c>
      <c r="U4" s="51"/>
      <c r="V4" s="51"/>
      <c r="W4" s="51"/>
    </row>
    <row r="5" spans="1:23" x14ac:dyDescent="0.25">
      <c r="A5" s="51">
        <v>2</v>
      </c>
      <c r="B5" s="9" t="s">
        <v>45</v>
      </c>
      <c r="C5" s="9">
        <v>18</v>
      </c>
      <c r="D5" s="9">
        <v>4</v>
      </c>
      <c r="E5" s="10">
        <f t="shared" si="0"/>
        <v>1017.8760197630929</v>
      </c>
      <c r="F5" s="9">
        <v>14</v>
      </c>
      <c r="G5" s="9">
        <v>6</v>
      </c>
      <c r="H5" s="10">
        <f t="shared" si="1"/>
        <v>923.62824015539911</v>
      </c>
      <c r="I5" s="15">
        <f t="shared" si="2"/>
        <v>6.7858401317539528E-3</v>
      </c>
      <c r="J5" s="16" t="str">
        <f t="shared" si="4"/>
        <v>OK</v>
      </c>
      <c r="K5" s="15">
        <f t="shared" si="5"/>
        <v>6.1575216010359944E-3</v>
      </c>
      <c r="L5" s="16" t="str">
        <f t="shared" si="6"/>
        <v>OK</v>
      </c>
      <c r="N5" s="21"/>
      <c r="Q5" s="1" t="s">
        <v>10</v>
      </c>
      <c r="R5" s="1">
        <f>450</f>
        <v>450</v>
      </c>
      <c r="S5" s="1" t="s">
        <v>3</v>
      </c>
      <c r="U5" s="51">
        <v>300</v>
      </c>
      <c r="V5" s="51">
        <v>500</v>
      </c>
      <c r="W5" s="51">
        <f t="shared" ref="W5" si="7">V5-40</f>
        <v>460</v>
      </c>
    </row>
    <row r="6" spans="1:23" x14ac:dyDescent="0.25">
      <c r="A6" s="51"/>
      <c r="B6" s="9" t="s">
        <v>36</v>
      </c>
      <c r="C6" s="9">
        <v>14</v>
      </c>
      <c r="D6" s="9">
        <v>4</v>
      </c>
      <c r="E6" s="10">
        <f t="shared" si="0"/>
        <v>615.75216010359941</v>
      </c>
      <c r="F6" s="9">
        <v>14</v>
      </c>
      <c r="G6" s="9">
        <v>6</v>
      </c>
      <c r="H6" s="10">
        <f t="shared" si="1"/>
        <v>923.62824015539911</v>
      </c>
      <c r="I6" s="15">
        <f t="shared" si="2"/>
        <v>4.1050144006906627E-3</v>
      </c>
      <c r="J6" s="16" t="str">
        <f t="shared" si="4"/>
        <v>OK</v>
      </c>
      <c r="K6" s="15">
        <f t="shared" si="5"/>
        <v>6.1575216010359944E-3</v>
      </c>
      <c r="L6" s="16" t="str">
        <f t="shared" si="6"/>
        <v>OK</v>
      </c>
      <c r="N6" s="21"/>
      <c r="Q6" s="1" t="s">
        <v>7</v>
      </c>
      <c r="R6" s="3">
        <f>1.4/R5*R3*R4</f>
        <v>466.66666666666663</v>
      </c>
      <c r="S6" s="1" t="s">
        <v>6</v>
      </c>
      <c r="U6" s="51"/>
      <c r="V6" s="51"/>
      <c r="W6" s="51"/>
    </row>
    <row r="7" spans="1:23" x14ac:dyDescent="0.25">
      <c r="A7" s="51">
        <v>3</v>
      </c>
      <c r="B7" s="9" t="s">
        <v>43</v>
      </c>
      <c r="C7" s="9">
        <v>18</v>
      </c>
      <c r="D7" s="9">
        <v>4</v>
      </c>
      <c r="E7" s="10">
        <f t="shared" si="0"/>
        <v>1017.8760197630929</v>
      </c>
      <c r="F7" s="9">
        <v>14</v>
      </c>
      <c r="G7" s="9">
        <v>6</v>
      </c>
      <c r="H7" s="10">
        <f t="shared" si="1"/>
        <v>923.62824015539911</v>
      </c>
      <c r="I7" s="15">
        <f t="shared" si="2"/>
        <v>6.7858401317539528E-3</v>
      </c>
      <c r="J7" s="16" t="str">
        <f t="shared" si="4"/>
        <v>OK</v>
      </c>
      <c r="K7" s="15">
        <f t="shared" si="5"/>
        <v>6.1575216010359944E-3</v>
      </c>
      <c r="L7" s="16" t="str">
        <f t="shared" si="6"/>
        <v>OK</v>
      </c>
      <c r="N7" s="21"/>
      <c r="Q7" s="1" t="s">
        <v>8</v>
      </c>
      <c r="R7" s="3">
        <f>3.5/R5*R3*R4</f>
        <v>1166.6666666666667</v>
      </c>
      <c r="S7" s="1" t="s">
        <v>6</v>
      </c>
      <c r="U7" s="51">
        <v>300</v>
      </c>
      <c r="V7" s="51">
        <v>500</v>
      </c>
      <c r="W7" s="51">
        <f t="shared" ref="W7" si="8">V7-40</f>
        <v>460</v>
      </c>
    </row>
    <row r="8" spans="1:23" x14ac:dyDescent="0.25">
      <c r="A8" s="51"/>
      <c r="B8" s="9" t="s">
        <v>44</v>
      </c>
      <c r="C8" s="9">
        <v>18</v>
      </c>
      <c r="D8" s="9">
        <v>4</v>
      </c>
      <c r="E8" s="10">
        <f t="shared" si="0"/>
        <v>1017.8760197630929</v>
      </c>
      <c r="F8" s="9">
        <v>14</v>
      </c>
      <c r="G8" s="9">
        <v>4</v>
      </c>
      <c r="H8" s="10">
        <f t="shared" si="1"/>
        <v>615.75216010359941</v>
      </c>
      <c r="I8" s="15">
        <f t="shared" si="2"/>
        <v>6.7858401317539528E-3</v>
      </c>
      <c r="J8" s="16" t="str">
        <f t="shared" si="4"/>
        <v>OK</v>
      </c>
      <c r="K8" s="15">
        <f t="shared" si="5"/>
        <v>4.1050144006906627E-3</v>
      </c>
      <c r="L8" s="16" t="str">
        <f t="shared" si="6"/>
        <v>OK</v>
      </c>
      <c r="N8" s="21"/>
      <c r="Q8" s="1" t="s">
        <v>11</v>
      </c>
      <c r="R8" s="4">
        <f>R6/(R4*R3)</f>
        <v>3.1111111111111109E-3</v>
      </c>
      <c r="U8" s="51"/>
      <c r="V8" s="51"/>
      <c r="W8" s="51"/>
    </row>
    <row r="9" spans="1:23" x14ac:dyDescent="0.25">
      <c r="A9" s="7" t="s">
        <v>38</v>
      </c>
      <c r="B9" s="7" t="s">
        <v>14</v>
      </c>
      <c r="C9" s="58" t="s">
        <v>15</v>
      </c>
      <c r="D9" s="59"/>
      <c r="E9" s="60"/>
      <c r="F9" s="58" t="s">
        <v>16</v>
      </c>
      <c r="G9" s="59"/>
      <c r="H9" s="60"/>
      <c r="I9" s="19" t="s">
        <v>48</v>
      </c>
      <c r="J9" s="17"/>
      <c r="K9" s="19" t="s">
        <v>47</v>
      </c>
      <c r="N9" s="17"/>
      <c r="Q9" s="1" t="s">
        <v>9</v>
      </c>
      <c r="R9" s="5">
        <f>0.25*R8</f>
        <v>7.7777777777777773E-4</v>
      </c>
      <c r="U9" s="7" t="s">
        <v>0</v>
      </c>
      <c r="V9" s="7" t="s">
        <v>1</v>
      </c>
      <c r="W9" s="7" t="s">
        <v>13</v>
      </c>
    </row>
    <row r="10" spans="1:23" x14ac:dyDescent="0.25">
      <c r="A10" s="7" t="s">
        <v>40</v>
      </c>
      <c r="B10" s="7"/>
      <c r="C10" s="7" t="s">
        <v>25</v>
      </c>
      <c r="D10" s="7" t="s">
        <v>26</v>
      </c>
      <c r="E10" s="7" t="s">
        <v>41</v>
      </c>
      <c r="F10" s="7" t="s">
        <v>25</v>
      </c>
      <c r="G10" s="7" t="s">
        <v>26</v>
      </c>
      <c r="H10" s="7" t="s">
        <v>41</v>
      </c>
      <c r="I10" s="7" t="s">
        <v>27</v>
      </c>
      <c r="J10" s="17"/>
      <c r="K10" s="7" t="s">
        <v>27</v>
      </c>
      <c r="N10" s="17"/>
      <c r="Q10" s="1" t="s">
        <v>9</v>
      </c>
      <c r="R10" s="5">
        <f>0.5*R8</f>
        <v>1.5555555555555555E-3</v>
      </c>
      <c r="S10" s="6" t="s">
        <v>12</v>
      </c>
      <c r="U10" s="7" t="s">
        <v>2</v>
      </c>
      <c r="V10" s="7" t="s">
        <v>2</v>
      </c>
      <c r="W10" s="7" t="s">
        <v>2</v>
      </c>
    </row>
    <row r="11" spans="1:23" x14ac:dyDescent="0.25">
      <c r="A11" s="51">
        <v>1</v>
      </c>
      <c r="B11" s="9" t="s">
        <v>43</v>
      </c>
      <c r="C11" s="9">
        <v>18</v>
      </c>
      <c r="D11" s="9">
        <v>4</v>
      </c>
      <c r="E11" s="10">
        <f t="shared" ref="E11:E16" si="9">C11^2/4*PI()*D11</f>
        <v>1017.8760197630929</v>
      </c>
      <c r="F11" s="9">
        <v>14</v>
      </c>
      <c r="G11" s="9">
        <v>4</v>
      </c>
      <c r="H11" s="10">
        <f t="shared" ref="H11:H16" si="10">F11^2/4*PI()*G11</f>
        <v>615.75216010359941</v>
      </c>
      <c r="I11" s="15">
        <f t="shared" ref="I11:I16" si="11">E11/($U$3*$V$3)</f>
        <v>6.7858401317539528E-3</v>
      </c>
      <c r="J11" s="16" t="str">
        <f>IF($N$3&lt;=I11,"OK","NO")</f>
        <v>OK</v>
      </c>
      <c r="K11" s="15">
        <f t="shared" ref="K11:K16" si="12">H11/($U$3*$V$3)</f>
        <v>4.1050144006906627E-3</v>
      </c>
      <c r="L11" s="16" t="str">
        <f>IF($N$3&lt;=K11,"OK","NO")</f>
        <v>OK</v>
      </c>
      <c r="N11" s="21"/>
      <c r="U11" s="51">
        <v>300</v>
      </c>
      <c r="V11" s="51">
        <v>500</v>
      </c>
      <c r="W11" s="51">
        <f>V11-40</f>
        <v>460</v>
      </c>
    </row>
    <row r="12" spans="1:23" x14ac:dyDescent="0.25">
      <c r="A12" s="51"/>
      <c r="B12" s="9" t="s">
        <v>44</v>
      </c>
      <c r="C12" s="9">
        <v>18</v>
      </c>
      <c r="D12" s="9">
        <v>4</v>
      </c>
      <c r="E12" s="10">
        <f t="shared" si="9"/>
        <v>1017.8760197630929</v>
      </c>
      <c r="F12" s="9">
        <v>18</v>
      </c>
      <c r="G12" s="9">
        <v>3</v>
      </c>
      <c r="H12" s="10">
        <f t="shared" si="10"/>
        <v>763.40701482231975</v>
      </c>
      <c r="I12" s="15">
        <f t="shared" si="11"/>
        <v>6.7858401317539528E-3</v>
      </c>
      <c r="J12" s="16" t="str">
        <f t="shared" ref="J12:J16" si="13">IF($N$3&lt;=I12,"OK","NO")</f>
        <v>OK</v>
      </c>
      <c r="K12" s="15">
        <f t="shared" si="12"/>
        <v>5.0893800988154646E-3</v>
      </c>
      <c r="L12" s="16" t="str">
        <f t="shared" ref="L12:L16" si="14">IF($N$3&lt;=K12,"OK","NO")</f>
        <v>OK</v>
      </c>
      <c r="N12" s="21"/>
      <c r="R12" s="1">
        <f>269*1000^2/(0.9*W3*391)</f>
        <v>1661.7863276375454</v>
      </c>
      <c r="U12" s="51"/>
      <c r="V12" s="51"/>
      <c r="W12" s="51"/>
    </row>
    <row r="13" spans="1:23" x14ac:dyDescent="0.25">
      <c r="A13" s="51">
        <v>2</v>
      </c>
      <c r="B13" s="9" t="s">
        <v>45</v>
      </c>
      <c r="C13" s="9">
        <v>18</v>
      </c>
      <c r="D13" s="9">
        <v>4</v>
      </c>
      <c r="E13" s="10">
        <f t="shared" si="9"/>
        <v>1017.8760197630929</v>
      </c>
      <c r="F13" s="9">
        <v>18</v>
      </c>
      <c r="G13" s="9">
        <v>3</v>
      </c>
      <c r="H13" s="10">
        <f t="shared" si="10"/>
        <v>763.40701482231975</v>
      </c>
      <c r="I13" s="15">
        <f t="shared" si="11"/>
        <v>6.7858401317539528E-3</v>
      </c>
      <c r="J13" s="16" t="str">
        <f t="shared" si="13"/>
        <v>OK</v>
      </c>
      <c r="K13" s="15">
        <f t="shared" si="12"/>
        <v>5.0893800988154646E-3</v>
      </c>
      <c r="L13" s="16" t="str">
        <f t="shared" si="14"/>
        <v>OK</v>
      </c>
      <c r="N13" s="21"/>
      <c r="U13" s="51">
        <v>300</v>
      </c>
      <c r="V13" s="51">
        <v>500</v>
      </c>
      <c r="W13" s="51">
        <f t="shared" ref="W13" si="15">V13-40</f>
        <v>460</v>
      </c>
    </row>
    <row r="14" spans="1:23" x14ac:dyDescent="0.25">
      <c r="A14" s="51"/>
      <c r="B14" s="9" t="s">
        <v>36</v>
      </c>
      <c r="C14" s="9">
        <v>14</v>
      </c>
      <c r="D14" s="9">
        <v>4</v>
      </c>
      <c r="E14" s="10">
        <f t="shared" si="9"/>
        <v>615.75216010359941</v>
      </c>
      <c r="F14" s="9">
        <v>18</v>
      </c>
      <c r="G14" s="9">
        <v>3</v>
      </c>
      <c r="H14" s="10">
        <f t="shared" si="10"/>
        <v>763.40701482231975</v>
      </c>
      <c r="I14" s="15">
        <f t="shared" si="11"/>
        <v>4.1050144006906627E-3</v>
      </c>
      <c r="J14" s="16" t="str">
        <f t="shared" si="13"/>
        <v>OK</v>
      </c>
      <c r="K14" s="15">
        <f t="shared" si="12"/>
        <v>5.0893800988154646E-3</v>
      </c>
      <c r="L14" s="16" t="str">
        <f t="shared" si="14"/>
        <v>OK</v>
      </c>
      <c r="N14" s="21"/>
      <c r="U14" s="51"/>
      <c r="V14" s="51"/>
      <c r="W14" s="51"/>
    </row>
    <row r="15" spans="1:23" x14ac:dyDescent="0.25">
      <c r="A15" s="51">
        <v>3</v>
      </c>
      <c r="B15" s="9" t="s">
        <v>43</v>
      </c>
      <c r="C15" s="9">
        <v>18</v>
      </c>
      <c r="D15" s="9">
        <v>4</v>
      </c>
      <c r="E15" s="10">
        <f t="shared" si="9"/>
        <v>1017.8760197630929</v>
      </c>
      <c r="F15" s="9">
        <v>18</v>
      </c>
      <c r="G15" s="9">
        <v>3</v>
      </c>
      <c r="H15" s="10">
        <f t="shared" si="10"/>
        <v>763.40701482231975</v>
      </c>
      <c r="I15" s="15">
        <f t="shared" si="11"/>
        <v>6.7858401317539528E-3</v>
      </c>
      <c r="J15" s="16" t="str">
        <f t="shared" si="13"/>
        <v>OK</v>
      </c>
      <c r="K15" s="15">
        <f t="shared" si="12"/>
        <v>5.0893800988154646E-3</v>
      </c>
      <c r="L15" s="16" t="str">
        <f t="shared" si="14"/>
        <v>OK</v>
      </c>
      <c r="N15" s="21"/>
      <c r="U15" s="51">
        <v>300</v>
      </c>
      <c r="V15" s="51">
        <v>500</v>
      </c>
      <c r="W15" s="51">
        <f t="shared" ref="W15" si="16">V15-40</f>
        <v>460</v>
      </c>
    </row>
    <row r="16" spans="1:23" x14ac:dyDescent="0.25">
      <c r="A16" s="51"/>
      <c r="B16" s="9" t="s">
        <v>44</v>
      </c>
      <c r="C16" s="9">
        <v>18</v>
      </c>
      <c r="D16" s="9">
        <v>4</v>
      </c>
      <c r="E16" s="10">
        <f t="shared" si="9"/>
        <v>1017.8760197630929</v>
      </c>
      <c r="F16" s="9">
        <v>14</v>
      </c>
      <c r="G16" s="9">
        <v>4</v>
      </c>
      <c r="H16" s="10">
        <f t="shared" si="10"/>
        <v>615.75216010359941</v>
      </c>
      <c r="I16" s="15">
        <f t="shared" si="11"/>
        <v>6.7858401317539528E-3</v>
      </c>
      <c r="J16" s="16" t="str">
        <f t="shared" si="13"/>
        <v>OK</v>
      </c>
      <c r="K16" s="15">
        <f t="shared" si="12"/>
        <v>4.1050144006906627E-3</v>
      </c>
      <c r="L16" s="16" t="str">
        <f t="shared" si="14"/>
        <v>OK</v>
      </c>
      <c r="N16" s="21"/>
      <c r="U16" s="51"/>
      <c r="V16" s="51"/>
      <c r="W16" s="51"/>
    </row>
    <row r="17" spans="1:23" x14ac:dyDescent="0.25">
      <c r="A17" s="7" t="s">
        <v>39</v>
      </c>
      <c r="B17" s="7" t="s">
        <v>14</v>
      </c>
      <c r="C17" s="58" t="s">
        <v>15</v>
      </c>
      <c r="D17" s="59"/>
      <c r="E17" s="60"/>
      <c r="F17" s="58" t="s">
        <v>16</v>
      </c>
      <c r="G17" s="59"/>
      <c r="H17" s="60"/>
      <c r="I17" s="19" t="s">
        <v>48</v>
      </c>
      <c r="J17" s="17"/>
      <c r="K17" s="19" t="s">
        <v>47</v>
      </c>
      <c r="L17" s="2"/>
      <c r="N17" s="17"/>
      <c r="U17" s="7" t="s">
        <v>0</v>
      </c>
      <c r="V17" s="7" t="s">
        <v>1</v>
      </c>
      <c r="W17" s="7" t="s">
        <v>13</v>
      </c>
    </row>
    <row r="18" spans="1:23" x14ac:dyDescent="0.25">
      <c r="A18" s="7" t="s">
        <v>40</v>
      </c>
      <c r="B18" s="7"/>
      <c r="C18" s="7" t="s">
        <v>25</v>
      </c>
      <c r="D18" s="7" t="s">
        <v>26</v>
      </c>
      <c r="E18" s="7" t="s">
        <v>41</v>
      </c>
      <c r="F18" s="7" t="s">
        <v>25</v>
      </c>
      <c r="G18" s="7" t="s">
        <v>26</v>
      </c>
      <c r="H18" s="7" t="s">
        <v>41</v>
      </c>
      <c r="I18" s="7" t="s">
        <v>27</v>
      </c>
      <c r="J18" s="17"/>
      <c r="K18" s="7" t="s">
        <v>27</v>
      </c>
      <c r="L18" s="2"/>
      <c r="N18" s="17"/>
      <c r="U18" s="7" t="s">
        <v>2</v>
      </c>
      <c r="V18" s="7" t="s">
        <v>2</v>
      </c>
      <c r="W18" s="7" t="s">
        <v>2</v>
      </c>
    </row>
    <row r="19" spans="1:23" x14ac:dyDescent="0.25">
      <c r="A19" s="51">
        <v>1</v>
      </c>
      <c r="B19" s="9" t="s">
        <v>43</v>
      </c>
      <c r="C19" s="9">
        <v>14</v>
      </c>
      <c r="D19" s="9">
        <v>4</v>
      </c>
      <c r="E19" s="10">
        <f t="shared" ref="E19:E24" si="17">C19^2/4*PI()*D19</f>
        <v>615.75216010359941</v>
      </c>
      <c r="F19" s="9">
        <v>14</v>
      </c>
      <c r="G19" s="9">
        <v>4</v>
      </c>
      <c r="H19" s="10">
        <f t="shared" ref="H19:H24" si="18">F19^2/4*PI()*G19</f>
        <v>615.75216010359941</v>
      </c>
      <c r="I19" s="15">
        <f t="shared" ref="I19:I24" si="19">E19/($U$3*$V$3)</f>
        <v>4.1050144006906627E-3</v>
      </c>
      <c r="J19" s="16" t="str">
        <f>IF($N$3&lt;=I19,"OK","NO")</f>
        <v>OK</v>
      </c>
      <c r="K19" s="15">
        <f t="shared" ref="K19:K24" si="20">H19/($U$3*$V$3)</f>
        <v>4.1050144006906627E-3</v>
      </c>
      <c r="L19" s="16" t="str">
        <f>IF($N$3&lt;=K19,"OK","NO")</f>
        <v>OK</v>
      </c>
      <c r="N19" s="21"/>
      <c r="U19" s="51">
        <v>300</v>
      </c>
      <c r="V19" s="51">
        <v>500</v>
      </c>
      <c r="W19" s="51">
        <f>V19-40</f>
        <v>460</v>
      </c>
    </row>
    <row r="20" spans="1:23" x14ac:dyDescent="0.25">
      <c r="A20" s="51"/>
      <c r="B20" s="9" t="s">
        <v>44</v>
      </c>
      <c r="C20" s="9">
        <v>18</v>
      </c>
      <c r="D20" s="9">
        <v>4</v>
      </c>
      <c r="E20" s="10">
        <f t="shared" si="17"/>
        <v>1017.8760197630929</v>
      </c>
      <c r="F20" s="9">
        <v>14</v>
      </c>
      <c r="G20" s="9">
        <v>6</v>
      </c>
      <c r="H20" s="10">
        <f t="shared" si="18"/>
        <v>923.62824015539911</v>
      </c>
      <c r="I20" s="15">
        <f t="shared" si="19"/>
        <v>6.7858401317539528E-3</v>
      </c>
      <c r="J20" s="16" t="str">
        <f t="shared" ref="J20:J24" si="21">IF($N$3&lt;=I20,"OK","NO")</f>
        <v>OK</v>
      </c>
      <c r="K20" s="15">
        <f t="shared" si="20"/>
        <v>6.1575216010359944E-3</v>
      </c>
      <c r="L20" s="16" t="str">
        <f t="shared" ref="L20:L24" si="22">IF($N$3&lt;=K20,"OK","NO")</f>
        <v>OK</v>
      </c>
      <c r="N20" s="21"/>
      <c r="U20" s="51"/>
      <c r="V20" s="51"/>
      <c r="W20" s="51"/>
    </row>
    <row r="21" spans="1:23" x14ac:dyDescent="0.25">
      <c r="A21" s="51">
        <v>2</v>
      </c>
      <c r="B21" s="9" t="s">
        <v>45</v>
      </c>
      <c r="C21" s="9">
        <v>18</v>
      </c>
      <c r="D21" s="9">
        <v>4</v>
      </c>
      <c r="E21" s="10">
        <f t="shared" si="17"/>
        <v>1017.8760197630929</v>
      </c>
      <c r="F21" s="9">
        <v>14</v>
      </c>
      <c r="G21" s="9">
        <v>6</v>
      </c>
      <c r="H21" s="10">
        <f t="shared" si="18"/>
        <v>923.62824015539911</v>
      </c>
      <c r="I21" s="15">
        <f t="shared" si="19"/>
        <v>6.7858401317539528E-3</v>
      </c>
      <c r="J21" s="16" t="str">
        <f t="shared" si="21"/>
        <v>OK</v>
      </c>
      <c r="K21" s="15">
        <f t="shared" si="20"/>
        <v>6.1575216010359944E-3</v>
      </c>
      <c r="L21" s="16" t="str">
        <f t="shared" si="22"/>
        <v>OK</v>
      </c>
      <c r="N21" s="21"/>
      <c r="U21" s="51">
        <v>300</v>
      </c>
      <c r="V21" s="51">
        <v>500</v>
      </c>
      <c r="W21" s="51">
        <f t="shared" ref="W21" si="23">V21-40</f>
        <v>460</v>
      </c>
    </row>
    <row r="22" spans="1:23" x14ac:dyDescent="0.25">
      <c r="A22" s="51"/>
      <c r="B22" s="9" t="s">
        <v>36</v>
      </c>
      <c r="C22" s="9">
        <v>18</v>
      </c>
      <c r="D22" s="9">
        <v>4</v>
      </c>
      <c r="E22" s="10">
        <f t="shared" si="17"/>
        <v>1017.8760197630929</v>
      </c>
      <c r="F22" s="9">
        <v>14</v>
      </c>
      <c r="G22" s="9">
        <v>6</v>
      </c>
      <c r="H22" s="10">
        <f t="shared" si="18"/>
        <v>923.62824015539911</v>
      </c>
      <c r="I22" s="15">
        <f t="shared" si="19"/>
        <v>6.7858401317539528E-3</v>
      </c>
      <c r="J22" s="16" t="str">
        <f t="shared" si="21"/>
        <v>OK</v>
      </c>
      <c r="K22" s="15">
        <f t="shared" si="20"/>
        <v>6.1575216010359944E-3</v>
      </c>
      <c r="L22" s="16" t="str">
        <f t="shared" si="22"/>
        <v>OK</v>
      </c>
      <c r="N22" s="21"/>
      <c r="U22" s="51"/>
      <c r="V22" s="51"/>
      <c r="W22" s="51"/>
    </row>
    <row r="23" spans="1:23" x14ac:dyDescent="0.25">
      <c r="A23" s="51">
        <v>3</v>
      </c>
      <c r="B23" s="9" t="s">
        <v>43</v>
      </c>
      <c r="C23" s="9">
        <v>18</v>
      </c>
      <c r="D23" s="9">
        <v>4</v>
      </c>
      <c r="E23" s="10">
        <f t="shared" si="17"/>
        <v>1017.8760197630929</v>
      </c>
      <c r="F23" s="9">
        <v>14</v>
      </c>
      <c r="G23" s="9">
        <v>6</v>
      </c>
      <c r="H23" s="10">
        <f t="shared" si="18"/>
        <v>923.62824015539911</v>
      </c>
      <c r="I23" s="15">
        <f t="shared" si="19"/>
        <v>6.7858401317539528E-3</v>
      </c>
      <c r="J23" s="16" t="str">
        <f t="shared" si="21"/>
        <v>OK</v>
      </c>
      <c r="K23" s="15">
        <f t="shared" si="20"/>
        <v>6.1575216010359944E-3</v>
      </c>
      <c r="L23" s="16" t="str">
        <f t="shared" si="22"/>
        <v>OK</v>
      </c>
      <c r="N23" s="21"/>
      <c r="U23" s="51">
        <v>300</v>
      </c>
      <c r="V23" s="51">
        <v>500</v>
      </c>
      <c r="W23" s="51">
        <f t="shared" ref="W23" si="24">V23-40</f>
        <v>460</v>
      </c>
    </row>
    <row r="24" spans="1:23" x14ac:dyDescent="0.25">
      <c r="A24" s="51"/>
      <c r="B24" s="9" t="s">
        <v>44</v>
      </c>
      <c r="C24" s="9">
        <v>14</v>
      </c>
      <c r="D24" s="9">
        <v>4</v>
      </c>
      <c r="E24" s="10">
        <f t="shared" si="17"/>
        <v>615.75216010359941</v>
      </c>
      <c r="F24" s="9">
        <v>14</v>
      </c>
      <c r="G24" s="9">
        <v>4</v>
      </c>
      <c r="H24" s="10">
        <f t="shared" si="18"/>
        <v>615.75216010359941</v>
      </c>
      <c r="I24" s="15">
        <f t="shared" si="19"/>
        <v>4.1050144006906627E-3</v>
      </c>
      <c r="J24" s="16" t="str">
        <f t="shared" si="21"/>
        <v>OK</v>
      </c>
      <c r="K24" s="15">
        <f t="shared" si="20"/>
        <v>4.1050144006906627E-3</v>
      </c>
      <c r="L24" s="16" t="str">
        <f t="shared" si="22"/>
        <v>OK</v>
      </c>
      <c r="N24" s="21"/>
      <c r="U24" s="51"/>
      <c r="V24" s="51"/>
      <c r="W24" s="51"/>
    </row>
    <row r="26" spans="1:23" ht="23.25" x14ac:dyDescent="0.35">
      <c r="A26" s="57" t="s">
        <v>50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</row>
    <row r="27" spans="1:23" x14ac:dyDescent="0.25">
      <c r="A27" s="7" t="s">
        <v>37</v>
      </c>
      <c r="B27" s="52" t="s">
        <v>42</v>
      </c>
      <c r="C27" s="58" t="s">
        <v>15</v>
      </c>
      <c r="D27" s="59"/>
      <c r="E27" s="60"/>
      <c r="F27" s="58" t="s">
        <v>16</v>
      </c>
      <c r="G27" s="59"/>
      <c r="H27" s="60"/>
      <c r="I27" s="7" t="s">
        <v>48</v>
      </c>
      <c r="J27" s="17"/>
      <c r="K27" s="7" t="s">
        <v>47</v>
      </c>
      <c r="L27" s="2"/>
    </row>
    <row r="28" spans="1:23" x14ac:dyDescent="0.25">
      <c r="A28" s="7" t="s">
        <v>40</v>
      </c>
      <c r="B28" s="53"/>
      <c r="C28" s="7" t="s">
        <v>25</v>
      </c>
      <c r="D28" s="7" t="s">
        <v>26</v>
      </c>
      <c r="E28" s="7" t="s">
        <v>41</v>
      </c>
      <c r="F28" s="7" t="s">
        <v>25</v>
      </c>
      <c r="G28" s="7" t="s">
        <v>26</v>
      </c>
      <c r="H28" s="7" t="s">
        <v>41</v>
      </c>
      <c r="I28" s="18" t="s">
        <v>27</v>
      </c>
      <c r="J28" s="17"/>
      <c r="K28" s="18" t="s">
        <v>27</v>
      </c>
      <c r="L28" s="2"/>
    </row>
    <row r="29" spans="1:23" x14ac:dyDescent="0.25">
      <c r="A29" s="51">
        <v>1</v>
      </c>
      <c r="B29" s="9" t="s">
        <v>43</v>
      </c>
      <c r="C29" s="9">
        <v>14</v>
      </c>
      <c r="D29" s="9">
        <v>4</v>
      </c>
      <c r="E29" s="10">
        <f t="shared" ref="E29:E34" si="25">C29^2/4*PI()*D29</f>
        <v>615.75216010359941</v>
      </c>
      <c r="F29" s="9">
        <v>14</v>
      </c>
      <c r="G29" s="9">
        <v>4</v>
      </c>
      <c r="H29" s="10">
        <f t="shared" ref="H29:H34" si="26">F29^2/4*PI()*G29</f>
        <v>615.75216010359941</v>
      </c>
      <c r="I29" s="15">
        <f t="shared" ref="I29:I34" si="27">E29/($U$3*$V$3)</f>
        <v>4.1050144006906627E-3</v>
      </c>
      <c r="J29" s="16" t="str">
        <f>IF($N$3&lt;=I29,"OK","NO")</f>
        <v>OK</v>
      </c>
      <c r="K29" s="15">
        <f t="shared" ref="K29:K34" si="28">H29/($U$3*$V$3)</f>
        <v>4.1050144006906627E-3</v>
      </c>
      <c r="L29" s="16" t="str">
        <f>IF($N$3&lt;=K29,"OK","NO")</f>
        <v>OK</v>
      </c>
    </row>
    <row r="30" spans="1:23" x14ac:dyDescent="0.25">
      <c r="A30" s="51"/>
      <c r="B30" s="9" t="s">
        <v>44</v>
      </c>
      <c r="C30" s="9">
        <v>14</v>
      </c>
      <c r="D30" s="9">
        <v>4</v>
      </c>
      <c r="E30" s="10">
        <f t="shared" si="25"/>
        <v>615.75216010359941</v>
      </c>
      <c r="F30" s="9">
        <v>14</v>
      </c>
      <c r="G30" s="9">
        <v>4</v>
      </c>
      <c r="H30" s="10">
        <f t="shared" si="26"/>
        <v>615.75216010359941</v>
      </c>
      <c r="I30" s="15">
        <f t="shared" si="27"/>
        <v>4.1050144006906627E-3</v>
      </c>
      <c r="J30" s="16" t="str">
        <f t="shared" ref="J30:J34" si="29">IF($N$3&lt;=I30,"OK","NO")</f>
        <v>OK</v>
      </c>
      <c r="K30" s="15">
        <f t="shared" si="28"/>
        <v>4.1050144006906627E-3</v>
      </c>
      <c r="L30" s="16" t="str">
        <f t="shared" ref="L30:L34" si="30">IF($N$3&lt;=K30,"OK","NO")</f>
        <v>OK</v>
      </c>
    </row>
    <row r="31" spans="1:23" x14ac:dyDescent="0.25">
      <c r="A31" s="51">
        <v>2</v>
      </c>
      <c r="B31" s="9" t="s">
        <v>45</v>
      </c>
      <c r="C31" s="9">
        <v>14</v>
      </c>
      <c r="D31" s="9">
        <v>4</v>
      </c>
      <c r="E31" s="10">
        <f t="shared" si="25"/>
        <v>615.75216010359941</v>
      </c>
      <c r="F31" s="9">
        <v>14</v>
      </c>
      <c r="G31" s="9">
        <v>4</v>
      </c>
      <c r="H31" s="10">
        <f t="shared" si="26"/>
        <v>615.75216010359941</v>
      </c>
      <c r="I31" s="15">
        <f t="shared" si="27"/>
        <v>4.1050144006906627E-3</v>
      </c>
      <c r="J31" s="16" t="str">
        <f t="shared" si="29"/>
        <v>OK</v>
      </c>
      <c r="K31" s="15">
        <f t="shared" si="28"/>
        <v>4.1050144006906627E-3</v>
      </c>
      <c r="L31" s="16" t="str">
        <f t="shared" si="30"/>
        <v>OK</v>
      </c>
    </row>
    <row r="32" spans="1:23" x14ac:dyDescent="0.25">
      <c r="A32" s="51"/>
      <c r="B32" s="9" t="s">
        <v>36</v>
      </c>
      <c r="C32" s="9">
        <v>14</v>
      </c>
      <c r="D32" s="9">
        <v>4</v>
      </c>
      <c r="E32" s="10">
        <f t="shared" si="25"/>
        <v>615.75216010359941</v>
      </c>
      <c r="F32" s="9">
        <v>14</v>
      </c>
      <c r="G32" s="9">
        <v>4</v>
      </c>
      <c r="H32" s="10">
        <f t="shared" si="26"/>
        <v>615.75216010359941</v>
      </c>
      <c r="I32" s="15">
        <f t="shared" si="27"/>
        <v>4.1050144006906627E-3</v>
      </c>
      <c r="J32" s="16" t="str">
        <f t="shared" si="29"/>
        <v>OK</v>
      </c>
      <c r="K32" s="15">
        <f t="shared" si="28"/>
        <v>4.1050144006906627E-3</v>
      </c>
      <c r="L32" s="16" t="str">
        <f t="shared" si="30"/>
        <v>OK</v>
      </c>
    </row>
    <row r="33" spans="1:14" x14ac:dyDescent="0.25">
      <c r="A33" s="51">
        <v>3</v>
      </c>
      <c r="B33" s="9" t="s">
        <v>43</v>
      </c>
      <c r="C33" s="9">
        <v>14</v>
      </c>
      <c r="D33" s="9">
        <v>4</v>
      </c>
      <c r="E33" s="10">
        <f t="shared" si="25"/>
        <v>615.75216010359941</v>
      </c>
      <c r="F33" s="9">
        <v>14</v>
      </c>
      <c r="G33" s="9">
        <v>4</v>
      </c>
      <c r="H33" s="10">
        <f t="shared" si="26"/>
        <v>615.75216010359941</v>
      </c>
      <c r="I33" s="15">
        <f t="shared" si="27"/>
        <v>4.1050144006906627E-3</v>
      </c>
      <c r="J33" s="16" t="str">
        <f t="shared" si="29"/>
        <v>OK</v>
      </c>
      <c r="K33" s="15">
        <f t="shared" si="28"/>
        <v>4.1050144006906627E-3</v>
      </c>
      <c r="L33" s="16" t="str">
        <f t="shared" si="30"/>
        <v>OK</v>
      </c>
    </row>
    <row r="34" spans="1:14" x14ac:dyDescent="0.25">
      <c r="A34" s="51"/>
      <c r="B34" s="9" t="s">
        <v>44</v>
      </c>
      <c r="C34" s="9">
        <v>14</v>
      </c>
      <c r="D34" s="9">
        <v>4</v>
      </c>
      <c r="E34" s="10">
        <f t="shared" si="25"/>
        <v>615.75216010359941</v>
      </c>
      <c r="F34" s="9">
        <v>14</v>
      </c>
      <c r="G34" s="9">
        <v>4</v>
      </c>
      <c r="H34" s="10">
        <f t="shared" si="26"/>
        <v>615.75216010359941</v>
      </c>
      <c r="I34" s="15">
        <f t="shared" si="27"/>
        <v>4.1050144006906627E-3</v>
      </c>
      <c r="J34" s="16" t="str">
        <f t="shared" si="29"/>
        <v>OK</v>
      </c>
      <c r="K34" s="15">
        <f t="shared" si="28"/>
        <v>4.1050144006906627E-3</v>
      </c>
      <c r="L34" s="16" t="str">
        <f t="shared" si="30"/>
        <v>OK</v>
      </c>
    </row>
    <row r="35" spans="1:14" x14ac:dyDescent="0.25">
      <c r="A35" s="7" t="s">
        <v>38</v>
      </c>
      <c r="B35" s="7" t="s">
        <v>14</v>
      </c>
      <c r="C35" s="58" t="s">
        <v>15</v>
      </c>
      <c r="D35" s="59"/>
      <c r="E35" s="60"/>
      <c r="F35" s="58" t="s">
        <v>16</v>
      </c>
      <c r="G35" s="59"/>
      <c r="H35" s="60"/>
      <c r="I35" s="19" t="s">
        <v>48</v>
      </c>
      <c r="J35" s="17"/>
      <c r="K35" s="19" t="s">
        <v>47</v>
      </c>
      <c r="L35" s="2"/>
    </row>
    <row r="36" spans="1:14" x14ac:dyDescent="0.25">
      <c r="A36" s="7" t="s">
        <v>40</v>
      </c>
      <c r="B36" s="7"/>
      <c r="C36" s="7" t="s">
        <v>25</v>
      </c>
      <c r="D36" s="7" t="s">
        <v>26</v>
      </c>
      <c r="E36" s="7" t="s">
        <v>41</v>
      </c>
      <c r="F36" s="7" t="s">
        <v>25</v>
      </c>
      <c r="G36" s="7" t="s">
        <v>26</v>
      </c>
      <c r="H36" s="7" t="s">
        <v>41</v>
      </c>
      <c r="I36" s="7" t="s">
        <v>27</v>
      </c>
      <c r="J36" s="17"/>
      <c r="K36" s="7" t="s">
        <v>27</v>
      </c>
      <c r="L36" s="2"/>
    </row>
    <row r="37" spans="1:14" x14ac:dyDescent="0.25">
      <c r="A37" s="51">
        <v>1</v>
      </c>
      <c r="B37" s="9" t="s">
        <v>43</v>
      </c>
      <c r="C37" s="9">
        <v>18</v>
      </c>
      <c r="D37" s="9">
        <v>3</v>
      </c>
      <c r="E37" s="10">
        <f t="shared" ref="E37:E42" si="31">C37^2/4*PI()*D37</f>
        <v>763.40701482231975</v>
      </c>
      <c r="F37" s="9">
        <v>14</v>
      </c>
      <c r="G37" s="9">
        <v>4</v>
      </c>
      <c r="H37" s="10">
        <f t="shared" ref="H37:H42" si="32">F37^2/4*PI()*G37</f>
        <v>615.75216010359941</v>
      </c>
      <c r="I37" s="15">
        <f t="shared" ref="I37:I42" si="33">E37/($U$3*$V$3)</f>
        <v>5.0893800988154646E-3</v>
      </c>
      <c r="J37" s="16" t="str">
        <f>IF($N$3&lt;=I37,"OK","NO")</f>
        <v>OK</v>
      </c>
      <c r="K37" s="15">
        <f t="shared" ref="K37:K42" si="34">H37/($U$3*$V$3)</f>
        <v>4.1050144006906627E-3</v>
      </c>
      <c r="L37" s="16" t="str">
        <f>IF($N$3&lt;=K37,"OK","NO")</f>
        <v>OK</v>
      </c>
    </row>
    <row r="38" spans="1:14" x14ac:dyDescent="0.25">
      <c r="A38" s="51"/>
      <c r="B38" s="9" t="s">
        <v>44</v>
      </c>
      <c r="C38" s="9">
        <v>18</v>
      </c>
      <c r="D38" s="9">
        <v>3</v>
      </c>
      <c r="E38" s="10">
        <f t="shared" si="31"/>
        <v>763.40701482231975</v>
      </c>
      <c r="F38" s="9">
        <v>14</v>
      </c>
      <c r="G38" s="9">
        <v>4</v>
      </c>
      <c r="H38" s="10">
        <f t="shared" si="32"/>
        <v>615.75216010359941</v>
      </c>
      <c r="I38" s="15">
        <f t="shared" si="33"/>
        <v>5.0893800988154646E-3</v>
      </c>
      <c r="J38" s="16" t="str">
        <f t="shared" ref="J38:J42" si="35">IF($N$3&lt;=I38,"OK","NO")</f>
        <v>OK</v>
      </c>
      <c r="K38" s="15">
        <f t="shared" si="34"/>
        <v>4.1050144006906627E-3</v>
      </c>
      <c r="L38" s="16" t="str">
        <f t="shared" ref="L38:L42" si="36">IF($N$3&lt;=K38,"OK","NO")</f>
        <v>OK</v>
      </c>
      <c r="N38" s="1" t="s">
        <v>53</v>
      </c>
    </row>
    <row r="39" spans="1:14" x14ac:dyDescent="0.25">
      <c r="A39" s="51">
        <v>2</v>
      </c>
      <c r="B39" s="9" t="s">
        <v>45</v>
      </c>
      <c r="C39" s="9">
        <v>18</v>
      </c>
      <c r="D39" s="9">
        <v>3</v>
      </c>
      <c r="E39" s="10">
        <f t="shared" si="31"/>
        <v>763.40701482231975</v>
      </c>
      <c r="F39" s="9">
        <v>18</v>
      </c>
      <c r="G39" s="9">
        <v>3</v>
      </c>
      <c r="H39" s="10">
        <f t="shared" si="32"/>
        <v>763.40701482231975</v>
      </c>
      <c r="I39" s="15">
        <f t="shared" si="33"/>
        <v>5.0893800988154646E-3</v>
      </c>
      <c r="J39" s="16" t="str">
        <f t="shared" si="35"/>
        <v>OK</v>
      </c>
      <c r="K39" s="15">
        <f t="shared" si="34"/>
        <v>5.0893800988154646E-3</v>
      </c>
      <c r="L39" s="16" t="str">
        <f t="shared" si="36"/>
        <v>OK</v>
      </c>
    </row>
    <row r="40" spans="1:14" x14ac:dyDescent="0.25">
      <c r="A40" s="51"/>
      <c r="B40" s="9" t="s">
        <v>36</v>
      </c>
      <c r="C40" s="9">
        <v>14</v>
      </c>
      <c r="D40" s="9">
        <v>4</v>
      </c>
      <c r="E40" s="10">
        <f t="shared" si="31"/>
        <v>615.75216010359941</v>
      </c>
      <c r="F40" s="9">
        <v>18</v>
      </c>
      <c r="G40" s="9">
        <v>3</v>
      </c>
      <c r="H40" s="10">
        <f t="shared" si="32"/>
        <v>763.40701482231975</v>
      </c>
      <c r="I40" s="15">
        <f t="shared" si="33"/>
        <v>4.1050144006906627E-3</v>
      </c>
      <c r="J40" s="16" t="str">
        <f t="shared" si="35"/>
        <v>OK</v>
      </c>
      <c r="K40" s="15">
        <f t="shared" si="34"/>
        <v>5.0893800988154646E-3</v>
      </c>
      <c r="L40" s="16" t="str">
        <f t="shared" si="36"/>
        <v>OK</v>
      </c>
    </row>
    <row r="41" spans="1:14" x14ac:dyDescent="0.25">
      <c r="A41" s="51">
        <v>3</v>
      </c>
      <c r="B41" s="9" t="s">
        <v>43</v>
      </c>
      <c r="C41" s="9">
        <v>18</v>
      </c>
      <c r="D41" s="9">
        <v>3</v>
      </c>
      <c r="E41" s="10">
        <f t="shared" si="31"/>
        <v>763.40701482231975</v>
      </c>
      <c r="F41" s="9">
        <v>18</v>
      </c>
      <c r="G41" s="9">
        <v>3</v>
      </c>
      <c r="H41" s="10">
        <f t="shared" si="32"/>
        <v>763.40701482231975</v>
      </c>
      <c r="I41" s="15">
        <f t="shared" si="33"/>
        <v>5.0893800988154646E-3</v>
      </c>
      <c r="J41" s="16" t="str">
        <f t="shared" si="35"/>
        <v>OK</v>
      </c>
      <c r="K41" s="15">
        <f t="shared" si="34"/>
        <v>5.0893800988154646E-3</v>
      </c>
      <c r="L41" s="16" t="str">
        <f t="shared" si="36"/>
        <v>OK</v>
      </c>
    </row>
    <row r="42" spans="1:14" x14ac:dyDescent="0.25">
      <c r="A42" s="51"/>
      <c r="B42" s="9" t="s">
        <v>44</v>
      </c>
      <c r="C42" s="9">
        <v>18</v>
      </c>
      <c r="D42" s="9">
        <v>3</v>
      </c>
      <c r="E42" s="10">
        <f t="shared" si="31"/>
        <v>763.40701482231975</v>
      </c>
      <c r="F42" s="9">
        <v>14</v>
      </c>
      <c r="G42" s="9">
        <v>4</v>
      </c>
      <c r="H42" s="10">
        <f t="shared" si="32"/>
        <v>615.75216010359941</v>
      </c>
      <c r="I42" s="15">
        <f t="shared" si="33"/>
        <v>5.0893800988154646E-3</v>
      </c>
      <c r="J42" s="16" t="str">
        <f t="shared" si="35"/>
        <v>OK</v>
      </c>
      <c r="K42" s="15">
        <f t="shared" si="34"/>
        <v>4.1050144006906627E-3</v>
      </c>
      <c r="L42" s="16" t="str">
        <f t="shared" si="36"/>
        <v>OK</v>
      </c>
    </row>
    <row r="43" spans="1:14" x14ac:dyDescent="0.25">
      <c r="A43" s="7" t="s">
        <v>39</v>
      </c>
      <c r="B43" s="7" t="s">
        <v>14</v>
      </c>
      <c r="C43" s="58" t="s">
        <v>15</v>
      </c>
      <c r="D43" s="59"/>
      <c r="E43" s="60"/>
      <c r="F43" s="58" t="s">
        <v>16</v>
      </c>
      <c r="G43" s="59"/>
      <c r="H43" s="60"/>
      <c r="I43" s="19" t="s">
        <v>48</v>
      </c>
      <c r="J43" s="17"/>
      <c r="K43" s="19" t="s">
        <v>47</v>
      </c>
      <c r="L43" s="2"/>
    </row>
    <row r="44" spans="1:14" x14ac:dyDescent="0.25">
      <c r="A44" s="7" t="s">
        <v>40</v>
      </c>
      <c r="B44" s="7"/>
      <c r="C44" s="7" t="s">
        <v>25</v>
      </c>
      <c r="D44" s="7" t="s">
        <v>26</v>
      </c>
      <c r="E44" s="7" t="s">
        <v>41</v>
      </c>
      <c r="F44" s="7" t="s">
        <v>25</v>
      </c>
      <c r="G44" s="7" t="s">
        <v>26</v>
      </c>
      <c r="H44" s="7" t="s">
        <v>41</v>
      </c>
      <c r="I44" s="7" t="s">
        <v>27</v>
      </c>
      <c r="J44" s="17"/>
      <c r="K44" s="7" t="s">
        <v>27</v>
      </c>
      <c r="L44" s="2"/>
    </row>
    <row r="45" spans="1:14" x14ac:dyDescent="0.25">
      <c r="A45" s="51">
        <v>1</v>
      </c>
      <c r="B45" s="9" t="s">
        <v>43</v>
      </c>
      <c r="C45" s="9">
        <v>18</v>
      </c>
      <c r="D45" s="9">
        <v>3</v>
      </c>
      <c r="E45" s="10">
        <f t="shared" ref="E45:E50" si="37">C45^2/4*PI()*D45</f>
        <v>763.40701482231975</v>
      </c>
      <c r="F45" s="9">
        <v>14</v>
      </c>
      <c r="G45" s="9">
        <v>4</v>
      </c>
      <c r="H45" s="10">
        <f t="shared" ref="H45:H50" si="38">F45^2/4*PI()*G45</f>
        <v>615.75216010359941</v>
      </c>
      <c r="I45" s="15">
        <f t="shared" ref="I45:I50" si="39">E45/($U$3*$V$3)</f>
        <v>5.0893800988154646E-3</v>
      </c>
      <c r="J45" s="16" t="str">
        <f>IF($N$3&lt;=I45,"OK","NO")</f>
        <v>OK</v>
      </c>
      <c r="K45" s="15">
        <f t="shared" ref="K45:K50" si="40">H45/($U$3*$V$3)</f>
        <v>4.1050144006906627E-3</v>
      </c>
      <c r="L45" s="16" t="str">
        <f>IF($N$3&lt;=K45,"OK","NO")</f>
        <v>OK</v>
      </c>
    </row>
    <row r="46" spans="1:14" x14ac:dyDescent="0.25">
      <c r="A46" s="51"/>
      <c r="B46" s="9" t="s">
        <v>44</v>
      </c>
      <c r="C46" s="9">
        <v>18</v>
      </c>
      <c r="D46" s="9">
        <v>3</v>
      </c>
      <c r="E46" s="10">
        <f t="shared" si="37"/>
        <v>763.40701482231975</v>
      </c>
      <c r="F46" s="9">
        <v>14</v>
      </c>
      <c r="G46" s="9">
        <v>4</v>
      </c>
      <c r="H46" s="10">
        <f t="shared" si="38"/>
        <v>615.75216010359941</v>
      </c>
      <c r="I46" s="15">
        <f t="shared" si="39"/>
        <v>5.0893800988154646E-3</v>
      </c>
      <c r="J46" s="16" t="str">
        <f t="shared" ref="J46:J50" si="41">IF($N$3&lt;=I46,"OK","NO")</f>
        <v>OK</v>
      </c>
      <c r="K46" s="15">
        <f t="shared" si="40"/>
        <v>4.1050144006906627E-3</v>
      </c>
      <c r="L46" s="16" t="str">
        <f t="shared" ref="L46:L50" si="42">IF($N$3&lt;=K46,"OK","NO")</f>
        <v>OK</v>
      </c>
    </row>
    <row r="47" spans="1:14" x14ac:dyDescent="0.25">
      <c r="A47" s="51">
        <v>2</v>
      </c>
      <c r="B47" s="9" t="s">
        <v>45</v>
      </c>
      <c r="C47" s="9">
        <v>18</v>
      </c>
      <c r="D47" s="9">
        <v>3</v>
      </c>
      <c r="E47" s="10">
        <f t="shared" si="37"/>
        <v>763.40701482231975</v>
      </c>
      <c r="F47" s="9">
        <v>14</v>
      </c>
      <c r="G47" s="9">
        <v>4</v>
      </c>
      <c r="H47" s="10">
        <f t="shared" si="38"/>
        <v>615.75216010359941</v>
      </c>
      <c r="I47" s="15">
        <f t="shared" si="39"/>
        <v>5.0893800988154646E-3</v>
      </c>
      <c r="J47" s="16" t="str">
        <f t="shared" si="41"/>
        <v>OK</v>
      </c>
      <c r="K47" s="15">
        <f t="shared" si="40"/>
        <v>4.1050144006906627E-3</v>
      </c>
      <c r="L47" s="16" t="str">
        <f t="shared" si="42"/>
        <v>OK</v>
      </c>
    </row>
    <row r="48" spans="1:14" x14ac:dyDescent="0.25">
      <c r="A48" s="51"/>
      <c r="B48" s="9" t="s">
        <v>36</v>
      </c>
      <c r="C48" s="9">
        <v>14</v>
      </c>
      <c r="D48" s="9">
        <v>4</v>
      </c>
      <c r="E48" s="10">
        <f t="shared" si="37"/>
        <v>615.75216010359941</v>
      </c>
      <c r="F48" s="9">
        <v>14</v>
      </c>
      <c r="G48" s="9">
        <v>4</v>
      </c>
      <c r="H48" s="10">
        <f t="shared" si="38"/>
        <v>615.75216010359941</v>
      </c>
      <c r="I48" s="15">
        <f t="shared" si="39"/>
        <v>4.1050144006906627E-3</v>
      </c>
      <c r="J48" s="16" t="str">
        <f t="shared" si="41"/>
        <v>OK</v>
      </c>
      <c r="K48" s="15">
        <f t="shared" si="40"/>
        <v>4.1050144006906627E-3</v>
      </c>
      <c r="L48" s="16" t="str">
        <f t="shared" si="42"/>
        <v>OK</v>
      </c>
    </row>
    <row r="49" spans="1:12" x14ac:dyDescent="0.25">
      <c r="A49" s="51">
        <v>3</v>
      </c>
      <c r="B49" s="9" t="s">
        <v>43</v>
      </c>
      <c r="C49" s="9">
        <v>18</v>
      </c>
      <c r="D49" s="9">
        <v>3</v>
      </c>
      <c r="E49" s="10">
        <f t="shared" si="37"/>
        <v>763.40701482231975</v>
      </c>
      <c r="F49" s="9">
        <v>14</v>
      </c>
      <c r="G49" s="9">
        <v>4</v>
      </c>
      <c r="H49" s="10">
        <f t="shared" si="38"/>
        <v>615.75216010359941</v>
      </c>
      <c r="I49" s="15">
        <f t="shared" si="39"/>
        <v>5.0893800988154646E-3</v>
      </c>
      <c r="J49" s="16" t="str">
        <f t="shared" si="41"/>
        <v>OK</v>
      </c>
      <c r="K49" s="15">
        <f t="shared" si="40"/>
        <v>4.1050144006906627E-3</v>
      </c>
      <c r="L49" s="16" t="str">
        <f t="shared" si="42"/>
        <v>OK</v>
      </c>
    </row>
    <row r="50" spans="1:12" x14ac:dyDescent="0.25">
      <c r="A50" s="51"/>
      <c r="B50" s="9" t="s">
        <v>44</v>
      </c>
      <c r="C50" s="9">
        <v>18</v>
      </c>
      <c r="D50" s="9">
        <v>3</v>
      </c>
      <c r="E50" s="10">
        <f t="shared" si="37"/>
        <v>763.40701482231975</v>
      </c>
      <c r="F50" s="9">
        <v>14</v>
      </c>
      <c r="G50" s="9">
        <v>4</v>
      </c>
      <c r="H50" s="10">
        <f t="shared" si="38"/>
        <v>615.75216010359941</v>
      </c>
      <c r="I50" s="15">
        <f t="shared" si="39"/>
        <v>5.0893800988154646E-3</v>
      </c>
      <c r="J50" s="16" t="str">
        <f t="shared" si="41"/>
        <v>OK</v>
      </c>
      <c r="K50" s="15">
        <f t="shared" si="40"/>
        <v>4.1050144006906627E-3</v>
      </c>
      <c r="L50" s="16" t="str">
        <f t="shared" si="42"/>
        <v>OK</v>
      </c>
    </row>
  </sheetData>
  <mergeCells count="60">
    <mergeCell ref="A49:A50"/>
    <mergeCell ref="A26:K26"/>
    <mergeCell ref="A41:A42"/>
    <mergeCell ref="C43:E43"/>
    <mergeCell ref="F43:H43"/>
    <mergeCell ref="A45:A46"/>
    <mergeCell ref="A47:A48"/>
    <mergeCell ref="A33:A34"/>
    <mergeCell ref="C35:E35"/>
    <mergeCell ref="F35:H35"/>
    <mergeCell ref="A37:A38"/>
    <mergeCell ref="A39:A40"/>
    <mergeCell ref="B27:B28"/>
    <mergeCell ref="C27:E27"/>
    <mergeCell ref="F27:H27"/>
    <mergeCell ref="A29:A30"/>
    <mergeCell ref="W21:W22"/>
    <mergeCell ref="A23:A24"/>
    <mergeCell ref="U23:U24"/>
    <mergeCell ref="V23:V24"/>
    <mergeCell ref="W23:W24"/>
    <mergeCell ref="F17:H17"/>
    <mergeCell ref="A19:A20"/>
    <mergeCell ref="U19:U20"/>
    <mergeCell ref="V19:V20"/>
    <mergeCell ref="A31:A32"/>
    <mergeCell ref="A21:A22"/>
    <mergeCell ref="U21:U22"/>
    <mergeCell ref="V21:V22"/>
    <mergeCell ref="W19:W20"/>
    <mergeCell ref="C9:E9"/>
    <mergeCell ref="F9:H9"/>
    <mergeCell ref="A11:A12"/>
    <mergeCell ref="A13:A14"/>
    <mergeCell ref="A15:A16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C17:E17"/>
    <mergeCell ref="A7:A8"/>
    <mergeCell ref="W7:W8"/>
    <mergeCell ref="V7:V8"/>
    <mergeCell ref="U7:U8"/>
    <mergeCell ref="F1:H1"/>
    <mergeCell ref="A5:A6"/>
    <mergeCell ref="U5:U6"/>
    <mergeCell ref="V5:V6"/>
    <mergeCell ref="W5:W6"/>
    <mergeCell ref="C1:E1"/>
    <mergeCell ref="B1:B2"/>
    <mergeCell ref="A3:A4"/>
    <mergeCell ref="U3:U4"/>
    <mergeCell ref="V3:V4"/>
    <mergeCell ref="W3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SLU</vt:lpstr>
      <vt:lpstr>TAGLIO SLV (trave spessore) </vt:lpstr>
      <vt:lpstr>TAGLIO SLV (trave esterna)</vt:lpstr>
      <vt:lpstr>TAGLIO SLV (P1-P2) </vt:lpstr>
      <vt:lpstr>TAGLIO SLV (P3)</vt:lpstr>
      <vt:lpstr>TAGLIO SLV (copertura)</vt:lpstr>
      <vt:lpstr>SLV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2020-01-13T20:54:57Z</cp:lastPrinted>
  <dcterms:created xsi:type="dcterms:W3CDTF">2019-09-30T07:44:13Z</dcterms:created>
  <dcterms:modified xsi:type="dcterms:W3CDTF">2020-01-13T21:23:31Z</dcterms:modified>
</cp:coreProperties>
</file>