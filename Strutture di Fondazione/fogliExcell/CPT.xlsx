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5CC7B585-F618-4D50-BA93-FD4E5085451E}" xr6:coauthVersionLast="31" xr6:coauthVersionMax="31" xr10:uidLastSave="{00000000-0000-0000-0000-000000000000}"/>
  <bookViews>
    <workbookView xWindow="120" yWindow="15" windowWidth="18960" windowHeight="11325" activeTab="4" xr2:uid="{00000000-000D-0000-FFFF-FFFF00000000}"/>
  </bookViews>
  <sheets>
    <sheet name="CPT1" sheetId="2" r:id="rId1"/>
    <sheet name="CPT2" sheetId="3" r:id="rId2"/>
    <sheet name="CPT1_1" sheetId="7" r:id="rId3"/>
    <sheet name="CPT2_2" sheetId="8" r:id="rId4"/>
    <sheet name="Vs30" sheetId="10" r:id="rId5"/>
  </sheets>
  <calcPr calcId="179017" concurrentCalc="0"/>
</workbook>
</file>

<file path=xl/calcChain.xml><?xml version="1.0" encoding="utf-8"?>
<calcChain xmlns="http://schemas.openxmlformats.org/spreadsheetml/2006/main">
  <c r="G31" i="10" l="1"/>
  <c r="H31" i="10"/>
  <c r="G32" i="10"/>
  <c r="H32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39" i="10"/>
  <c r="H39" i="10"/>
  <c r="G40" i="10"/>
  <c r="H40" i="10"/>
  <c r="G41" i="10"/>
  <c r="H41" i="10"/>
  <c r="G42" i="10"/>
  <c r="H42" i="10"/>
  <c r="G43" i="10"/>
  <c r="H43" i="10"/>
  <c r="G44" i="10"/>
  <c r="H44" i="10"/>
  <c r="G45" i="10"/>
  <c r="H45" i="10"/>
  <c r="G46" i="10"/>
  <c r="H46" i="10"/>
  <c r="G47" i="10"/>
  <c r="H47" i="10"/>
  <c r="G48" i="10"/>
  <c r="H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G55" i="10"/>
  <c r="H55" i="10"/>
  <c r="G56" i="10"/>
  <c r="H56" i="10"/>
  <c r="G57" i="10"/>
  <c r="H57" i="10"/>
  <c r="G58" i="10"/>
  <c r="H58" i="10"/>
  <c r="G59" i="10"/>
  <c r="H59" i="10"/>
  <c r="G60" i="10"/>
  <c r="H60" i="10"/>
  <c r="H30" i="10"/>
  <c r="G30" i="10"/>
  <c r="G17" i="10"/>
  <c r="H17" i="10"/>
  <c r="G18" i="10"/>
  <c r="H18" i="10"/>
  <c r="G19" i="10"/>
  <c r="H19" i="10"/>
  <c r="G20" i="10"/>
  <c r="H20" i="10"/>
  <c r="G21" i="10"/>
  <c r="H21" i="10"/>
  <c r="G22" i="10"/>
  <c r="H22" i="10"/>
  <c r="G23" i="10"/>
  <c r="H23" i="10"/>
  <c r="G24" i="10"/>
  <c r="H24" i="10"/>
  <c r="G25" i="10"/>
  <c r="H25" i="10"/>
  <c r="G26" i="10"/>
  <c r="H26" i="10"/>
  <c r="G27" i="10"/>
  <c r="H27" i="10"/>
  <c r="G28" i="10"/>
  <c r="H28" i="10"/>
  <c r="G29" i="10"/>
  <c r="H29" i="10"/>
  <c r="H16" i="10"/>
  <c r="G16" i="10"/>
  <c r="E17" i="10"/>
  <c r="F17" i="10"/>
  <c r="E18" i="10"/>
  <c r="F18" i="10"/>
  <c r="E19" i="10"/>
  <c r="F19" i="10"/>
  <c r="E20" i="10"/>
  <c r="F20" i="10"/>
  <c r="E21" i="10"/>
  <c r="F21" i="10"/>
  <c r="E22" i="10"/>
  <c r="F22" i="10"/>
  <c r="E23" i="10"/>
  <c r="F23" i="10"/>
  <c r="E24" i="10"/>
  <c r="F24" i="10"/>
  <c r="E25" i="10"/>
  <c r="F25" i="10"/>
  <c r="E26" i="10"/>
  <c r="F26" i="10"/>
  <c r="E27" i="10"/>
  <c r="F27" i="10"/>
  <c r="E28" i="10"/>
  <c r="F28" i="10"/>
  <c r="E29" i="10"/>
  <c r="F29" i="10"/>
  <c r="E30" i="10"/>
  <c r="F30" i="10"/>
  <c r="E31" i="10"/>
  <c r="F31" i="10"/>
  <c r="E32" i="10"/>
  <c r="F32" i="10"/>
  <c r="E33" i="10"/>
  <c r="F33" i="10"/>
  <c r="E34" i="10"/>
  <c r="F34" i="10"/>
  <c r="E35" i="10"/>
  <c r="F35" i="10"/>
  <c r="E36" i="10"/>
  <c r="F36" i="10"/>
  <c r="E37" i="10"/>
  <c r="F37" i="10"/>
  <c r="E38" i="10"/>
  <c r="F38" i="10"/>
  <c r="E39" i="10"/>
  <c r="F39" i="10"/>
  <c r="E40" i="10"/>
  <c r="F40" i="10"/>
  <c r="E41" i="10"/>
  <c r="F41" i="10"/>
  <c r="E42" i="10"/>
  <c r="F42" i="10"/>
  <c r="E43" i="10"/>
  <c r="F43" i="10"/>
  <c r="E44" i="10"/>
  <c r="F44" i="10"/>
  <c r="E45" i="10"/>
  <c r="F45" i="10"/>
  <c r="E46" i="10"/>
  <c r="F46" i="10"/>
  <c r="E47" i="10"/>
  <c r="F47" i="10"/>
  <c r="E48" i="10"/>
  <c r="F48" i="10"/>
  <c r="E49" i="10"/>
  <c r="F49" i="10"/>
  <c r="E50" i="10"/>
  <c r="F50" i="10"/>
  <c r="E51" i="10"/>
  <c r="F51" i="10"/>
  <c r="E52" i="10"/>
  <c r="F52" i="10"/>
  <c r="E53" i="10"/>
  <c r="F53" i="10"/>
  <c r="E54" i="10"/>
  <c r="F54" i="10"/>
  <c r="E55" i="10"/>
  <c r="F55" i="10"/>
  <c r="E56" i="10"/>
  <c r="F56" i="10"/>
  <c r="E57" i="10"/>
  <c r="F57" i="10"/>
  <c r="E58" i="10"/>
  <c r="F58" i="10"/>
  <c r="E59" i="10"/>
  <c r="F59" i="10"/>
  <c r="E60" i="10"/>
  <c r="F60" i="10"/>
  <c r="E61" i="10"/>
  <c r="F61" i="10"/>
  <c r="E62" i="10"/>
  <c r="F62" i="10"/>
  <c r="E63" i="10"/>
  <c r="F63" i="10"/>
  <c r="F64" i="10"/>
  <c r="F65" i="10"/>
  <c r="F16" i="10"/>
  <c r="E16" i="10"/>
  <c r="D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C16" i="10"/>
  <c r="A16" i="10"/>
  <c r="B17" i="10"/>
  <c r="C18" i="10"/>
  <c r="B18" i="10"/>
  <c r="C19" i="10"/>
  <c r="B19" i="10"/>
  <c r="C20" i="10"/>
  <c r="B20" i="10"/>
  <c r="C21" i="10"/>
  <c r="B21" i="10"/>
  <c r="C22" i="10"/>
  <c r="B22" i="10"/>
  <c r="C23" i="10"/>
  <c r="B23" i="10"/>
  <c r="C24" i="10"/>
  <c r="B24" i="10"/>
  <c r="C25" i="10"/>
  <c r="B25" i="10"/>
  <c r="C26" i="10"/>
  <c r="B26" i="10"/>
  <c r="C27" i="10"/>
  <c r="B27" i="10"/>
  <c r="C28" i="10"/>
  <c r="B28" i="10"/>
  <c r="C29" i="10"/>
  <c r="B29" i="10"/>
  <c r="C30" i="10"/>
  <c r="B30" i="10"/>
  <c r="C31" i="10"/>
  <c r="B31" i="10"/>
  <c r="C32" i="10"/>
  <c r="B32" i="10"/>
  <c r="C33" i="10"/>
  <c r="B33" i="10"/>
  <c r="C34" i="10"/>
  <c r="B34" i="10"/>
  <c r="C35" i="10"/>
  <c r="B35" i="10"/>
  <c r="C36" i="10"/>
  <c r="B36" i="10"/>
  <c r="C37" i="10"/>
  <c r="B37" i="10"/>
  <c r="C38" i="10"/>
  <c r="B38" i="10"/>
  <c r="C39" i="10"/>
  <c r="B39" i="10"/>
  <c r="C40" i="10"/>
  <c r="B40" i="10"/>
  <c r="C41" i="10"/>
  <c r="B41" i="10"/>
  <c r="C42" i="10"/>
  <c r="B42" i="10"/>
  <c r="C43" i="10"/>
  <c r="B43" i="10"/>
  <c r="C44" i="10"/>
  <c r="B44" i="10"/>
  <c r="C45" i="10"/>
  <c r="B45" i="10"/>
  <c r="C46" i="10"/>
  <c r="B46" i="10"/>
  <c r="C47" i="10"/>
  <c r="B47" i="10"/>
  <c r="C48" i="10"/>
  <c r="B48" i="10"/>
  <c r="C49" i="10"/>
  <c r="B49" i="10"/>
  <c r="C50" i="10"/>
  <c r="B50" i="10"/>
  <c r="C51" i="10"/>
  <c r="B51" i="10"/>
  <c r="C52" i="10"/>
  <c r="B52" i="10"/>
  <c r="C53" i="10"/>
  <c r="B53" i="10"/>
  <c r="C54" i="10"/>
  <c r="B54" i="10"/>
  <c r="C55" i="10"/>
  <c r="B55" i="10"/>
  <c r="C56" i="10"/>
  <c r="B56" i="10"/>
  <c r="C57" i="10"/>
  <c r="B57" i="10"/>
  <c r="C58" i="10"/>
  <c r="B58" i="10"/>
  <c r="C59" i="10"/>
  <c r="B59" i="10"/>
  <c r="C60" i="10"/>
  <c r="B60" i="10"/>
  <c r="C61" i="10"/>
  <c r="B61" i="10"/>
  <c r="C62" i="10"/>
  <c r="B62" i="10"/>
  <c r="C63" i="10"/>
  <c r="B63" i="10"/>
  <c r="C64" i="10"/>
  <c r="C65" i="10"/>
  <c r="C17" i="10"/>
  <c r="B16" i="10"/>
  <c r="E4" i="10"/>
  <c r="E5" i="10"/>
  <c r="E6" i="10"/>
  <c r="C6" i="10"/>
  <c r="C10" i="10"/>
  <c r="D10" i="10"/>
  <c r="E3" i="10"/>
</calcChain>
</file>

<file path=xl/sharedStrings.xml><?xml version="1.0" encoding="utf-8"?>
<sst xmlns="http://schemas.openxmlformats.org/spreadsheetml/2006/main" count="706" uniqueCount="97">
  <si>
    <r>
      <rPr>
        <sz val="9"/>
        <rFont val="Arial"/>
        <family val="2"/>
      </rPr>
      <t>prf</t>
    </r>
  </si>
  <si>
    <r>
      <rPr>
        <sz val="9"/>
        <rFont val="Arial"/>
        <family val="2"/>
      </rPr>
      <t>LP</t>
    </r>
  </si>
  <si>
    <r>
      <rPr>
        <sz val="9"/>
        <rFont val="Arial"/>
        <family val="2"/>
      </rPr>
      <t>LL</t>
    </r>
  </si>
  <si>
    <r>
      <rPr>
        <sz val="9"/>
        <rFont val="Arial"/>
        <family val="2"/>
      </rPr>
      <t>Rp</t>
    </r>
  </si>
  <si>
    <r>
      <rPr>
        <sz val="9"/>
        <rFont val="Arial"/>
        <family val="2"/>
      </rPr>
      <t>RL</t>
    </r>
  </si>
  <si>
    <r>
      <rPr>
        <sz val="9"/>
        <rFont val="Arial"/>
        <family val="2"/>
      </rPr>
      <t>Rp/Rl</t>
    </r>
  </si>
  <si>
    <r>
      <rPr>
        <sz val="8"/>
        <rFont val="Arial"/>
        <family val="2"/>
      </rPr>
      <t>m</t>
    </r>
  </si>
  <si>
    <r>
      <rPr>
        <sz val="8"/>
        <rFont val="Arial"/>
        <family val="2"/>
      </rPr>
      <t>-</t>
    </r>
  </si>
  <si>
    <r>
      <rPr>
        <sz val="8"/>
        <rFont val="Arial"/>
        <family val="2"/>
      </rPr>
      <t>Kg/cm²</t>
    </r>
  </si>
  <si>
    <r>
      <rPr>
        <sz val="8"/>
        <rFont val="Arial"/>
        <family val="2"/>
      </rPr>
      <t>----</t>
    </r>
  </si>
  <si>
    <r>
      <rPr>
        <sz val="8"/>
        <rFont val="Arial"/>
        <family val="2"/>
      </rPr>
      <t>------</t>
    </r>
  </si>
  <si>
    <r>
      <rPr>
        <sz val="8"/>
        <rFont val="Arial"/>
        <family val="2"/>
      </rPr>
      <t>-----</t>
    </r>
  </si>
  <si>
    <t>sismostrato 1</t>
  </si>
  <si>
    <t>sismostrato 2</t>
  </si>
  <si>
    <t>sismostrato 3</t>
  </si>
  <si>
    <t>sismostrato 4</t>
  </si>
  <si>
    <r>
      <t>VS</t>
    </r>
    <r>
      <rPr>
        <vertAlign val="subscript"/>
        <sz val="9"/>
        <color rgb="FF000000"/>
        <rFont val="Times New Roman"/>
        <family val="1"/>
      </rPr>
      <t>30</t>
    </r>
    <r>
      <rPr>
        <sz val="9"/>
        <color rgb="FF000000"/>
        <rFont val="Times New Roman"/>
        <family val="1"/>
      </rPr>
      <t xml:space="preserve"> [m/s]</t>
    </r>
  </si>
  <si>
    <t>Velocità onde SH [m/s]</t>
  </si>
  <si>
    <t>Spessore h [m]</t>
  </si>
  <si>
    <t>hi/Vi  [s]</t>
  </si>
  <si>
    <r>
      <rPr>
        <sz val="10"/>
        <color rgb="FF000000"/>
        <rFont val="Calibri"/>
        <family val="2"/>
      </rPr>
      <t>∑</t>
    </r>
    <r>
      <rPr>
        <sz val="10"/>
        <color rgb="FF000000"/>
        <rFont val="Times New Roman"/>
        <family val="1"/>
      </rPr>
      <t xml:space="preserve"> hi/Vi [s]</t>
    </r>
  </si>
  <si>
    <t>terreno C</t>
  </si>
  <si>
    <t>NATURA COESIVA</t>
  </si>
  <si>
    <t>NATURA GRANULARE</t>
  </si>
  <si>
    <t>Prof.      Rp    Rp/Rl</t>
  </si>
  <si>
    <t>Natura    Y'       p'vo      Cu         OCR</t>
  </si>
  <si>
    <t>Eu50    Eu25</t>
  </si>
  <si>
    <t>Mo</t>
  </si>
  <si>
    <t>Dr</t>
  </si>
  <si>
    <t>ø1s</t>
  </si>
  <si>
    <t>ø2s</t>
  </si>
  <si>
    <t>ø3s</t>
  </si>
  <si>
    <t>ø4s</t>
  </si>
  <si>
    <t>ødm</t>
  </si>
  <si>
    <t>ømy</t>
  </si>
  <si>
    <t>Amax/g</t>
  </si>
  <si>
    <t>E'50    E'25   Mo</t>
  </si>
  <si>
    <t>m      kg/cm²    (-)</t>
  </si>
  <si>
    <t>Litol.      t/m³   kg/cm²   kg/cm²      (-)</t>
  </si>
  <si>
    <t>kg/cm²</t>
  </si>
  <si>
    <t>%</t>
  </si>
  <si>
    <t>(°)</t>
  </si>
  <si>
    <t>(-)</t>
  </si>
  <si>
    <t>kg/cm²   kg/cm²</t>
  </si>
  <si>
    <t>--</t>
  </si>
  <si>
    <t>4/:/:</t>
  </si>
  <si>
    <t>3::::</t>
  </si>
  <si>
    <t>2////</t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</si>
  <si>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1,00</t>
    </r>
  </si>
  <si>
    <r>
      <rPr>
        <sz val="14"/>
        <rFont val="Arial"/>
        <family val="2"/>
      </rPr>
      <t xml:space="preserve">51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</si>
  <si>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2,00</t>
    </r>
  </si>
  <si>
    <r>
      <rPr>
        <sz val="14"/>
        <rFont val="Arial"/>
        <family val="2"/>
      </rPr>
      <t xml:space="preserve">228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</si>
  <si>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3,00</t>
    </r>
  </si>
  <si>
    <r>
      <rPr>
        <sz val="14"/>
        <rFont val="Arial"/>
        <family val="2"/>
      </rPr>
      <t xml:space="preserve">108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</si>
  <si>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4,00</t>
    </r>
  </si>
  <si>
    <r>
      <rPr>
        <sz val="14"/>
        <rFont val="Arial"/>
        <family val="2"/>
      </rPr>
      <t xml:space="preserve">111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</si>
  <si>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5,00</t>
    </r>
  </si>
  <si>
    <r>
      <rPr>
        <sz val="14"/>
        <rFont val="Arial"/>
        <family val="2"/>
      </rPr>
      <t xml:space="preserve">78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</si>
  <si>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6,00</t>
    </r>
  </si>
  <si>
    <r>
      <rPr>
        <sz val="14"/>
        <rFont val="Arial"/>
        <family val="2"/>
      </rPr>
      <t xml:space="preserve">96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</si>
  <si>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7,00</t>
    </r>
  </si>
  <si>
    <r>
      <rPr>
        <sz val="14"/>
        <rFont val="Arial"/>
        <family val="2"/>
      </rPr>
      <t xml:space="preserve">60 </t>
    </r>
    <r>
      <rPr>
        <sz val="14"/>
        <rFont val="Times New Roman"/>
        <family val="1"/>
      </rPr>
      <t>       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</si>
  <si>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8,00</t>
    </r>
  </si>
  <si>
    <r>
      <rPr>
        <sz val="14"/>
        <rFont val="Times New Roman"/>
        <family val="1"/>
      </rPr>
      <t>      </t>
    </r>
    <r>
      <rPr>
        <sz val="14"/>
        <rFont val="Arial"/>
        <family val="2"/>
      </rPr>
      <t>9,00</t>
    </r>
  </si>
  <si>
    <r>
      <rPr>
        <sz val="14"/>
        <rFont val="Arial"/>
        <family val="2"/>
      </rPr>
      <t xml:space="preserve">150 </t>
    </r>
    <r>
      <rPr>
        <sz val="14"/>
        <rFont val="Times New Roman"/>
        <family val="1"/>
      </rPr>
      <t>       </t>
    </r>
  </si>
  <si>
    <t>0,20          7        --</t>
  </si>
  <si>
    <t>2////       1,85     0,04     0,35      99,9</t>
  </si>
  <si>
    <t>59        89</t>
  </si>
  <si>
    <t>--          --       --</t>
  </si>
  <si>
    <r>
      <rPr>
        <u/>
        <sz val="12"/>
        <rFont val="Times New Roman"/>
        <family val="1"/>
      </rPr>
      <t>      </t>
    </r>
    <r>
      <rPr>
        <u/>
        <sz val="12"/>
        <rFont val="Arial"/>
        <family val="2"/>
      </rPr>
      <t>1,00</t>
    </r>
  </si>
  <si>
    <r>
      <rPr>
        <sz val="12"/>
        <rFont val="Arial"/>
        <family val="2"/>
      </rPr>
      <t xml:space="preserve">120 </t>
    </r>
    <r>
      <rPr>
        <u/>
        <sz val="12"/>
        <rFont val="Times New Roman"/>
        <family val="1"/>
      </rPr>
      <t>       </t>
    </r>
  </si>
  <si>
    <r>
      <rPr>
        <u/>
        <sz val="12"/>
        <rFont val="Times New Roman"/>
        <family val="1"/>
      </rPr>
      <t>      </t>
    </r>
    <r>
      <rPr>
        <u/>
        <sz val="12"/>
        <rFont val="Arial"/>
        <family val="2"/>
      </rPr>
      <t>2,00</t>
    </r>
  </si>
  <si>
    <r>
      <rPr>
        <sz val="12"/>
        <rFont val="Arial"/>
        <family val="2"/>
      </rPr>
      <t xml:space="preserve">84 </t>
    </r>
    <r>
      <rPr>
        <u/>
        <sz val="12"/>
        <rFont val="Times New Roman"/>
        <family val="1"/>
      </rPr>
      <t>       </t>
    </r>
  </si>
  <si>
    <r>
      <rPr>
        <u/>
        <sz val="12"/>
        <rFont val="Times New Roman"/>
        <family val="1"/>
      </rPr>
      <t>      </t>
    </r>
    <r>
      <rPr>
        <u/>
        <sz val="12"/>
        <rFont val="Arial"/>
        <family val="2"/>
      </rPr>
      <t>3,00</t>
    </r>
  </si>
  <si>
    <r>
      <rPr>
        <sz val="12"/>
        <rFont val="Arial"/>
        <family val="2"/>
      </rPr>
      <t xml:space="preserve">240 </t>
    </r>
    <r>
      <rPr>
        <u/>
        <sz val="12"/>
        <rFont val="Times New Roman"/>
        <family val="1"/>
      </rPr>
      <t>       </t>
    </r>
  </si>
  <si>
    <r>
      <rPr>
        <u/>
        <sz val="12"/>
        <rFont val="Times New Roman"/>
        <family val="1"/>
      </rPr>
      <t>      </t>
    </r>
    <r>
      <rPr>
        <u/>
        <sz val="12"/>
        <rFont val="Arial"/>
        <family val="2"/>
      </rPr>
      <t>4,00</t>
    </r>
  </si>
  <si>
    <r>
      <rPr>
        <sz val="12"/>
        <rFont val="Arial"/>
        <family val="2"/>
      </rPr>
      <t xml:space="preserve">87 </t>
    </r>
    <r>
      <rPr>
        <u/>
        <sz val="12"/>
        <rFont val="Times New Roman"/>
        <family val="1"/>
      </rPr>
      <t>       </t>
    </r>
  </si>
  <si>
    <r>
      <rPr>
        <u/>
        <sz val="12"/>
        <rFont val="Times New Roman"/>
        <family val="1"/>
      </rPr>
      <t>      </t>
    </r>
    <r>
      <rPr>
        <u/>
        <sz val="12"/>
        <rFont val="Arial"/>
        <family val="2"/>
      </rPr>
      <t>5,00</t>
    </r>
  </si>
  <si>
    <r>
      <rPr>
        <sz val="12"/>
        <rFont val="Arial"/>
        <family val="2"/>
      </rPr>
      <t xml:space="preserve">144 </t>
    </r>
    <r>
      <rPr>
        <u/>
        <sz val="12"/>
        <rFont val="Times New Roman"/>
        <family val="1"/>
      </rPr>
      <t>       </t>
    </r>
  </si>
  <si>
    <r>
      <rPr>
        <u/>
        <sz val="12"/>
        <rFont val="Times New Roman"/>
        <family val="1"/>
      </rPr>
      <t>      </t>
    </r>
    <r>
      <rPr>
        <u/>
        <sz val="12"/>
        <rFont val="Arial"/>
        <family val="2"/>
      </rPr>
      <t>6,00</t>
    </r>
  </si>
  <si>
    <r>
      <rPr>
        <sz val="12"/>
        <rFont val="Arial"/>
        <family val="2"/>
      </rPr>
      <t xml:space="preserve">147 </t>
    </r>
    <r>
      <rPr>
        <u/>
        <sz val="12"/>
        <rFont val="Times New Roman"/>
        <family val="1"/>
      </rPr>
      <t>       </t>
    </r>
  </si>
  <si>
    <r>
      <rPr>
        <u/>
        <sz val="12"/>
        <rFont val="Times New Roman"/>
        <family val="1"/>
      </rPr>
      <t>      </t>
    </r>
    <r>
      <rPr>
        <u/>
        <sz val="12"/>
        <rFont val="Arial"/>
        <family val="2"/>
      </rPr>
      <t>7,00</t>
    </r>
  </si>
  <si>
    <r>
      <rPr>
        <sz val="12"/>
        <rFont val="Arial"/>
        <family val="2"/>
      </rPr>
      <t xml:space="preserve">123 </t>
    </r>
    <r>
      <rPr>
        <u/>
        <sz val="12"/>
        <rFont val="Times New Roman"/>
        <family val="1"/>
      </rPr>
      <t>       </t>
    </r>
  </si>
  <si>
    <r>
      <rPr>
        <u/>
        <sz val="12"/>
        <rFont val="Times New Roman"/>
        <family val="1"/>
      </rPr>
      <t>      </t>
    </r>
    <r>
      <rPr>
        <u/>
        <sz val="12"/>
        <rFont val="Arial"/>
        <family val="2"/>
      </rPr>
      <t>8,00</t>
    </r>
  </si>
  <si>
    <r>
      <rPr>
        <sz val="12"/>
        <rFont val="Arial"/>
        <family val="2"/>
      </rPr>
      <t xml:space="preserve">141 </t>
    </r>
    <r>
      <rPr>
        <u/>
        <sz val="12"/>
        <rFont val="Times New Roman"/>
        <family val="1"/>
      </rPr>
      <t>       </t>
    </r>
  </si>
  <si>
    <r>
      <rPr>
        <u/>
        <sz val="12"/>
        <rFont val="Times New Roman"/>
        <family val="1"/>
      </rPr>
      <t>      </t>
    </r>
    <r>
      <rPr>
        <u/>
        <sz val="12"/>
        <rFont val="Arial"/>
        <family val="2"/>
      </rPr>
      <t>9,00</t>
    </r>
  </si>
  <si>
    <r>
      <rPr>
        <sz val="12"/>
        <rFont val="Arial"/>
        <family val="2"/>
      </rPr>
      <t xml:space="preserve">168 </t>
    </r>
    <r>
      <rPr>
        <u/>
        <sz val="12"/>
        <rFont val="Times New Roman"/>
        <family val="1"/>
      </rPr>
      <t>       </t>
    </r>
  </si>
  <si>
    <r>
      <rPr>
        <u/>
        <sz val="12"/>
        <rFont val="Times New Roman"/>
        <family val="1"/>
      </rPr>
      <t>    </t>
    </r>
    <r>
      <rPr>
        <u/>
        <sz val="12"/>
        <rFont val="Arial"/>
        <family val="2"/>
      </rPr>
      <t>10,00</t>
    </r>
  </si>
  <si>
    <r>
      <rPr>
        <sz val="12"/>
        <rFont val="Arial"/>
        <family val="2"/>
      </rPr>
      <t xml:space="preserve">180 </t>
    </r>
    <r>
      <rPr>
        <u/>
        <sz val="12"/>
        <rFont val="Times New Roman"/>
        <family val="1"/>
      </rPr>
      <t>       </t>
    </r>
  </si>
  <si>
    <t>gamma saturo CPT 1</t>
  </si>
  <si>
    <t>gamma saturo CPT 2</t>
  </si>
  <si>
    <t>profondità</t>
  </si>
  <si>
    <t>acc. Gravità</t>
  </si>
  <si>
    <t>rho CPT 1</t>
  </si>
  <si>
    <t>rho CPT 2</t>
  </si>
  <si>
    <t>G CPT1</t>
  </si>
  <si>
    <t>G CPT2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</si>
</sst>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5" x14ac:knownFonts="1">
    <font>
      <sz val="10"/>
      <color rgb="FF000000"/>
      <name val="Times New Roman"/>
      <charset val="204"/>
    </font>
    <font>
      <b/>
      <sz val="8"/>
      <color rgb="FF000000"/>
      <name val="Arial"/>
      <family val="2"/>
    </font>
    <font>
      <sz val="9"/>
      <name val="Arial"/>
    </font>
    <font>
      <sz val="8"/>
      <name val="Arial"/>
    </font>
    <font>
      <sz val="8"/>
      <color rgb="FF000000"/>
      <name val="Arial"/>
      <family val="2"/>
    </font>
    <font>
      <sz val="6"/>
      <name val="Arial"/>
    </font>
    <font>
      <sz val="6"/>
      <color rgb="FF00000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vertAlign val="subscript"/>
      <sz val="9"/>
      <color rgb="FF00000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2"/>
      <charset val="204"/>
    </font>
    <font>
      <b/>
      <sz val="14"/>
      <name val="Arial"/>
      <family val="2"/>
    </font>
    <font>
      <sz val="14"/>
      <color rgb="FF000000"/>
      <name val="Times New Roman"/>
      <family val="1"/>
    </font>
    <font>
      <sz val="14"/>
      <name val="Arial"/>
      <family val="2"/>
    </font>
    <font>
      <sz val="14"/>
      <color rgb="FF000000"/>
      <name val="Arial"/>
      <family val="2"/>
    </font>
    <font>
      <sz val="14"/>
      <name val="Times New Roman"/>
      <family val="1"/>
    </font>
    <font>
      <b/>
      <sz val="12"/>
      <name val="Arial"/>
      <family val="2"/>
    </font>
    <font>
      <sz val="12"/>
      <color rgb="FF000000"/>
      <name val="Times New Roman"/>
      <family val="1"/>
    </font>
    <font>
      <sz val="12"/>
      <name val="Arial"/>
      <family val="2"/>
    </font>
    <font>
      <sz val="12"/>
      <color rgb="FF000000"/>
      <name val="Arial"/>
      <family val="2"/>
    </font>
    <font>
      <u/>
      <sz val="12"/>
      <name val="Times New Roman"/>
      <family val="1"/>
    </font>
    <font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 applyFill="1" applyBorder="1" applyAlignment="1">
      <alignment horizontal="left" vertical="top"/>
    </xf>
    <xf numFmtId="0" fontId="2" fillId="0" borderId="2" xfId="0" applyFont="1" applyFill="1" applyBorder="1" applyAlignment="1">
      <alignment horizontal="right" vertical="top" wrapText="1" indent="1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right" vertical="top" wrapText="1" indent="2"/>
    </xf>
    <xf numFmtId="0" fontId="2" fillId="0" borderId="2" xfId="0" applyFont="1" applyFill="1" applyBorder="1" applyAlignment="1">
      <alignment horizontal="right" vertical="top" wrapText="1" indent="3"/>
    </xf>
    <xf numFmtId="0" fontId="3" fillId="0" borderId="0" xfId="0" applyFont="1" applyFill="1" applyBorder="1" applyAlignment="1">
      <alignment horizontal="right" vertical="top" wrapText="1" inden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right" vertical="top" wrapText="1" indent="2"/>
    </xf>
    <xf numFmtId="0" fontId="3" fillId="0" borderId="0" xfId="0" applyFont="1" applyFill="1" applyBorder="1" applyAlignment="1">
      <alignment horizontal="right" vertical="top" wrapText="1" indent="3"/>
    </xf>
    <xf numFmtId="2" fontId="4" fillId="0" borderId="0" xfId="0" applyNumberFormat="1" applyFont="1" applyFill="1" applyBorder="1" applyAlignment="1">
      <alignment horizontal="right" vertical="top" indent="1" shrinkToFit="1"/>
    </xf>
    <xf numFmtId="164" fontId="4" fillId="0" borderId="0" xfId="0" applyNumberFormat="1" applyFont="1" applyFill="1" applyBorder="1" applyAlignment="1">
      <alignment horizontal="center" vertical="top" shrinkToFit="1"/>
    </xf>
    <xf numFmtId="164" fontId="4" fillId="0" borderId="0" xfId="0" applyNumberFormat="1" applyFont="1" applyFill="1" applyBorder="1" applyAlignment="1">
      <alignment horizontal="right" vertical="top" indent="1" shrinkToFit="1"/>
    </xf>
    <xf numFmtId="0" fontId="3" fillId="0" borderId="5" xfId="0" applyFont="1" applyFill="1" applyBorder="1" applyAlignment="1">
      <alignment horizontal="right" vertical="top" wrapText="1" indent="2"/>
    </xf>
    <xf numFmtId="2" fontId="1" fillId="0" borderId="4" xfId="0" applyNumberFormat="1" applyFont="1" applyFill="1" applyBorder="1" applyAlignment="1">
      <alignment horizontal="center" vertical="top" shrinkToFit="1"/>
    </xf>
    <xf numFmtId="164" fontId="4" fillId="0" borderId="0" xfId="0" applyNumberFormat="1" applyFont="1" applyFill="1" applyBorder="1" applyAlignment="1">
      <alignment horizontal="right" vertical="top" indent="2" shrinkToFit="1"/>
    </xf>
    <xf numFmtId="2" fontId="4" fillId="0" borderId="0" xfId="0" applyNumberFormat="1" applyFont="1" applyFill="1" applyBorder="1" applyAlignment="1">
      <alignment horizontal="center" vertical="top" shrinkToFit="1"/>
    </xf>
    <xf numFmtId="164" fontId="4" fillId="0" borderId="0" xfId="0" applyNumberFormat="1" applyFont="1" applyFill="1" applyBorder="1" applyAlignment="1">
      <alignment horizontal="right" vertical="top" indent="3" shrinkToFit="1"/>
    </xf>
    <xf numFmtId="164" fontId="4" fillId="0" borderId="5" xfId="0" applyNumberFormat="1" applyFont="1" applyFill="1" applyBorder="1" applyAlignment="1">
      <alignment horizontal="right" vertical="top" indent="2" shrinkToFit="1"/>
    </xf>
    <xf numFmtId="2" fontId="4" fillId="0" borderId="4" xfId="0" applyNumberFormat="1" applyFont="1" applyFill="1" applyBorder="1" applyAlignment="1">
      <alignment horizontal="center" vertical="top" shrinkToFit="1"/>
    </xf>
    <xf numFmtId="2" fontId="1" fillId="0" borderId="0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right" vertical="top" wrapText="1" indent="1"/>
    </xf>
    <xf numFmtId="0" fontId="3" fillId="0" borderId="6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left" vertical="top" wrapText="1" indent="3"/>
    </xf>
    <xf numFmtId="0" fontId="3" fillId="0" borderId="6" xfId="0" applyFont="1" applyFill="1" applyBorder="1" applyAlignment="1">
      <alignment horizontal="right" vertical="top" wrapText="1" indent="2"/>
    </xf>
    <xf numFmtId="2" fontId="4" fillId="0" borderId="2" xfId="0" applyNumberFormat="1" applyFont="1" applyFill="1" applyBorder="1" applyAlignment="1">
      <alignment horizontal="right" vertical="center" indent="1" shrinkToFit="1"/>
    </xf>
    <xf numFmtId="0" fontId="3" fillId="0" borderId="2" xfId="0" applyFont="1" applyFill="1" applyBorder="1" applyAlignment="1">
      <alignment horizontal="right" vertical="center" wrapText="1" indent="1"/>
    </xf>
    <xf numFmtId="164" fontId="4" fillId="0" borderId="2" xfId="0" applyNumberFormat="1" applyFont="1" applyFill="1" applyBorder="1" applyAlignment="1">
      <alignment horizontal="right" vertical="center" indent="1" shrinkToFit="1"/>
    </xf>
    <xf numFmtId="0" fontId="3" fillId="0" borderId="3" xfId="0" applyFont="1" applyFill="1" applyBorder="1" applyAlignment="1">
      <alignment horizontal="right" vertical="center" wrapText="1" indent="2"/>
    </xf>
    <xf numFmtId="2" fontId="4" fillId="0" borderId="1" xfId="0" applyNumberFormat="1" applyFont="1" applyFill="1" applyBorder="1" applyAlignment="1">
      <alignment horizontal="right" vertical="center" indent="1" shrinkToFit="1"/>
    </xf>
    <xf numFmtId="164" fontId="4" fillId="0" borderId="2" xfId="0" applyNumberFormat="1" applyFont="1" applyFill="1" applyBorder="1" applyAlignment="1">
      <alignment horizontal="left" vertical="center" indent="1" shrinkToFit="1"/>
    </xf>
    <xf numFmtId="2" fontId="4" fillId="0" borderId="2" xfId="0" applyNumberFormat="1" applyFont="1" applyFill="1" applyBorder="1" applyAlignment="1">
      <alignment horizontal="left" vertical="center" indent="1" shrinkToFit="1"/>
    </xf>
    <xf numFmtId="2" fontId="4" fillId="0" borderId="4" xfId="0" applyNumberFormat="1" applyFont="1" applyFill="1" applyBorder="1" applyAlignment="1">
      <alignment horizontal="right" vertical="top" indent="1" shrinkToFit="1"/>
    </xf>
    <xf numFmtId="164" fontId="4" fillId="0" borderId="0" xfId="0" applyNumberFormat="1" applyFont="1" applyFill="1" applyBorder="1" applyAlignment="1">
      <alignment horizontal="left" vertical="top" indent="1" shrinkToFit="1"/>
    </xf>
    <xf numFmtId="2" fontId="4" fillId="0" borderId="0" xfId="0" applyNumberFormat="1" applyFont="1" applyFill="1" applyBorder="1" applyAlignment="1">
      <alignment horizontal="left" vertical="top" indent="1" shrinkToFit="1"/>
    </xf>
    <xf numFmtId="2" fontId="1" fillId="0" borderId="4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center" vertical="top" wrapText="1"/>
    </xf>
    <xf numFmtId="1" fontId="6" fillId="0" borderId="0" xfId="0" applyNumberFormat="1" applyFont="1" applyFill="1" applyBorder="1" applyAlignment="1">
      <alignment horizontal="center" vertical="top" shrinkToFit="1"/>
    </xf>
    <xf numFmtId="2" fontId="6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/>
    </xf>
    <xf numFmtId="166" fontId="0" fillId="0" borderId="0" xfId="0" applyNumberFormat="1" applyFill="1" applyBorder="1" applyAlignment="1">
      <alignment horizontal="left" vertical="top"/>
    </xf>
    <xf numFmtId="0" fontId="0" fillId="0" borderId="7" xfId="0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166" fontId="0" fillId="0" borderId="8" xfId="0" applyNumberFormat="1" applyFill="1" applyBorder="1" applyAlignment="1">
      <alignment horizontal="center" vertical="top"/>
    </xf>
    <xf numFmtId="0" fontId="9" fillId="0" borderId="9" xfId="0" applyFont="1" applyFill="1" applyBorder="1" applyAlignment="1">
      <alignment horizontal="center" vertical="top"/>
    </xf>
    <xf numFmtId="0" fontId="9" fillId="0" borderId="10" xfId="0" applyFont="1" applyFill="1" applyBorder="1" applyAlignment="1">
      <alignment horizontal="center" vertical="top"/>
    </xf>
    <xf numFmtId="0" fontId="9" fillId="0" borderId="11" xfId="0" applyFont="1" applyFill="1" applyBorder="1" applyAlignment="1">
      <alignment horizontal="center" vertical="top"/>
    </xf>
    <xf numFmtId="0" fontId="0" fillId="0" borderId="12" xfId="0" applyFill="1" applyBorder="1" applyAlignment="1">
      <alignment horizontal="center" vertical="top"/>
    </xf>
    <xf numFmtId="0" fontId="0" fillId="0" borderId="13" xfId="0" applyFill="1" applyBorder="1" applyAlignment="1">
      <alignment horizontal="center" vertical="top"/>
    </xf>
    <xf numFmtId="0" fontId="9" fillId="0" borderId="13" xfId="0" applyFont="1" applyFill="1" applyBorder="1" applyAlignment="1">
      <alignment horizontal="center" vertical="top"/>
    </xf>
    <xf numFmtId="0" fontId="0" fillId="0" borderId="14" xfId="0" applyFill="1" applyBorder="1" applyAlignment="1">
      <alignment horizontal="left" vertical="top"/>
    </xf>
    <xf numFmtId="0" fontId="9" fillId="0" borderId="15" xfId="0" applyFont="1" applyFill="1" applyBorder="1" applyAlignment="1">
      <alignment horizontal="center" vertical="top"/>
    </xf>
    <xf numFmtId="0" fontId="9" fillId="0" borderId="16" xfId="0" applyFont="1" applyFill="1" applyBorder="1" applyAlignment="1">
      <alignment horizontal="center" vertical="top"/>
    </xf>
    <xf numFmtId="0" fontId="9" fillId="0" borderId="17" xfId="0" applyFont="1" applyFill="1" applyBorder="1" applyAlignment="1">
      <alignment horizontal="center" vertical="top"/>
    </xf>
    <xf numFmtId="164" fontId="0" fillId="0" borderId="8" xfId="0" applyNumberFormat="1" applyFill="1" applyBorder="1" applyAlignment="1">
      <alignment horizontal="center" vertical="top"/>
    </xf>
    <xf numFmtId="0" fontId="13" fillId="0" borderId="9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top"/>
    </xf>
    <xf numFmtId="0" fontId="14" fillId="0" borderId="2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center" vertical="top"/>
    </xf>
    <xf numFmtId="0" fontId="16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 applyBorder="1" applyAlignment="1">
      <alignment horizontal="center" vertical="top" shrinkToFit="1"/>
    </xf>
    <xf numFmtId="1" fontId="17" fillId="0" borderId="0" xfId="0" applyNumberFormat="1" applyFont="1" applyFill="1" applyBorder="1" applyAlignment="1">
      <alignment horizontal="center" vertical="top" shrinkToFit="1"/>
    </xf>
    <xf numFmtId="164" fontId="17" fillId="0" borderId="0" xfId="0" applyNumberFormat="1" applyFont="1" applyFill="1" applyBorder="1" applyAlignment="1">
      <alignment horizontal="center" vertical="top" shrinkToFit="1"/>
    </xf>
    <xf numFmtId="165" fontId="17" fillId="0" borderId="0" xfId="0" applyNumberFormat="1" applyFont="1" applyFill="1" applyBorder="1" applyAlignment="1">
      <alignment horizontal="center" vertical="top" shrinkToFit="1"/>
    </xf>
    <xf numFmtId="0" fontId="15" fillId="0" borderId="0" xfId="0" applyFont="1" applyFill="1" applyBorder="1" applyAlignment="1">
      <alignment horizontal="center" vertical="top" wrapText="1"/>
    </xf>
    <xf numFmtId="0" fontId="20" fillId="0" borderId="0" xfId="0" applyFont="1" applyFill="1" applyBorder="1" applyAlignment="1">
      <alignment horizontal="left" vertical="top"/>
    </xf>
    <xf numFmtId="0" fontId="21" fillId="0" borderId="0" xfId="0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right" vertical="top" wrapText="1" indent="1"/>
    </xf>
    <xf numFmtId="0" fontId="21" fillId="0" borderId="0" xfId="0" applyFont="1" applyFill="1" applyBorder="1" applyAlignment="1">
      <alignment horizontal="right" vertical="top" wrapText="1"/>
    </xf>
    <xf numFmtId="0" fontId="21" fillId="0" borderId="0" xfId="0" applyFont="1" applyFill="1" applyBorder="1" applyAlignment="1">
      <alignment horizontal="center" vertical="top" wrapText="1"/>
    </xf>
    <xf numFmtId="1" fontId="22" fillId="0" borderId="0" xfId="0" applyNumberFormat="1" applyFont="1" applyFill="1" applyBorder="1" applyAlignment="1">
      <alignment horizontal="left" vertical="top" indent="1" shrinkToFit="1"/>
    </xf>
    <xf numFmtId="0" fontId="21" fillId="0" borderId="0" xfId="0" applyFont="1" applyFill="1" applyBorder="1" applyAlignment="1">
      <alignment horizontal="left" vertical="top" wrapText="1" indent="1"/>
    </xf>
    <xf numFmtId="0" fontId="21" fillId="0" borderId="0" xfId="0" applyFont="1" applyFill="1" applyBorder="1" applyAlignment="1">
      <alignment horizontal="left" vertical="top" wrapText="1" indent="2"/>
    </xf>
    <xf numFmtId="2" fontId="22" fillId="0" borderId="0" xfId="0" applyNumberFormat="1" applyFont="1" applyFill="1" applyBorder="1" applyAlignment="1">
      <alignment horizontal="right" vertical="top" indent="1" shrinkToFit="1"/>
    </xf>
    <xf numFmtId="1" fontId="22" fillId="0" borderId="0" xfId="0" applyNumberFormat="1" applyFont="1" applyFill="1" applyBorder="1" applyAlignment="1">
      <alignment horizontal="center" vertical="top" shrinkToFit="1"/>
    </xf>
    <xf numFmtId="2" fontId="22" fillId="0" borderId="0" xfId="0" applyNumberFormat="1" applyFont="1" applyFill="1" applyBorder="1" applyAlignment="1">
      <alignment horizontal="center" vertical="top" shrinkToFit="1"/>
    </xf>
    <xf numFmtId="164" fontId="22" fillId="0" borderId="0" xfId="0" applyNumberFormat="1" applyFont="1" applyFill="1" applyBorder="1" applyAlignment="1">
      <alignment horizontal="right" vertical="top" indent="1" shrinkToFit="1"/>
    </xf>
    <xf numFmtId="1" fontId="22" fillId="0" borderId="0" xfId="0" applyNumberFormat="1" applyFont="1" applyFill="1" applyBorder="1" applyAlignment="1">
      <alignment horizontal="right" vertical="top" shrinkToFit="1"/>
    </xf>
    <xf numFmtId="1" fontId="22" fillId="0" borderId="0" xfId="0" applyNumberFormat="1" applyFont="1" applyFill="1" applyBorder="1" applyAlignment="1">
      <alignment horizontal="right" vertical="top" indent="1" shrinkToFit="1"/>
    </xf>
    <xf numFmtId="1" fontId="22" fillId="0" borderId="0" xfId="0" applyNumberFormat="1" applyFont="1" applyFill="1" applyBorder="1" applyAlignment="1">
      <alignment horizontal="left" vertical="top" shrinkToFit="1"/>
    </xf>
    <xf numFmtId="165" fontId="22" fillId="0" borderId="0" xfId="0" applyNumberFormat="1" applyFont="1" applyFill="1" applyBorder="1" applyAlignment="1">
      <alignment horizontal="left" vertical="top" shrinkToFit="1"/>
    </xf>
    <xf numFmtId="0" fontId="20" fillId="0" borderId="0" xfId="0" applyFont="1" applyFill="1" applyBorder="1" applyAlignment="1">
      <alignment horizontal="right" vertical="top" wrapText="1" indent="1"/>
    </xf>
    <xf numFmtId="0" fontId="20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right" vertical="top" wrapText="1"/>
    </xf>
    <xf numFmtId="165" fontId="0" fillId="0" borderId="0" xfId="0" applyNumberFormat="1" applyFill="1" applyBorder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165" fontId="0" fillId="2" borderId="0" xfId="0" applyNumberFormat="1" applyFill="1" applyBorder="1" applyAlignment="1">
      <alignment horizontal="center" vertical="top"/>
    </xf>
    <xf numFmtId="0" fontId="0" fillId="2" borderId="0" xfId="0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164" fontId="4" fillId="0" borderId="2" xfId="0" applyNumberFormat="1" applyFont="1" applyFill="1" applyBorder="1" applyAlignment="1">
      <alignment horizontal="center" vertical="center" shrinkToFit="1"/>
    </xf>
    <xf numFmtId="164" fontId="4" fillId="0" borderId="0" xfId="0" applyNumberFormat="1" applyFont="1" applyFill="1" applyBorder="1" applyAlignment="1">
      <alignment horizontal="center" vertical="top" shrinkToFit="1"/>
    </xf>
    <xf numFmtId="0" fontId="16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 applyBorder="1" applyAlignment="1">
      <alignment horizontal="center" vertical="top" shrinkToFit="1"/>
    </xf>
    <xf numFmtId="1" fontId="17" fillId="0" borderId="0" xfId="0" applyNumberFormat="1" applyFont="1" applyFill="1" applyBorder="1" applyAlignment="1">
      <alignment horizontal="center" vertical="top" shrinkToFit="1"/>
    </xf>
    <xf numFmtId="0" fontId="14" fillId="0" borderId="4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horizontal="left" vertical="top" wrapText="1" indent="4"/>
    </xf>
    <xf numFmtId="0" fontId="19" fillId="0" borderId="2" xfId="0" applyFont="1" applyFill="1" applyBorder="1" applyAlignment="1">
      <alignment horizontal="left" vertical="top" wrapText="1" indent="4"/>
    </xf>
    <xf numFmtId="0" fontId="19" fillId="0" borderId="3" xfId="0" applyFont="1" applyFill="1" applyBorder="1" applyAlignment="1">
      <alignment horizontal="left" vertical="top" wrapText="1" indent="4"/>
    </xf>
    <xf numFmtId="0" fontId="19" fillId="0" borderId="1" xfId="0" applyFont="1" applyFill="1" applyBorder="1" applyAlignment="1">
      <alignment horizontal="left" vertical="top" wrapText="1" indent="8"/>
    </xf>
    <xf numFmtId="0" fontId="19" fillId="0" borderId="2" xfId="0" applyFont="1" applyFill="1" applyBorder="1" applyAlignment="1">
      <alignment horizontal="left" vertical="top" wrapText="1" indent="8"/>
    </xf>
    <xf numFmtId="0" fontId="19" fillId="0" borderId="3" xfId="0" applyFont="1" applyFill="1" applyBorder="1" applyAlignment="1">
      <alignment horizontal="left" vertical="top" wrapText="1" indent="8"/>
    </xf>
    <xf numFmtId="0" fontId="21" fillId="0" borderId="0" xfId="0" applyFont="1" applyFill="1" applyBorder="1" applyAlignment="1">
      <alignment horizontal="left" vertical="top" wrapText="1" indent="1"/>
    </xf>
    <xf numFmtId="0" fontId="21" fillId="0" borderId="0" xfId="0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center" vertical="top" wrapText="1"/>
    </xf>
    <xf numFmtId="0" fontId="21" fillId="0" borderId="0" xfId="0" applyFont="1" applyFill="1" applyBorder="1" applyAlignment="1">
      <alignment horizontal="left" vertical="top" wrapText="1" indent="2"/>
    </xf>
    <xf numFmtId="2" fontId="22" fillId="0" borderId="0" xfId="0" applyNumberFormat="1" applyFont="1" applyFill="1" applyBorder="1" applyAlignment="1">
      <alignment horizontal="right" vertical="top" shrinkToFit="1"/>
    </xf>
    <xf numFmtId="1" fontId="22" fillId="0" borderId="0" xfId="0" applyNumberFormat="1" applyFont="1" applyFill="1" applyBorder="1" applyAlignment="1">
      <alignment horizontal="center" vertical="top" shrinkToFit="1"/>
    </xf>
    <xf numFmtId="0" fontId="21" fillId="0" borderId="0" xfId="0" applyFont="1" applyFill="1" applyBorder="1" applyAlignment="1">
      <alignment horizontal="right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</xdr:colOff>
      <xdr:row>0</xdr:row>
      <xdr:rowOff>0</xdr:rowOff>
    </xdr:from>
    <xdr:to>
      <xdr:col>0</xdr:col>
      <xdr:colOff>380</xdr:colOff>
      <xdr:row>11</xdr:row>
      <xdr:rowOff>30226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0" y="0"/>
          <a:ext cx="0" cy="1588135"/>
        </a:xfrm>
        <a:custGeom>
          <a:avLst/>
          <a:gdLst/>
          <a:ahLst/>
          <a:cxnLst/>
          <a:rect l="0" t="0" r="0" b="0"/>
          <a:pathLst>
            <a:path h="1588135">
              <a:moveTo>
                <a:pt x="0" y="0"/>
              </a:moveTo>
              <a:lnTo>
                <a:pt x="0" y="1588008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380</xdr:colOff>
      <xdr:row>0</xdr:row>
      <xdr:rowOff>0</xdr:rowOff>
    </xdr:from>
    <xdr:to>
      <xdr:col>0</xdr:col>
      <xdr:colOff>380</xdr:colOff>
      <xdr:row>11</xdr:row>
      <xdr:rowOff>30226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0" y="0"/>
          <a:ext cx="0" cy="1588135"/>
        </a:xfrm>
        <a:custGeom>
          <a:avLst/>
          <a:gdLst/>
          <a:ahLst/>
          <a:cxnLst/>
          <a:rect l="0" t="0" r="0" b="0"/>
          <a:pathLst>
            <a:path h="1588135">
              <a:moveTo>
                <a:pt x="0" y="0"/>
              </a:moveTo>
              <a:lnTo>
                <a:pt x="0" y="1588008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380</xdr:colOff>
      <xdr:row>0</xdr:row>
      <xdr:rowOff>0</xdr:rowOff>
    </xdr:from>
    <xdr:to>
      <xdr:col>0</xdr:col>
      <xdr:colOff>380</xdr:colOff>
      <xdr:row>11</xdr:row>
      <xdr:rowOff>30226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0" y="0"/>
          <a:ext cx="0" cy="1588135"/>
        </a:xfrm>
        <a:custGeom>
          <a:avLst/>
          <a:gdLst/>
          <a:ahLst/>
          <a:cxnLst/>
          <a:rect l="0" t="0" r="0" b="0"/>
          <a:pathLst>
            <a:path h="1588135">
              <a:moveTo>
                <a:pt x="0" y="0"/>
              </a:moveTo>
              <a:lnTo>
                <a:pt x="0" y="1588008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oneCellAnchor>
    <xdr:from>
      <xdr:col>10</xdr:col>
      <xdr:colOff>434652</xdr:colOff>
      <xdr:row>2</xdr:row>
      <xdr:rowOff>0</xdr:rowOff>
    </xdr:from>
    <xdr:ext cx="730250" cy="1397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873427" y="1158926"/>
          <a:ext cx="730250" cy="139700"/>
        </a:xfrm>
        <a:custGeom>
          <a:avLst/>
          <a:gdLst/>
          <a:ahLst/>
          <a:cxnLst/>
          <a:rect l="0" t="0" r="0" b="0"/>
          <a:pathLst>
            <a:path w="730250" h="139700">
              <a:moveTo>
                <a:pt x="729996" y="0"/>
              </a:moveTo>
              <a:lnTo>
                <a:pt x="0" y="0"/>
              </a:lnTo>
              <a:lnTo>
                <a:pt x="0" y="139446"/>
              </a:lnTo>
              <a:lnTo>
                <a:pt x="729996" y="139446"/>
              </a:lnTo>
              <a:lnTo>
                <a:pt x="729996" y="0"/>
              </a:lnTo>
              <a:close/>
            </a:path>
          </a:pathLst>
        </a:custGeom>
        <a:ln w="3175">
          <a:solidFill>
            <a:srgbClr val="EBEBEB"/>
          </a:solidFill>
        </a:ln>
      </xdr:spPr>
    </xdr:sp>
    <xdr:clientData/>
  </xdr:oneCellAnchor>
  <xdr:oneCellAnchor>
    <xdr:from>
      <xdr:col>0</xdr:col>
      <xdr:colOff>0</xdr:colOff>
      <xdr:row>26</xdr:row>
      <xdr:rowOff>380</xdr:rowOff>
    </xdr:from>
    <xdr:ext cx="6350000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0" y="0"/>
          <a:ext cx="6350000" cy="0"/>
        </a:xfrm>
        <a:custGeom>
          <a:avLst/>
          <a:gdLst/>
          <a:ahLst/>
          <a:cxnLst/>
          <a:rect l="0" t="0" r="0" b="0"/>
          <a:pathLst>
            <a:path w="6350000">
              <a:moveTo>
                <a:pt x="0" y="0"/>
              </a:moveTo>
              <a:lnTo>
                <a:pt x="634974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380</xdr:rowOff>
    </xdr:from>
    <xdr:ext cx="6350000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0" y="0"/>
          <a:ext cx="6350000" cy="0"/>
        </a:xfrm>
        <a:custGeom>
          <a:avLst/>
          <a:gdLst/>
          <a:ahLst/>
          <a:cxnLst/>
          <a:rect l="0" t="0" r="0" b="0"/>
          <a:pathLst>
            <a:path w="6350000">
              <a:moveTo>
                <a:pt x="0" y="0"/>
              </a:moveTo>
              <a:lnTo>
                <a:pt x="634974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workbookViewId="0">
      <selection activeCell="O8" sqref="O8"/>
    </sheetView>
  </sheetViews>
  <sheetFormatPr defaultRowHeight="12.75" x14ac:dyDescent="0.2"/>
  <cols>
    <col min="1" max="1" width="11.1640625" customWidth="1"/>
    <col min="2" max="2" width="9.5" customWidth="1"/>
    <col min="3" max="3" width="8.6640625" customWidth="1"/>
    <col min="4" max="4" width="9.33203125" customWidth="1"/>
    <col min="5" max="5" width="8.83203125" customWidth="1"/>
    <col min="6" max="7" width="10" customWidth="1"/>
    <col min="8" max="8" width="9.83203125" customWidth="1"/>
    <col min="9" max="9" width="8.5" customWidth="1"/>
    <col min="10" max="10" width="9.33203125" customWidth="1"/>
    <col min="11" max="11" width="8.6640625" customWidth="1"/>
    <col min="12" max="12" width="11.5" customWidth="1"/>
  </cols>
  <sheetData>
    <row r="1" spans="1:12" ht="12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0</v>
      </c>
      <c r="H1" s="2" t="s">
        <v>1</v>
      </c>
      <c r="I1" s="2" t="s">
        <v>2</v>
      </c>
      <c r="J1" s="1" t="s">
        <v>3</v>
      </c>
      <c r="K1" s="1" t="s">
        <v>4</v>
      </c>
      <c r="L1" s="4" t="s">
        <v>5</v>
      </c>
    </row>
    <row r="2" spans="1:12" ht="11.25" customHeight="1" x14ac:dyDescent="0.2">
      <c r="A2" s="5" t="s">
        <v>6</v>
      </c>
      <c r="B2" s="6" t="s">
        <v>7</v>
      </c>
      <c r="C2" s="7" t="s">
        <v>7</v>
      </c>
      <c r="D2" s="5" t="s">
        <v>8</v>
      </c>
      <c r="E2" s="5" t="s">
        <v>8</v>
      </c>
      <c r="F2" s="8" t="s">
        <v>7</v>
      </c>
      <c r="G2" s="5" t="s">
        <v>6</v>
      </c>
      <c r="H2" s="6" t="s">
        <v>7</v>
      </c>
      <c r="I2" s="7" t="s">
        <v>7</v>
      </c>
      <c r="J2" s="5" t="s">
        <v>8</v>
      </c>
      <c r="K2" s="5" t="s">
        <v>8</v>
      </c>
      <c r="L2" s="9" t="s">
        <v>7</v>
      </c>
    </row>
    <row r="3" spans="1:12" ht="11.25" customHeight="1" x14ac:dyDescent="0.2">
      <c r="A3" s="10">
        <v>0.2</v>
      </c>
      <c r="B3" s="11">
        <v>8</v>
      </c>
      <c r="C3" s="5" t="s">
        <v>9</v>
      </c>
      <c r="D3" s="12">
        <v>16</v>
      </c>
      <c r="E3" s="5" t="s">
        <v>10</v>
      </c>
      <c r="F3" s="13" t="s">
        <v>9</v>
      </c>
      <c r="G3" s="14">
        <v>5</v>
      </c>
      <c r="H3" s="15">
        <v>13</v>
      </c>
      <c r="I3" s="12">
        <v>18</v>
      </c>
      <c r="J3" s="12">
        <v>26</v>
      </c>
      <c r="K3" s="16">
        <v>1.07</v>
      </c>
      <c r="L3" s="17">
        <v>24</v>
      </c>
    </row>
    <row r="4" spans="1:12" ht="11.25" customHeight="1" x14ac:dyDescent="0.2">
      <c r="A4" s="10">
        <v>0.4</v>
      </c>
      <c r="B4" s="11">
        <v>13</v>
      </c>
      <c r="C4" s="5" t="s">
        <v>9</v>
      </c>
      <c r="D4" s="12">
        <v>26</v>
      </c>
      <c r="E4" s="10">
        <v>1</v>
      </c>
      <c r="F4" s="18">
        <v>26</v>
      </c>
      <c r="G4" s="19">
        <v>5.2</v>
      </c>
      <c r="H4" s="15">
        <v>19</v>
      </c>
      <c r="I4" s="12">
        <v>27</v>
      </c>
      <c r="J4" s="12">
        <v>38</v>
      </c>
      <c r="K4" s="16">
        <v>0.67</v>
      </c>
      <c r="L4" s="17">
        <v>57</v>
      </c>
    </row>
    <row r="5" spans="1:12" ht="11.25" customHeight="1" x14ac:dyDescent="0.2">
      <c r="A5" s="10">
        <v>0.6</v>
      </c>
      <c r="B5" s="11">
        <v>15</v>
      </c>
      <c r="C5" s="12">
        <v>22.5</v>
      </c>
      <c r="D5" s="12">
        <v>30</v>
      </c>
      <c r="E5" s="10">
        <v>0.67</v>
      </c>
      <c r="F5" s="18">
        <v>45</v>
      </c>
      <c r="G5" s="19">
        <v>5.4</v>
      </c>
      <c r="H5" s="15">
        <v>24</v>
      </c>
      <c r="I5" s="12">
        <v>29</v>
      </c>
      <c r="J5" s="12">
        <v>48</v>
      </c>
      <c r="K5" s="16">
        <v>0.8</v>
      </c>
      <c r="L5" s="17">
        <v>60</v>
      </c>
    </row>
    <row r="6" spans="1:12" ht="11.25" customHeight="1" x14ac:dyDescent="0.2">
      <c r="A6" s="10">
        <v>0.8</v>
      </c>
      <c r="B6" s="11">
        <v>12.5</v>
      </c>
      <c r="C6" s="12">
        <v>17.5</v>
      </c>
      <c r="D6" s="12">
        <v>25</v>
      </c>
      <c r="E6" s="10">
        <v>0.73</v>
      </c>
      <c r="F6" s="18">
        <v>34</v>
      </c>
      <c r="G6" s="19">
        <v>5.6</v>
      </c>
      <c r="H6" s="15">
        <v>21</v>
      </c>
      <c r="I6" s="12">
        <v>27</v>
      </c>
      <c r="J6" s="12">
        <v>42</v>
      </c>
      <c r="K6" s="16">
        <v>1</v>
      </c>
      <c r="L6" s="17">
        <v>42</v>
      </c>
    </row>
    <row r="7" spans="1:12" ht="11.25" customHeight="1" x14ac:dyDescent="0.2">
      <c r="A7" s="20">
        <v>1</v>
      </c>
      <c r="B7" s="11">
        <v>8.5</v>
      </c>
      <c r="C7" s="12">
        <v>14</v>
      </c>
      <c r="D7" s="12">
        <v>17</v>
      </c>
      <c r="E7" s="10">
        <v>0.53</v>
      </c>
      <c r="F7" s="18">
        <v>32</v>
      </c>
      <c r="G7" s="19">
        <v>5.8</v>
      </c>
      <c r="H7" s="15">
        <v>15</v>
      </c>
      <c r="I7" s="12">
        <v>22.5</v>
      </c>
      <c r="J7" s="12">
        <v>30</v>
      </c>
      <c r="K7" s="16">
        <v>0.53</v>
      </c>
      <c r="L7" s="17">
        <v>56</v>
      </c>
    </row>
    <row r="8" spans="1:12" ht="11.25" customHeight="1" x14ac:dyDescent="0.2">
      <c r="A8" s="10">
        <v>1.2</v>
      </c>
      <c r="B8" s="11">
        <v>6</v>
      </c>
      <c r="C8" s="12">
        <v>10</v>
      </c>
      <c r="D8" s="12">
        <v>12</v>
      </c>
      <c r="E8" s="10">
        <v>0.53</v>
      </c>
      <c r="F8" s="18">
        <v>22</v>
      </c>
      <c r="G8" s="14">
        <v>6</v>
      </c>
      <c r="H8" s="15">
        <v>16</v>
      </c>
      <c r="I8" s="12">
        <v>20</v>
      </c>
      <c r="J8" s="12">
        <v>32</v>
      </c>
      <c r="K8" s="16">
        <v>0.6</v>
      </c>
      <c r="L8" s="17">
        <v>53</v>
      </c>
    </row>
    <row r="9" spans="1:12" ht="11.25" customHeight="1" x14ac:dyDescent="0.2">
      <c r="A9" s="10">
        <v>1.4</v>
      </c>
      <c r="B9" s="11">
        <v>12</v>
      </c>
      <c r="C9" s="12">
        <v>16</v>
      </c>
      <c r="D9" s="12">
        <v>24</v>
      </c>
      <c r="E9" s="10">
        <v>0.53</v>
      </c>
      <c r="F9" s="18">
        <v>45</v>
      </c>
      <c r="G9" s="19">
        <v>6.2</v>
      </c>
      <c r="H9" s="15">
        <v>18.5</v>
      </c>
      <c r="I9" s="12">
        <v>23</v>
      </c>
      <c r="J9" s="12">
        <v>37</v>
      </c>
      <c r="K9" s="16">
        <v>1</v>
      </c>
      <c r="L9" s="17">
        <v>37</v>
      </c>
    </row>
    <row r="10" spans="1:12" ht="11.25" customHeight="1" x14ac:dyDescent="0.2">
      <c r="A10" s="10">
        <v>1.6</v>
      </c>
      <c r="B10" s="11">
        <v>10</v>
      </c>
      <c r="C10" s="12">
        <v>14</v>
      </c>
      <c r="D10" s="12">
        <v>20</v>
      </c>
      <c r="E10" s="10">
        <v>0.33</v>
      </c>
      <c r="F10" s="18">
        <v>60</v>
      </c>
      <c r="G10" s="19">
        <v>6.4</v>
      </c>
      <c r="H10" s="15">
        <v>20.5</v>
      </c>
      <c r="I10" s="12">
        <v>28</v>
      </c>
      <c r="J10" s="12">
        <v>41</v>
      </c>
      <c r="K10" s="16">
        <v>0.73</v>
      </c>
      <c r="L10" s="17">
        <v>56</v>
      </c>
    </row>
    <row r="11" spans="1:12" ht="11.25" customHeight="1" x14ac:dyDescent="0.2">
      <c r="A11" s="10">
        <v>1.8</v>
      </c>
      <c r="B11" s="11">
        <v>4.5</v>
      </c>
      <c r="C11" s="12">
        <v>7</v>
      </c>
      <c r="D11" s="12">
        <v>9</v>
      </c>
      <c r="E11" s="10">
        <v>0.27</v>
      </c>
      <c r="F11" s="18">
        <v>34</v>
      </c>
      <c r="G11" s="19">
        <v>6.6</v>
      </c>
      <c r="H11" s="15">
        <v>16.5</v>
      </c>
      <c r="I11" s="12">
        <v>22</v>
      </c>
      <c r="J11" s="12">
        <v>33</v>
      </c>
      <c r="K11" s="16">
        <v>0.73</v>
      </c>
      <c r="L11" s="17">
        <v>45</v>
      </c>
    </row>
    <row r="12" spans="1:12" ht="11.25" customHeight="1" x14ac:dyDescent="0.2">
      <c r="A12" s="20">
        <v>2</v>
      </c>
      <c r="B12" s="11">
        <v>38</v>
      </c>
      <c r="C12" s="12">
        <v>40</v>
      </c>
      <c r="D12" s="12">
        <v>76</v>
      </c>
      <c r="E12" s="10">
        <v>0.73</v>
      </c>
      <c r="F12" s="18">
        <v>104</v>
      </c>
      <c r="G12" s="19">
        <v>6.8</v>
      </c>
      <c r="H12" s="15">
        <v>13</v>
      </c>
      <c r="I12" s="12">
        <v>18.5</v>
      </c>
      <c r="J12" s="12">
        <v>26</v>
      </c>
      <c r="K12" s="16">
        <v>0.4</v>
      </c>
      <c r="L12" s="17">
        <v>65</v>
      </c>
    </row>
    <row r="13" spans="1:12" ht="11.25" customHeight="1" x14ac:dyDescent="0.2">
      <c r="A13" s="10">
        <v>2.2000000000000002</v>
      </c>
      <c r="B13" s="11">
        <v>5.5</v>
      </c>
      <c r="C13" s="12">
        <v>11</v>
      </c>
      <c r="D13" s="12">
        <v>11</v>
      </c>
      <c r="E13" s="10">
        <v>0.13</v>
      </c>
      <c r="F13" s="18">
        <v>82</v>
      </c>
      <c r="G13" s="14">
        <v>7</v>
      </c>
      <c r="H13" s="15">
        <v>10</v>
      </c>
      <c r="I13" s="12">
        <v>13</v>
      </c>
      <c r="J13" s="12">
        <v>20</v>
      </c>
      <c r="K13" s="16">
        <v>0.8</v>
      </c>
      <c r="L13" s="17">
        <v>25</v>
      </c>
    </row>
    <row r="14" spans="1:12" ht="11.25" customHeight="1" x14ac:dyDescent="0.2">
      <c r="A14" s="10">
        <v>2.4</v>
      </c>
      <c r="B14" s="11">
        <v>3</v>
      </c>
      <c r="C14" s="12">
        <v>4</v>
      </c>
      <c r="D14" s="12">
        <v>6</v>
      </c>
      <c r="E14" s="10">
        <v>7.0000000000000007E-2</v>
      </c>
      <c r="F14" s="18">
        <v>90</v>
      </c>
      <c r="G14" s="19">
        <v>7.2</v>
      </c>
      <c r="H14" s="15">
        <v>5</v>
      </c>
      <c r="I14" s="12">
        <v>11</v>
      </c>
      <c r="J14" s="12">
        <v>10</v>
      </c>
      <c r="K14" s="16">
        <v>0.4</v>
      </c>
      <c r="L14" s="17">
        <v>25</v>
      </c>
    </row>
    <row r="15" spans="1:12" ht="11.25" customHeight="1" x14ac:dyDescent="0.2">
      <c r="A15" s="10">
        <v>2.6</v>
      </c>
      <c r="B15" s="11">
        <v>2.5</v>
      </c>
      <c r="C15" s="12">
        <v>3</v>
      </c>
      <c r="D15" s="12">
        <v>5</v>
      </c>
      <c r="E15" s="10">
        <v>0.27</v>
      </c>
      <c r="F15" s="18">
        <v>19</v>
      </c>
      <c r="G15" s="19">
        <v>7.4</v>
      </c>
      <c r="H15" s="15">
        <v>20</v>
      </c>
      <c r="I15" s="12">
        <v>23</v>
      </c>
      <c r="J15" s="12">
        <v>40</v>
      </c>
      <c r="K15" s="16">
        <v>0.87</v>
      </c>
      <c r="L15" s="17">
        <v>46</v>
      </c>
    </row>
    <row r="16" spans="1:12" ht="11.25" customHeight="1" x14ac:dyDescent="0.2">
      <c r="A16" s="10">
        <v>2.8</v>
      </c>
      <c r="B16" s="11">
        <v>4</v>
      </c>
      <c r="C16" s="12">
        <v>6</v>
      </c>
      <c r="D16" s="12">
        <v>8</v>
      </c>
      <c r="E16" s="10">
        <v>0.6</v>
      </c>
      <c r="F16" s="18">
        <v>13</v>
      </c>
      <c r="G16" s="19">
        <v>7.6</v>
      </c>
      <c r="H16" s="15">
        <v>17.5</v>
      </c>
      <c r="I16" s="12">
        <v>24</v>
      </c>
      <c r="J16" s="12">
        <v>35</v>
      </c>
      <c r="K16" s="16">
        <v>0.67</v>
      </c>
      <c r="L16" s="17">
        <v>52</v>
      </c>
    </row>
    <row r="17" spans="1:12" ht="11.25" customHeight="1" x14ac:dyDescent="0.2">
      <c r="A17" s="20">
        <v>3</v>
      </c>
      <c r="B17" s="11">
        <v>18</v>
      </c>
      <c r="C17" s="12">
        <v>22.5</v>
      </c>
      <c r="D17" s="12">
        <v>36</v>
      </c>
      <c r="E17" s="10">
        <v>1.07</v>
      </c>
      <c r="F17" s="18">
        <v>34</v>
      </c>
      <c r="G17" s="19">
        <v>7.8</v>
      </c>
      <c r="H17" s="15">
        <v>22</v>
      </c>
      <c r="I17" s="12">
        <v>27</v>
      </c>
      <c r="J17" s="12">
        <v>44</v>
      </c>
      <c r="K17" s="16">
        <v>1.27</v>
      </c>
      <c r="L17" s="17">
        <v>35</v>
      </c>
    </row>
    <row r="18" spans="1:12" ht="11.25" customHeight="1" x14ac:dyDescent="0.2">
      <c r="A18" s="10">
        <v>3.2</v>
      </c>
      <c r="B18" s="11">
        <v>19</v>
      </c>
      <c r="C18" s="12">
        <v>27</v>
      </c>
      <c r="D18" s="12">
        <v>38</v>
      </c>
      <c r="E18" s="10">
        <v>0.53</v>
      </c>
      <c r="F18" s="18">
        <v>71</v>
      </c>
      <c r="G18" s="14">
        <v>8</v>
      </c>
      <c r="H18" s="15">
        <v>18.5</v>
      </c>
      <c r="I18" s="12">
        <v>28</v>
      </c>
      <c r="J18" s="12">
        <v>37</v>
      </c>
      <c r="K18" s="16">
        <v>0.6</v>
      </c>
      <c r="L18" s="17">
        <v>62</v>
      </c>
    </row>
    <row r="19" spans="1:12" ht="11.25" customHeight="1" x14ac:dyDescent="0.2">
      <c r="A19" s="10">
        <v>3.4</v>
      </c>
      <c r="B19" s="11">
        <v>26</v>
      </c>
      <c r="C19" s="12">
        <v>30</v>
      </c>
      <c r="D19" s="12">
        <v>52</v>
      </c>
      <c r="E19" s="10">
        <v>1.6</v>
      </c>
      <c r="F19" s="18">
        <v>32</v>
      </c>
      <c r="G19" s="19">
        <v>8.1999999999999993</v>
      </c>
      <c r="H19" s="15">
        <v>24.5</v>
      </c>
      <c r="I19" s="12">
        <v>29</v>
      </c>
      <c r="J19" s="12">
        <v>49</v>
      </c>
      <c r="K19" s="16">
        <v>1.07</v>
      </c>
      <c r="L19" s="17">
        <v>46</v>
      </c>
    </row>
    <row r="20" spans="1:12" ht="11.25" customHeight="1" x14ac:dyDescent="0.2">
      <c r="A20" s="10">
        <v>3.6</v>
      </c>
      <c r="B20" s="11">
        <v>18</v>
      </c>
      <c r="C20" s="12">
        <v>30</v>
      </c>
      <c r="D20" s="12">
        <v>36</v>
      </c>
      <c r="E20" s="10">
        <v>0.93</v>
      </c>
      <c r="F20" s="18">
        <v>39</v>
      </c>
      <c r="G20" s="19">
        <v>8.4</v>
      </c>
      <c r="H20" s="15">
        <v>28</v>
      </c>
      <c r="I20" s="12">
        <v>36</v>
      </c>
      <c r="J20" s="12">
        <v>56</v>
      </c>
      <c r="K20" s="16">
        <v>1.4</v>
      </c>
      <c r="L20" s="17">
        <v>40</v>
      </c>
    </row>
    <row r="21" spans="1:12" ht="11.25" customHeight="1" x14ac:dyDescent="0.2">
      <c r="A21" s="10">
        <v>3.8</v>
      </c>
      <c r="B21" s="11">
        <v>16</v>
      </c>
      <c r="C21" s="12">
        <v>23</v>
      </c>
      <c r="D21" s="12">
        <v>32</v>
      </c>
      <c r="E21" s="10">
        <v>0.87</v>
      </c>
      <c r="F21" s="18">
        <v>37</v>
      </c>
      <c r="G21" s="19">
        <v>8.6</v>
      </c>
      <c r="H21" s="15">
        <v>27.5</v>
      </c>
      <c r="I21" s="12">
        <v>38</v>
      </c>
      <c r="J21" s="12">
        <v>55</v>
      </c>
      <c r="K21" s="16">
        <v>1.2</v>
      </c>
      <c r="L21" s="17">
        <v>46</v>
      </c>
    </row>
    <row r="22" spans="1:12" ht="11.25" customHeight="1" x14ac:dyDescent="0.2">
      <c r="A22" s="20">
        <v>4</v>
      </c>
      <c r="B22" s="11">
        <v>18.5</v>
      </c>
      <c r="C22" s="12">
        <v>25</v>
      </c>
      <c r="D22" s="12">
        <v>37</v>
      </c>
      <c r="E22" s="10">
        <v>0.93</v>
      </c>
      <c r="F22" s="18">
        <v>40</v>
      </c>
      <c r="G22" s="19">
        <v>8.8000000000000007</v>
      </c>
      <c r="H22" s="15">
        <v>33</v>
      </c>
      <c r="I22" s="12">
        <v>42</v>
      </c>
      <c r="J22" s="12">
        <v>66</v>
      </c>
      <c r="K22" s="16">
        <v>1.33</v>
      </c>
      <c r="L22" s="17">
        <v>49</v>
      </c>
    </row>
    <row r="23" spans="1:12" ht="11.25" customHeight="1" x14ac:dyDescent="0.2">
      <c r="A23" s="10">
        <v>4.2</v>
      </c>
      <c r="B23" s="11">
        <v>11</v>
      </c>
      <c r="C23" s="12">
        <v>18</v>
      </c>
      <c r="D23" s="12">
        <v>22</v>
      </c>
      <c r="E23" s="10">
        <v>0.67</v>
      </c>
      <c r="F23" s="18">
        <v>33</v>
      </c>
      <c r="G23" s="14">
        <v>9</v>
      </c>
      <c r="H23" s="15">
        <v>25</v>
      </c>
      <c r="I23" s="12">
        <v>35</v>
      </c>
      <c r="J23" s="12">
        <v>50</v>
      </c>
      <c r="K23" s="16">
        <v>1.47</v>
      </c>
      <c r="L23" s="17">
        <v>34</v>
      </c>
    </row>
    <row r="24" spans="1:12" ht="11.25" customHeight="1" x14ac:dyDescent="0.2">
      <c r="A24" s="10">
        <v>4.4000000000000004</v>
      </c>
      <c r="B24" s="11">
        <v>13</v>
      </c>
      <c r="C24" s="12">
        <v>18</v>
      </c>
      <c r="D24" s="12">
        <v>26</v>
      </c>
      <c r="E24" s="10">
        <v>0.6</v>
      </c>
      <c r="F24" s="18">
        <v>43</v>
      </c>
      <c r="G24" s="19">
        <v>9.1999999999999993</v>
      </c>
      <c r="H24" s="15">
        <v>32</v>
      </c>
      <c r="I24" s="12">
        <v>43</v>
      </c>
      <c r="J24" s="12">
        <v>64</v>
      </c>
      <c r="K24" s="16">
        <v>1.47</v>
      </c>
      <c r="L24" s="17">
        <v>44</v>
      </c>
    </row>
    <row r="25" spans="1:12" ht="11.25" customHeight="1" x14ac:dyDescent="0.2">
      <c r="A25" s="10">
        <v>4.5999999999999996</v>
      </c>
      <c r="B25" s="11">
        <v>13.5</v>
      </c>
      <c r="C25" s="12">
        <v>18</v>
      </c>
      <c r="D25" s="12">
        <v>27</v>
      </c>
      <c r="E25" s="10">
        <v>0.6</v>
      </c>
      <c r="F25" s="18">
        <v>45</v>
      </c>
      <c r="G25" s="19">
        <v>9.4</v>
      </c>
      <c r="H25" s="15">
        <v>34</v>
      </c>
      <c r="I25" s="12">
        <v>45</v>
      </c>
      <c r="J25" s="12">
        <v>68</v>
      </c>
      <c r="K25" s="16">
        <v>1.6</v>
      </c>
      <c r="L25" s="17">
        <v>42</v>
      </c>
    </row>
    <row r="26" spans="1:12" ht="18" customHeight="1" x14ac:dyDescent="0.2">
      <c r="A26" s="10">
        <v>4.8</v>
      </c>
      <c r="B26" s="11">
        <v>14</v>
      </c>
      <c r="C26" s="12">
        <v>18.5</v>
      </c>
      <c r="D26" s="12">
        <v>28</v>
      </c>
      <c r="E26" s="10">
        <v>0.67</v>
      </c>
      <c r="F26" s="18">
        <v>42</v>
      </c>
      <c r="G26" s="19">
        <v>9.6</v>
      </c>
      <c r="H26" s="15">
        <v>36</v>
      </c>
      <c r="I26" s="12">
        <v>48</v>
      </c>
      <c r="J26" s="12">
        <v>72</v>
      </c>
      <c r="K26" s="21" t="s">
        <v>11</v>
      </c>
      <c r="L26" s="9" t="s">
        <v>9</v>
      </c>
    </row>
    <row r="27" spans="1:12" ht="0.95" customHeigh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workbookViewId="0">
      <selection activeCell="K18" sqref="K18"/>
    </sheetView>
  </sheetViews>
  <sheetFormatPr defaultRowHeight="12.75" x14ac:dyDescent="0.2"/>
  <cols>
    <col min="1" max="1" width="10.83203125" customWidth="1"/>
    <col min="2" max="2" width="0.6640625" customWidth="1"/>
    <col min="3" max="3" width="8.83203125" customWidth="1"/>
    <col min="4" max="4" width="8.6640625" customWidth="1"/>
    <col min="5" max="5" width="9.33203125" customWidth="1"/>
    <col min="6" max="6" width="8.83203125" customWidth="1"/>
    <col min="7" max="7" width="10.1640625" customWidth="1"/>
    <col min="8" max="9" width="9.83203125" customWidth="1"/>
    <col min="10" max="10" width="8.5" customWidth="1"/>
    <col min="11" max="11" width="9.33203125" customWidth="1"/>
    <col min="12" max="12" width="8.6640625" customWidth="1"/>
    <col min="13" max="13" width="11.5" customWidth="1"/>
  </cols>
  <sheetData>
    <row r="1" spans="1:13" ht="12.75" customHeight="1" x14ac:dyDescent="0.2">
      <c r="A1" s="1" t="s">
        <v>0</v>
      </c>
      <c r="B1" s="93" t="s">
        <v>1</v>
      </c>
      <c r="C1" s="93"/>
      <c r="D1" s="1" t="s">
        <v>2</v>
      </c>
      <c r="E1" s="1" t="s">
        <v>3</v>
      </c>
      <c r="F1" s="1" t="s">
        <v>4</v>
      </c>
      <c r="G1" s="3" t="s">
        <v>5</v>
      </c>
      <c r="H1" s="1" t="s">
        <v>0</v>
      </c>
      <c r="I1" s="2" t="s">
        <v>1</v>
      </c>
      <c r="J1" s="1" t="s">
        <v>2</v>
      </c>
      <c r="K1" s="1" t="s">
        <v>3</v>
      </c>
      <c r="L1" s="1" t="s">
        <v>4</v>
      </c>
      <c r="M1" s="22" t="s">
        <v>5</v>
      </c>
    </row>
    <row r="2" spans="1:13" ht="11.25" customHeight="1" x14ac:dyDescent="0.2">
      <c r="A2" s="23" t="s">
        <v>6</v>
      </c>
      <c r="B2" s="94" t="s">
        <v>7</v>
      </c>
      <c r="C2" s="94"/>
      <c r="D2" s="25" t="s">
        <v>7</v>
      </c>
      <c r="E2" s="23" t="s">
        <v>8</v>
      </c>
      <c r="F2" s="23" t="s">
        <v>8</v>
      </c>
      <c r="G2" s="26" t="s">
        <v>7</v>
      </c>
      <c r="H2" s="23" t="s">
        <v>6</v>
      </c>
      <c r="I2" s="24" t="s">
        <v>7</v>
      </c>
      <c r="J2" s="24" t="s">
        <v>7</v>
      </c>
      <c r="K2" s="23" t="s">
        <v>8</v>
      </c>
      <c r="L2" s="23" t="s">
        <v>8</v>
      </c>
      <c r="M2" s="24" t="s">
        <v>7</v>
      </c>
    </row>
    <row r="3" spans="1:13" ht="20.25" customHeight="1" x14ac:dyDescent="0.2">
      <c r="A3" s="27">
        <v>0.2</v>
      </c>
      <c r="B3" s="95">
        <v>3.5</v>
      </c>
      <c r="C3" s="95"/>
      <c r="D3" s="28" t="s">
        <v>9</v>
      </c>
      <c r="E3" s="29">
        <v>7</v>
      </c>
      <c r="F3" s="28" t="s">
        <v>10</v>
      </c>
      <c r="G3" s="30" t="s">
        <v>9</v>
      </c>
      <c r="H3" s="31">
        <v>5.2</v>
      </c>
      <c r="I3" s="32">
        <v>21.5</v>
      </c>
      <c r="J3" s="29">
        <v>28</v>
      </c>
      <c r="K3" s="29">
        <v>43</v>
      </c>
      <c r="L3" s="33">
        <v>0.67</v>
      </c>
      <c r="M3" s="32">
        <v>64</v>
      </c>
    </row>
    <row r="4" spans="1:13" ht="11.25" customHeight="1" x14ac:dyDescent="0.2">
      <c r="A4" s="10">
        <v>0.4</v>
      </c>
      <c r="B4" s="96">
        <v>7</v>
      </c>
      <c r="C4" s="96"/>
      <c r="D4" s="5" t="s">
        <v>9</v>
      </c>
      <c r="E4" s="12">
        <v>14</v>
      </c>
      <c r="F4" s="10">
        <v>0.4</v>
      </c>
      <c r="G4" s="18">
        <v>35</v>
      </c>
      <c r="H4" s="34">
        <v>5.4</v>
      </c>
      <c r="I4" s="35">
        <v>24</v>
      </c>
      <c r="J4" s="12">
        <v>29</v>
      </c>
      <c r="K4" s="12">
        <v>48</v>
      </c>
      <c r="L4" s="36">
        <v>0.8</v>
      </c>
      <c r="M4" s="35">
        <v>60</v>
      </c>
    </row>
    <row r="5" spans="1:13" ht="11.25" customHeight="1" x14ac:dyDescent="0.2">
      <c r="A5" s="10">
        <v>0.6</v>
      </c>
      <c r="B5" s="96">
        <v>12</v>
      </c>
      <c r="C5" s="96"/>
      <c r="D5" s="12">
        <v>15</v>
      </c>
      <c r="E5" s="12">
        <v>24</v>
      </c>
      <c r="F5" s="10">
        <v>0.6</v>
      </c>
      <c r="G5" s="18">
        <v>40</v>
      </c>
      <c r="H5" s="34">
        <v>5.6</v>
      </c>
      <c r="I5" s="35">
        <v>26</v>
      </c>
      <c r="J5" s="12">
        <v>32</v>
      </c>
      <c r="K5" s="12">
        <v>52</v>
      </c>
      <c r="L5" s="36">
        <v>1.07</v>
      </c>
      <c r="M5" s="35">
        <v>49</v>
      </c>
    </row>
    <row r="6" spans="1:13" ht="11.25" customHeight="1" x14ac:dyDescent="0.2">
      <c r="A6" s="10">
        <v>0.8</v>
      </c>
      <c r="B6" s="96">
        <v>25</v>
      </c>
      <c r="C6" s="96"/>
      <c r="D6" s="12">
        <v>29.5</v>
      </c>
      <c r="E6" s="12">
        <v>50</v>
      </c>
      <c r="F6" s="10">
        <v>0.8</v>
      </c>
      <c r="G6" s="18">
        <v>62</v>
      </c>
      <c r="H6" s="34">
        <v>5.8</v>
      </c>
      <c r="I6" s="35">
        <v>19</v>
      </c>
      <c r="J6" s="12">
        <v>27</v>
      </c>
      <c r="K6" s="12">
        <v>38</v>
      </c>
      <c r="L6" s="36">
        <v>0.53</v>
      </c>
      <c r="M6" s="35">
        <v>71</v>
      </c>
    </row>
    <row r="7" spans="1:13" ht="11.25" customHeight="1" x14ac:dyDescent="0.2">
      <c r="A7" s="20">
        <v>1</v>
      </c>
      <c r="B7" s="96">
        <v>20</v>
      </c>
      <c r="C7" s="96"/>
      <c r="D7" s="12">
        <v>26</v>
      </c>
      <c r="E7" s="12">
        <v>40</v>
      </c>
      <c r="F7" s="10">
        <v>1.07</v>
      </c>
      <c r="G7" s="18">
        <v>37</v>
      </c>
      <c r="H7" s="37">
        <v>6</v>
      </c>
      <c r="I7" s="35">
        <v>24.5</v>
      </c>
      <c r="J7" s="12">
        <v>28.5</v>
      </c>
      <c r="K7" s="12">
        <v>49</v>
      </c>
      <c r="L7" s="36">
        <v>0.6</v>
      </c>
      <c r="M7" s="35">
        <v>82</v>
      </c>
    </row>
    <row r="8" spans="1:13" ht="11.25" customHeight="1" x14ac:dyDescent="0.2">
      <c r="A8" s="10">
        <v>1.2</v>
      </c>
      <c r="B8" s="96">
        <v>12</v>
      </c>
      <c r="C8" s="96"/>
      <c r="D8" s="12">
        <v>20</v>
      </c>
      <c r="E8" s="12">
        <v>24</v>
      </c>
      <c r="F8" s="10">
        <v>0.87</v>
      </c>
      <c r="G8" s="18">
        <v>28</v>
      </c>
      <c r="H8" s="34">
        <v>6.2</v>
      </c>
      <c r="I8" s="35">
        <v>27.5</v>
      </c>
      <c r="J8" s="12">
        <v>32</v>
      </c>
      <c r="K8" s="12">
        <v>55</v>
      </c>
      <c r="L8" s="36">
        <v>1.2</v>
      </c>
      <c r="M8" s="35">
        <v>46</v>
      </c>
    </row>
    <row r="9" spans="1:13" ht="11.25" customHeight="1" x14ac:dyDescent="0.2">
      <c r="A9" s="10">
        <v>1.4</v>
      </c>
      <c r="B9" s="96">
        <v>13.5</v>
      </c>
      <c r="C9" s="96"/>
      <c r="D9" s="12">
        <v>20</v>
      </c>
      <c r="E9" s="12">
        <v>27</v>
      </c>
      <c r="F9" s="10">
        <v>0.87</v>
      </c>
      <c r="G9" s="18">
        <v>31</v>
      </c>
      <c r="H9" s="34">
        <v>6.4</v>
      </c>
      <c r="I9" s="35">
        <v>25</v>
      </c>
      <c r="J9" s="12">
        <v>34</v>
      </c>
      <c r="K9" s="12">
        <v>50</v>
      </c>
      <c r="L9" s="36">
        <v>1.33</v>
      </c>
      <c r="M9" s="35">
        <v>37</v>
      </c>
    </row>
    <row r="10" spans="1:13" ht="11.25" customHeight="1" x14ac:dyDescent="0.2">
      <c r="A10" s="10">
        <v>1.6</v>
      </c>
      <c r="B10" s="96">
        <v>15.5</v>
      </c>
      <c r="C10" s="96"/>
      <c r="D10" s="12">
        <v>22</v>
      </c>
      <c r="E10" s="12">
        <v>31</v>
      </c>
      <c r="F10" s="10">
        <v>0.87</v>
      </c>
      <c r="G10" s="18">
        <v>36</v>
      </c>
      <c r="H10" s="34">
        <v>6.6</v>
      </c>
      <c r="I10" s="35">
        <v>25</v>
      </c>
      <c r="J10" s="12">
        <v>35</v>
      </c>
      <c r="K10" s="12">
        <v>50</v>
      </c>
      <c r="L10" s="36">
        <v>0.8</v>
      </c>
      <c r="M10" s="35">
        <v>62</v>
      </c>
    </row>
    <row r="11" spans="1:13" ht="11.25" customHeight="1" x14ac:dyDescent="0.2">
      <c r="A11" s="10">
        <v>1.8</v>
      </c>
      <c r="B11" s="96">
        <v>15.5</v>
      </c>
      <c r="C11" s="96"/>
      <c r="D11" s="12">
        <v>22</v>
      </c>
      <c r="E11" s="12">
        <v>31</v>
      </c>
      <c r="F11" s="10">
        <v>1.07</v>
      </c>
      <c r="G11" s="18">
        <v>29</v>
      </c>
      <c r="H11" s="34">
        <v>6.8</v>
      </c>
      <c r="I11" s="35">
        <v>30</v>
      </c>
      <c r="J11" s="12">
        <v>36</v>
      </c>
      <c r="K11" s="12">
        <v>60</v>
      </c>
      <c r="L11" s="36">
        <v>1</v>
      </c>
      <c r="M11" s="35">
        <v>60</v>
      </c>
    </row>
    <row r="12" spans="1:13" ht="11.25" customHeight="1" x14ac:dyDescent="0.2">
      <c r="A12" s="20">
        <v>2</v>
      </c>
      <c r="B12" s="96">
        <v>14</v>
      </c>
      <c r="C12" s="96"/>
      <c r="D12" s="12">
        <v>22</v>
      </c>
      <c r="E12" s="12">
        <v>28</v>
      </c>
      <c r="F12" s="10">
        <v>0.73</v>
      </c>
      <c r="G12" s="18">
        <v>38</v>
      </c>
      <c r="H12" s="37">
        <v>7</v>
      </c>
      <c r="I12" s="35">
        <v>20.5</v>
      </c>
      <c r="J12" s="12">
        <v>28</v>
      </c>
      <c r="K12" s="12">
        <v>41</v>
      </c>
      <c r="L12" s="36">
        <v>0.47</v>
      </c>
      <c r="M12" s="35">
        <v>88</v>
      </c>
    </row>
    <row r="13" spans="1:13" ht="11.25" customHeight="1" x14ac:dyDescent="0.2">
      <c r="A13" s="10">
        <v>2.2000000000000002</v>
      </c>
      <c r="B13" s="96">
        <v>17.5</v>
      </c>
      <c r="C13" s="96"/>
      <c r="D13" s="12">
        <v>23</v>
      </c>
      <c r="E13" s="12">
        <v>35</v>
      </c>
      <c r="F13" s="10">
        <v>1.07</v>
      </c>
      <c r="G13" s="18">
        <v>33</v>
      </c>
      <c r="H13" s="34">
        <v>7.2</v>
      </c>
      <c r="I13" s="35">
        <v>26.5</v>
      </c>
      <c r="J13" s="12">
        <v>30</v>
      </c>
      <c r="K13" s="12">
        <v>53</v>
      </c>
      <c r="L13" s="36">
        <v>1.07</v>
      </c>
      <c r="M13" s="35">
        <v>50</v>
      </c>
    </row>
    <row r="14" spans="1:13" ht="11.25" customHeight="1" x14ac:dyDescent="0.2">
      <c r="A14" s="10">
        <v>2.4</v>
      </c>
      <c r="B14" s="96">
        <v>16</v>
      </c>
      <c r="C14" s="96"/>
      <c r="D14" s="12">
        <v>24</v>
      </c>
      <c r="E14" s="12">
        <v>32</v>
      </c>
      <c r="F14" s="10">
        <v>0.67</v>
      </c>
      <c r="G14" s="18">
        <v>48</v>
      </c>
      <c r="H14" s="34">
        <v>7.4</v>
      </c>
      <c r="I14" s="35">
        <v>16</v>
      </c>
      <c r="J14" s="12">
        <v>24</v>
      </c>
      <c r="K14" s="12">
        <v>32</v>
      </c>
      <c r="L14" s="36">
        <v>1</v>
      </c>
      <c r="M14" s="35">
        <v>32</v>
      </c>
    </row>
    <row r="15" spans="1:13" ht="11.25" customHeight="1" x14ac:dyDescent="0.2">
      <c r="A15" s="10">
        <v>2.6</v>
      </c>
      <c r="B15" s="96">
        <v>32</v>
      </c>
      <c r="C15" s="96"/>
      <c r="D15" s="12">
        <v>37</v>
      </c>
      <c r="E15" s="12">
        <v>64</v>
      </c>
      <c r="F15" s="10">
        <v>1.33</v>
      </c>
      <c r="G15" s="18">
        <v>48</v>
      </c>
      <c r="H15" s="34">
        <v>7.6</v>
      </c>
      <c r="I15" s="35">
        <v>21.5</v>
      </c>
      <c r="J15" s="12">
        <v>29</v>
      </c>
      <c r="K15" s="12">
        <v>43</v>
      </c>
      <c r="L15" s="36">
        <v>1.07</v>
      </c>
      <c r="M15" s="35">
        <v>40</v>
      </c>
    </row>
    <row r="16" spans="1:13" ht="11.25" customHeight="1" x14ac:dyDescent="0.2">
      <c r="A16" s="10">
        <v>2.8</v>
      </c>
      <c r="B16" s="96">
        <v>30</v>
      </c>
      <c r="C16" s="96"/>
      <c r="D16" s="12">
        <v>40</v>
      </c>
      <c r="E16" s="12">
        <v>60</v>
      </c>
      <c r="F16" s="10">
        <v>1.33</v>
      </c>
      <c r="G16" s="18">
        <v>45</v>
      </c>
      <c r="H16" s="34">
        <v>7.8</v>
      </c>
      <c r="I16" s="35">
        <v>19.5</v>
      </c>
      <c r="J16" s="12">
        <v>27.5</v>
      </c>
      <c r="K16" s="12">
        <v>39</v>
      </c>
      <c r="L16" s="36">
        <v>0.73</v>
      </c>
      <c r="M16" s="35">
        <v>53</v>
      </c>
    </row>
    <row r="17" spans="1:13" ht="11.25" customHeight="1" x14ac:dyDescent="0.2">
      <c r="A17" s="20">
        <v>3</v>
      </c>
      <c r="B17" s="96">
        <v>40</v>
      </c>
      <c r="C17" s="96"/>
      <c r="D17" s="12">
        <v>50</v>
      </c>
      <c r="E17" s="12">
        <v>80</v>
      </c>
      <c r="F17" s="10">
        <v>1.73</v>
      </c>
      <c r="G17" s="18">
        <v>46</v>
      </c>
      <c r="H17" s="37">
        <v>8</v>
      </c>
      <c r="I17" s="35">
        <v>23.5</v>
      </c>
      <c r="J17" s="12">
        <v>29</v>
      </c>
      <c r="K17" s="12">
        <v>47</v>
      </c>
      <c r="L17" s="36">
        <v>0.8</v>
      </c>
      <c r="M17" s="35">
        <v>59</v>
      </c>
    </row>
    <row r="18" spans="1:13" ht="11.25" customHeight="1" x14ac:dyDescent="0.2">
      <c r="A18" s="10">
        <v>3.2</v>
      </c>
      <c r="B18" s="96">
        <v>40</v>
      </c>
      <c r="C18" s="96"/>
      <c r="D18" s="12">
        <v>53</v>
      </c>
      <c r="E18" s="12">
        <v>80</v>
      </c>
      <c r="F18" s="10">
        <v>1.87</v>
      </c>
      <c r="G18" s="18">
        <v>43</v>
      </c>
      <c r="H18" s="34">
        <v>8.1999999999999993</v>
      </c>
      <c r="I18" s="35">
        <v>24</v>
      </c>
      <c r="J18" s="12">
        <v>30</v>
      </c>
      <c r="K18" s="12">
        <v>48</v>
      </c>
      <c r="L18" s="36">
        <v>0.67</v>
      </c>
      <c r="M18" s="35">
        <v>72</v>
      </c>
    </row>
    <row r="19" spans="1:13" ht="11.25" customHeight="1" x14ac:dyDescent="0.2">
      <c r="A19" s="10">
        <v>3.4</v>
      </c>
      <c r="B19" s="96">
        <v>26</v>
      </c>
      <c r="C19" s="96"/>
      <c r="D19" s="12">
        <v>40</v>
      </c>
      <c r="E19" s="12">
        <v>52</v>
      </c>
      <c r="F19" s="10">
        <v>1.2</v>
      </c>
      <c r="G19" s="18">
        <v>43</v>
      </c>
      <c r="H19" s="34">
        <v>8.4</v>
      </c>
      <c r="I19" s="35">
        <v>20</v>
      </c>
      <c r="J19" s="12">
        <v>25</v>
      </c>
      <c r="K19" s="12">
        <v>40</v>
      </c>
      <c r="L19" s="36">
        <v>1.1299999999999999</v>
      </c>
      <c r="M19" s="35">
        <v>35</v>
      </c>
    </row>
    <row r="20" spans="1:13" ht="11.25" customHeight="1" x14ac:dyDescent="0.2">
      <c r="A20" s="10">
        <v>3.6</v>
      </c>
      <c r="B20" s="96">
        <v>22</v>
      </c>
      <c r="C20" s="96"/>
      <c r="D20" s="12">
        <v>31</v>
      </c>
      <c r="E20" s="12">
        <v>44</v>
      </c>
      <c r="F20" s="10">
        <v>1.2</v>
      </c>
      <c r="G20" s="18">
        <v>37</v>
      </c>
      <c r="H20" s="34">
        <v>8.6</v>
      </c>
      <c r="I20" s="35">
        <v>16.5</v>
      </c>
      <c r="J20" s="12">
        <v>25</v>
      </c>
      <c r="K20" s="12">
        <v>33</v>
      </c>
      <c r="L20" s="36">
        <v>0.8</v>
      </c>
      <c r="M20" s="35">
        <v>41</v>
      </c>
    </row>
    <row r="21" spans="1:13" ht="11.25" customHeight="1" x14ac:dyDescent="0.2">
      <c r="A21" s="10">
        <v>3.8</v>
      </c>
      <c r="B21" s="96">
        <v>14.5</v>
      </c>
      <c r="C21" s="96"/>
      <c r="D21" s="12">
        <v>23.5</v>
      </c>
      <c r="E21" s="12">
        <v>29</v>
      </c>
      <c r="F21" s="10">
        <v>1</v>
      </c>
      <c r="G21" s="18">
        <v>29</v>
      </c>
      <c r="H21" s="34">
        <v>8.8000000000000007</v>
      </c>
      <c r="I21" s="35">
        <v>23</v>
      </c>
      <c r="J21" s="12">
        <v>29</v>
      </c>
      <c r="K21" s="12">
        <v>46</v>
      </c>
      <c r="L21" s="36">
        <v>0.67</v>
      </c>
      <c r="M21" s="35">
        <v>69</v>
      </c>
    </row>
    <row r="22" spans="1:13" ht="11.25" customHeight="1" x14ac:dyDescent="0.2">
      <c r="A22" s="20">
        <v>4</v>
      </c>
      <c r="B22" s="96">
        <v>14.5</v>
      </c>
      <c r="C22" s="96"/>
      <c r="D22" s="12">
        <v>22</v>
      </c>
      <c r="E22" s="12">
        <v>29</v>
      </c>
      <c r="F22" s="10">
        <v>0.6</v>
      </c>
      <c r="G22" s="18">
        <v>48</v>
      </c>
      <c r="H22" s="37">
        <v>9</v>
      </c>
      <c r="I22" s="35">
        <v>28</v>
      </c>
      <c r="J22" s="12">
        <v>33</v>
      </c>
      <c r="K22" s="12">
        <v>56</v>
      </c>
      <c r="L22" s="36">
        <v>0.93</v>
      </c>
      <c r="M22" s="35">
        <v>60</v>
      </c>
    </row>
    <row r="23" spans="1:13" ht="11.25" customHeight="1" x14ac:dyDescent="0.2">
      <c r="A23" s="10">
        <v>4.2</v>
      </c>
      <c r="B23" s="96">
        <v>17.5</v>
      </c>
      <c r="C23" s="96"/>
      <c r="D23" s="12">
        <v>22</v>
      </c>
      <c r="E23" s="12">
        <v>35</v>
      </c>
      <c r="F23" s="10">
        <v>0.8</v>
      </c>
      <c r="G23" s="18">
        <v>44</v>
      </c>
      <c r="H23" s="34">
        <v>9.1999999999999993</v>
      </c>
      <c r="I23" s="35">
        <v>28</v>
      </c>
      <c r="J23" s="12">
        <v>35</v>
      </c>
      <c r="K23" s="12">
        <v>56</v>
      </c>
      <c r="L23" s="36">
        <v>1.07</v>
      </c>
      <c r="M23" s="35">
        <v>52</v>
      </c>
    </row>
    <row r="24" spans="1:13" ht="11.25" customHeight="1" x14ac:dyDescent="0.2">
      <c r="A24" s="10">
        <v>4.4000000000000004</v>
      </c>
      <c r="B24" s="96">
        <v>15.5</v>
      </c>
      <c r="C24" s="96"/>
      <c r="D24" s="12">
        <v>21.5</v>
      </c>
      <c r="E24" s="12">
        <v>31</v>
      </c>
      <c r="F24" s="10">
        <v>0.53</v>
      </c>
      <c r="G24" s="18">
        <v>58</v>
      </c>
      <c r="H24" s="34">
        <v>9.4</v>
      </c>
      <c r="I24" s="35">
        <v>29</v>
      </c>
      <c r="J24" s="12">
        <v>37</v>
      </c>
      <c r="K24" s="12">
        <v>58</v>
      </c>
      <c r="L24" s="36">
        <v>1.33</v>
      </c>
      <c r="M24" s="35">
        <v>43</v>
      </c>
    </row>
    <row r="25" spans="1:13" ht="11.25" customHeight="1" x14ac:dyDescent="0.2">
      <c r="A25" s="10">
        <v>4.5999999999999996</v>
      </c>
      <c r="B25" s="96">
        <v>14</v>
      </c>
      <c r="C25" s="96"/>
      <c r="D25" s="12">
        <v>18</v>
      </c>
      <c r="E25" s="12">
        <v>28</v>
      </c>
      <c r="F25" s="10">
        <v>0.67</v>
      </c>
      <c r="G25" s="18">
        <v>42</v>
      </c>
      <c r="H25" s="34">
        <v>9.6</v>
      </c>
      <c r="I25" s="35">
        <v>32</v>
      </c>
      <c r="J25" s="12">
        <v>42</v>
      </c>
      <c r="K25" s="12">
        <v>64</v>
      </c>
      <c r="L25" s="36">
        <v>1.47</v>
      </c>
      <c r="M25" s="35">
        <v>44</v>
      </c>
    </row>
    <row r="26" spans="1:13" ht="11.25" customHeight="1" x14ac:dyDescent="0.2">
      <c r="A26" s="10">
        <v>4.8</v>
      </c>
      <c r="B26" s="96">
        <v>15.5</v>
      </c>
      <c r="C26" s="96"/>
      <c r="D26" s="12">
        <v>20.5</v>
      </c>
      <c r="E26" s="12">
        <v>31</v>
      </c>
      <c r="F26" s="10">
        <v>0.4</v>
      </c>
      <c r="G26" s="18">
        <v>77</v>
      </c>
      <c r="H26" s="34">
        <v>9.8000000000000007</v>
      </c>
      <c r="I26" s="35">
        <v>34</v>
      </c>
      <c r="J26" s="12">
        <v>45</v>
      </c>
      <c r="K26" s="12">
        <v>68</v>
      </c>
      <c r="L26" s="36">
        <v>1.6</v>
      </c>
      <c r="M26" s="35">
        <v>42</v>
      </c>
    </row>
    <row r="27" spans="1:13" ht="18" customHeight="1" x14ac:dyDescent="0.2">
      <c r="A27" s="20">
        <v>5</v>
      </c>
      <c r="B27" s="96">
        <v>24</v>
      </c>
      <c r="C27" s="96"/>
      <c r="D27" s="12">
        <v>27</v>
      </c>
      <c r="E27" s="12">
        <v>48</v>
      </c>
      <c r="F27" s="10">
        <v>0.87</v>
      </c>
      <c r="G27" s="18">
        <v>55</v>
      </c>
      <c r="H27" s="37">
        <v>10</v>
      </c>
      <c r="I27" s="35">
        <v>30</v>
      </c>
      <c r="J27" s="12">
        <v>42</v>
      </c>
      <c r="K27" s="12">
        <v>60</v>
      </c>
      <c r="L27" s="38" t="s">
        <v>11</v>
      </c>
      <c r="M27" s="6" t="s">
        <v>9</v>
      </c>
    </row>
    <row r="28" spans="1:13" ht="0.95" customHeight="1" x14ac:dyDescent="0.2"/>
    <row r="29" spans="1:13" ht="281.10000000000002" customHeight="1" x14ac:dyDescent="0.2"/>
  </sheetData>
  <mergeCells count="27">
    <mergeCell ref="B26:C26"/>
    <mergeCell ref="B27:C27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57"/>
  <sheetViews>
    <sheetView topLeftCell="A24" zoomScale="60" zoomScaleNormal="60" workbookViewId="0">
      <selection activeCell="AA39" sqref="AA39"/>
    </sheetView>
  </sheetViews>
  <sheetFormatPr defaultRowHeight="12.75" x14ac:dyDescent="0.2"/>
  <cols>
    <col min="1" max="31" width="10.83203125" customWidth="1"/>
  </cols>
  <sheetData>
    <row r="1" spans="1:38" ht="20.100000000000001" customHeight="1" x14ac:dyDescent="0.2">
      <c r="A1" s="100" t="s">
        <v>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62"/>
      <c r="M1" s="62"/>
      <c r="N1" s="100" t="s">
        <v>23</v>
      </c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63"/>
      <c r="Z1" s="63"/>
      <c r="AA1" s="63"/>
      <c r="AB1" s="63"/>
      <c r="AC1" s="63"/>
    </row>
    <row r="2" spans="1:38" ht="20.100000000000001" customHeight="1" x14ac:dyDescent="0.2">
      <c r="A2" s="97" t="s">
        <v>24</v>
      </c>
      <c r="B2" s="97"/>
      <c r="C2" s="97"/>
      <c r="D2" s="97" t="s">
        <v>25</v>
      </c>
      <c r="E2" s="97"/>
      <c r="F2" s="97"/>
      <c r="G2" s="97"/>
      <c r="H2" s="97"/>
      <c r="I2" s="97"/>
      <c r="J2" s="97" t="s">
        <v>26</v>
      </c>
      <c r="K2" s="97"/>
      <c r="L2" s="64" t="s">
        <v>27</v>
      </c>
      <c r="M2" s="64" t="s">
        <v>28</v>
      </c>
      <c r="N2" s="64" t="s">
        <v>29</v>
      </c>
      <c r="O2" s="64" t="s">
        <v>30</v>
      </c>
      <c r="P2" s="64" t="s">
        <v>31</v>
      </c>
      <c r="Q2" s="64" t="s">
        <v>32</v>
      </c>
      <c r="R2" s="97" t="s">
        <v>33</v>
      </c>
      <c r="S2" s="97"/>
      <c r="T2" s="64" t="s">
        <v>34</v>
      </c>
      <c r="U2" s="64" t="s">
        <v>35</v>
      </c>
      <c r="V2" s="97" t="s">
        <v>36</v>
      </c>
      <c r="W2" s="97"/>
      <c r="X2" s="97"/>
      <c r="Y2" s="63"/>
      <c r="Z2" s="63"/>
      <c r="AA2" s="63"/>
      <c r="AB2" s="63"/>
      <c r="AC2" s="63"/>
    </row>
    <row r="3" spans="1:38" ht="20.100000000000001" customHeight="1" x14ac:dyDescent="0.2">
      <c r="A3" s="97" t="s">
        <v>37</v>
      </c>
      <c r="B3" s="97"/>
      <c r="C3" s="97"/>
      <c r="D3" s="97" t="s">
        <v>38</v>
      </c>
      <c r="E3" s="97"/>
      <c r="F3" s="97"/>
      <c r="G3" s="97"/>
      <c r="H3" s="97"/>
      <c r="I3" s="97"/>
      <c r="J3" s="97" t="s">
        <v>39</v>
      </c>
      <c r="K3" s="97"/>
      <c r="L3" s="64" t="s">
        <v>39</v>
      </c>
      <c r="M3" s="64" t="s">
        <v>40</v>
      </c>
      <c r="N3" s="64" t="s">
        <v>41</v>
      </c>
      <c r="O3" s="64" t="s">
        <v>41</v>
      </c>
      <c r="P3" s="64" t="s">
        <v>41</v>
      </c>
      <c r="Q3" s="64" t="s">
        <v>41</v>
      </c>
      <c r="R3" s="97" t="s">
        <v>41</v>
      </c>
      <c r="S3" s="97"/>
      <c r="T3" s="64" t="s">
        <v>41</v>
      </c>
      <c r="U3" s="64" t="s">
        <v>42</v>
      </c>
      <c r="V3" s="97" t="s">
        <v>43</v>
      </c>
      <c r="W3" s="97"/>
      <c r="X3" s="97"/>
      <c r="Y3" s="63"/>
      <c r="Z3" s="63"/>
      <c r="AA3" s="63"/>
      <c r="AB3" s="63"/>
      <c r="AC3" s="63"/>
    </row>
    <row r="4" spans="1:38" ht="20.100000000000001" customHeight="1" x14ac:dyDescent="0.2">
      <c r="A4" s="65">
        <v>0.2</v>
      </c>
      <c r="B4" s="66">
        <v>16</v>
      </c>
      <c r="C4" s="64" t="s">
        <v>44</v>
      </c>
      <c r="D4" s="64" t="s">
        <v>45</v>
      </c>
      <c r="E4" s="65">
        <v>1.85</v>
      </c>
      <c r="F4" s="65">
        <v>0.04</v>
      </c>
      <c r="G4" s="98">
        <v>0.7</v>
      </c>
      <c r="H4" s="98"/>
      <c r="I4" s="67">
        <v>99.9</v>
      </c>
      <c r="J4" s="66">
        <v>118</v>
      </c>
      <c r="K4" s="66">
        <v>177</v>
      </c>
      <c r="L4" s="66">
        <v>52</v>
      </c>
      <c r="M4" s="66">
        <v>89</v>
      </c>
      <c r="N4" s="66">
        <v>41</v>
      </c>
      <c r="O4" s="66">
        <v>42</v>
      </c>
      <c r="P4" s="66">
        <v>44</v>
      </c>
      <c r="Q4" s="66">
        <v>45</v>
      </c>
      <c r="R4" s="99">
        <v>43</v>
      </c>
      <c r="S4" s="99"/>
      <c r="T4" s="66">
        <v>27</v>
      </c>
      <c r="U4" s="68">
        <v>0.221</v>
      </c>
      <c r="V4" s="66">
        <v>27</v>
      </c>
      <c r="W4" s="66">
        <v>40</v>
      </c>
      <c r="X4" s="66">
        <v>48</v>
      </c>
      <c r="Y4" s="63"/>
      <c r="Z4" s="65"/>
      <c r="AA4" s="66"/>
      <c r="AB4" s="65"/>
      <c r="AC4" s="66"/>
      <c r="AD4" s="41"/>
      <c r="AE4" s="40"/>
      <c r="AF4" s="41"/>
      <c r="AG4" s="40"/>
      <c r="AH4" s="41"/>
      <c r="AI4" s="40"/>
      <c r="AJ4" s="41"/>
      <c r="AK4" s="40"/>
      <c r="AL4" s="42"/>
    </row>
    <row r="5" spans="1:38" ht="20.100000000000001" customHeight="1" x14ac:dyDescent="0.2">
      <c r="A5" s="65">
        <v>0.4</v>
      </c>
      <c r="B5" s="66">
        <v>26</v>
      </c>
      <c r="C5" s="66">
        <v>26</v>
      </c>
      <c r="D5" s="64" t="s">
        <v>45</v>
      </c>
      <c r="E5" s="65">
        <v>1.85</v>
      </c>
      <c r="F5" s="65">
        <v>7.0000000000000007E-2</v>
      </c>
      <c r="G5" s="98">
        <v>0.93</v>
      </c>
      <c r="H5" s="98"/>
      <c r="I5" s="67">
        <v>99.9</v>
      </c>
      <c r="J5" s="66">
        <v>158</v>
      </c>
      <c r="K5" s="66">
        <v>237</v>
      </c>
      <c r="L5" s="66">
        <v>78</v>
      </c>
      <c r="M5" s="66">
        <v>89</v>
      </c>
      <c r="N5" s="66">
        <v>40</v>
      </c>
      <c r="O5" s="66">
        <v>42</v>
      </c>
      <c r="P5" s="66">
        <v>44</v>
      </c>
      <c r="Q5" s="66">
        <v>45</v>
      </c>
      <c r="R5" s="99">
        <v>42</v>
      </c>
      <c r="S5" s="99"/>
      <c r="T5" s="66">
        <v>28</v>
      </c>
      <c r="U5" s="68">
        <v>0.22</v>
      </c>
      <c r="V5" s="66">
        <v>43</v>
      </c>
      <c r="W5" s="66">
        <v>65</v>
      </c>
      <c r="X5" s="66">
        <v>78</v>
      </c>
      <c r="Y5" s="63"/>
      <c r="Z5" s="65"/>
      <c r="AA5" s="66"/>
      <c r="AB5" s="65"/>
      <c r="AC5" s="66"/>
      <c r="AD5" s="41"/>
      <c r="AE5" s="40"/>
      <c r="AF5" s="41"/>
      <c r="AG5" s="40"/>
      <c r="AH5" s="41"/>
      <c r="AI5" s="40"/>
      <c r="AJ5" s="41"/>
      <c r="AK5" s="40"/>
      <c r="AL5" s="42"/>
    </row>
    <row r="6" spans="1:38" ht="20.100000000000001" customHeight="1" x14ac:dyDescent="0.2">
      <c r="A6" s="65">
        <v>0.6</v>
      </c>
      <c r="B6" s="66">
        <v>30</v>
      </c>
      <c r="C6" s="66">
        <v>45</v>
      </c>
      <c r="D6" s="64" t="s">
        <v>46</v>
      </c>
      <c r="E6" s="65">
        <v>1.85</v>
      </c>
      <c r="F6" s="65">
        <v>0.11</v>
      </c>
      <c r="G6" s="97" t="s">
        <v>44</v>
      </c>
      <c r="H6" s="97"/>
      <c r="I6" s="64" t="s">
        <v>44</v>
      </c>
      <c r="J6" s="64" t="s">
        <v>44</v>
      </c>
      <c r="K6" s="64" t="s">
        <v>44</v>
      </c>
      <c r="L6" s="64" t="s">
        <v>44</v>
      </c>
      <c r="M6" s="66">
        <v>84</v>
      </c>
      <c r="N6" s="66">
        <v>40</v>
      </c>
      <c r="O6" s="66">
        <v>41</v>
      </c>
      <c r="P6" s="66">
        <v>43</v>
      </c>
      <c r="Q6" s="66">
        <v>45</v>
      </c>
      <c r="R6" s="99">
        <v>41</v>
      </c>
      <c r="S6" s="99"/>
      <c r="T6" s="66">
        <v>29</v>
      </c>
      <c r="U6" s="68">
        <v>0.20399999999999999</v>
      </c>
      <c r="V6" s="66">
        <v>50</v>
      </c>
      <c r="W6" s="66">
        <v>75</v>
      </c>
      <c r="X6" s="66">
        <v>90</v>
      </c>
      <c r="Y6" s="63"/>
      <c r="Z6" s="65"/>
      <c r="AA6" s="66"/>
      <c r="AB6" s="65"/>
      <c r="AC6" s="66"/>
      <c r="AD6" s="41"/>
      <c r="AE6" s="40"/>
      <c r="AF6" s="41"/>
      <c r="AG6" s="40"/>
      <c r="AH6" s="41"/>
      <c r="AI6" s="40"/>
      <c r="AJ6" s="41"/>
      <c r="AK6" s="40"/>
      <c r="AL6" s="42"/>
    </row>
    <row r="7" spans="1:38" ht="20.100000000000001" customHeight="1" x14ac:dyDescent="0.2">
      <c r="A7" s="65">
        <v>0.8</v>
      </c>
      <c r="B7" s="66">
        <v>25</v>
      </c>
      <c r="C7" s="66">
        <v>34</v>
      </c>
      <c r="D7" s="64" t="s">
        <v>46</v>
      </c>
      <c r="E7" s="65">
        <v>1.85</v>
      </c>
      <c r="F7" s="65">
        <v>0.15</v>
      </c>
      <c r="G7" s="97" t="s">
        <v>44</v>
      </c>
      <c r="H7" s="97"/>
      <c r="I7" s="64" t="s">
        <v>44</v>
      </c>
      <c r="J7" s="64" t="s">
        <v>44</v>
      </c>
      <c r="K7" s="64" t="s">
        <v>44</v>
      </c>
      <c r="L7" s="64" t="s">
        <v>44</v>
      </c>
      <c r="M7" s="66">
        <v>71</v>
      </c>
      <c r="N7" s="66">
        <v>38</v>
      </c>
      <c r="O7" s="66">
        <v>40</v>
      </c>
      <c r="P7" s="66">
        <v>42</v>
      </c>
      <c r="Q7" s="66">
        <v>44</v>
      </c>
      <c r="R7" s="99">
        <v>39</v>
      </c>
      <c r="S7" s="99"/>
      <c r="T7" s="66">
        <v>28</v>
      </c>
      <c r="U7" s="68">
        <v>0.16200000000000001</v>
      </c>
      <c r="V7" s="66">
        <v>42</v>
      </c>
      <c r="W7" s="66">
        <v>63</v>
      </c>
      <c r="X7" s="66">
        <v>75</v>
      </c>
      <c r="Y7" s="63"/>
      <c r="Z7" s="65"/>
      <c r="AA7" s="66"/>
      <c r="AB7" s="65"/>
      <c r="AC7" s="66"/>
      <c r="AD7" s="41"/>
      <c r="AE7" s="40"/>
      <c r="AF7" s="41"/>
      <c r="AG7" s="40"/>
      <c r="AH7" s="41"/>
      <c r="AI7" s="40"/>
      <c r="AJ7" s="41"/>
      <c r="AK7" s="40"/>
      <c r="AL7" s="42"/>
    </row>
    <row r="8" spans="1:38" ht="20.100000000000001" customHeight="1" x14ac:dyDescent="0.2">
      <c r="A8" s="69" t="s">
        <v>48</v>
      </c>
      <c r="B8" s="66">
        <v>17</v>
      </c>
      <c r="C8" s="66">
        <v>32</v>
      </c>
      <c r="D8" s="64" t="s">
        <v>45</v>
      </c>
      <c r="E8" s="65">
        <v>1.85</v>
      </c>
      <c r="F8" s="65">
        <v>0.19</v>
      </c>
      <c r="G8" s="98">
        <v>0.72</v>
      </c>
      <c r="H8" s="98"/>
      <c r="I8" s="67">
        <v>34.5</v>
      </c>
      <c r="J8" s="66">
        <v>123</v>
      </c>
      <c r="K8" s="66">
        <v>184</v>
      </c>
      <c r="L8" s="66">
        <v>54</v>
      </c>
      <c r="M8" s="66">
        <v>52</v>
      </c>
      <c r="N8" s="66">
        <v>35</v>
      </c>
      <c r="O8" s="66">
        <v>38</v>
      </c>
      <c r="P8" s="66">
        <v>40</v>
      </c>
      <c r="Q8" s="66">
        <v>42</v>
      </c>
      <c r="R8" s="99">
        <v>37</v>
      </c>
      <c r="S8" s="99"/>
      <c r="T8" s="66">
        <v>27</v>
      </c>
      <c r="U8" s="68">
        <v>0.11</v>
      </c>
      <c r="V8" s="66">
        <v>28</v>
      </c>
      <c r="W8" s="66">
        <v>43</v>
      </c>
      <c r="X8" s="69" t="s">
        <v>49</v>
      </c>
      <c r="Y8" s="63"/>
      <c r="Z8" s="69"/>
      <c r="AA8" s="66"/>
      <c r="AB8" s="69"/>
      <c r="AC8" s="66"/>
      <c r="AD8" s="43"/>
      <c r="AE8" s="40"/>
      <c r="AF8" s="43"/>
      <c r="AG8" s="40"/>
      <c r="AH8" s="43"/>
      <c r="AI8" s="40"/>
      <c r="AJ8" s="43"/>
      <c r="AK8" s="40"/>
      <c r="AL8" s="42"/>
    </row>
    <row r="9" spans="1:38" ht="20.100000000000001" customHeight="1" x14ac:dyDescent="0.2">
      <c r="A9" s="65">
        <v>1.2</v>
      </c>
      <c r="B9" s="66">
        <v>12</v>
      </c>
      <c r="C9" s="66">
        <v>22</v>
      </c>
      <c r="D9" s="64" t="s">
        <v>47</v>
      </c>
      <c r="E9" s="65">
        <v>1.85</v>
      </c>
      <c r="F9" s="65">
        <v>0.22</v>
      </c>
      <c r="G9" s="98">
        <v>0.56999999999999995</v>
      </c>
      <c r="H9" s="98"/>
      <c r="I9" s="67">
        <v>20.5</v>
      </c>
      <c r="J9" s="66">
        <v>97</v>
      </c>
      <c r="K9" s="66">
        <v>146</v>
      </c>
      <c r="L9" s="66">
        <v>45</v>
      </c>
      <c r="M9" s="64" t="s">
        <v>44</v>
      </c>
      <c r="N9" s="64">
        <v>0</v>
      </c>
      <c r="O9" s="64">
        <v>0</v>
      </c>
      <c r="P9" s="64">
        <v>0</v>
      </c>
      <c r="Q9" s="64">
        <v>0</v>
      </c>
      <c r="R9" s="97">
        <v>0</v>
      </c>
      <c r="S9" s="97"/>
      <c r="T9" s="64">
        <v>0</v>
      </c>
      <c r="U9" s="64" t="s">
        <v>44</v>
      </c>
      <c r="V9" s="64" t="s">
        <v>44</v>
      </c>
      <c r="W9" s="64" t="s">
        <v>44</v>
      </c>
      <c r="X9" s="64" t="s">
        <v>44</v>
      </c>
      <c r="Y9" s="63"/>
      <c r="Z9" s="65"/>
      <c r="AA9" s="64"/>
      <c r="AB9" s="65"/>
      <c r="AC9" s="64"/>
      <c r="AD9" s="41"/>
      <c r="AE9" s="39"/>
      <c r="AF9" s="41"/>
      <c r="AG9" s="39"/>
      <c r="AH9" s="41"/>
      <c r="AI9" s="39"/>
      <c r="AJ9" s="41"/>
      <c r="AK9" s="39"/>
      <c r="AL9" s="42"/>
    </row>
    <row r="10" spans="1:38" ht="20.100000000000001" customHeight="1" x14ac:dyDescent="0.2">
      <c r="A10" s="65">
        <v>1.4</v>
      </c>
      <c r="B10" s="66">
        <v>24</v>
      </c>
      <c r="C10" s="66">
        <v>45</v>
      </c>
      <c r="D10" s="64" t="s">
        <v>46</v>
      </c>
      <c r="E10" s="65">
        <v>1.85</v>
      </c>
      <c r="F10" s="65">
        <v>0.26</v>
      </c>
      <c r="G10" s="97" t="s">
        <v>44</v>
      </c>
      <c r="H10" s="97"/>
      <c r="I10" s="64" t="s">
        <v>44</v>
      </c>
      <c r="J10" s="64" t="s">
        <v>44</v>
      </c>
      <c r="K10" s="64" t="s">
        <v>44</v>
      </c>
      <c r="L10" s="64" t="s">
        <v>44</v>
      </c>
      <c r="M10" s="66">
        <v>56</v>
      </c>
      <c r="N10" s="66">
        <v>36</v>
      </c>
      <c r="O10" s="66">
        <v>38</v>
      </c>
      <c r="P10" s="66">
        <v>40</v>
      </c>
      <c r="Q10" s="66">
        <v>42</v>
      </c>
      <c r="R10" s="99">
        <v>37</v>
      </c>
      <c r="S10" s="99"/>
      <c r="T10" s="66">
        <v>28</v>
      </c>
      <c r="U10" s="68">
        <v>0.11899999999999999</v>
      </c>
      <c r="V10" s="66">
        <v>40</v>
      </c>
      <c r="W10" s="66">
        <v>60</v>
      </c>
      <c r="X10" s="66">
        <v>72</v>
      </c>
      <c r="Y10" s="63"/>
      <c r="Z10" s="65"/>
      <c r="AA10" s="66"/>
      <c r="AB10" s="65"/>
      <c r="AC10" s="66"/>
      <c r="AD10" s="41"/>
      <c r="AE10" s="40"/>
      <c r="AF10" s="41"/>
      <c r="AG10" s="40"/>
      <c r="AH10" s="41"/>
      <c r="AI10" s="40"/>
      <c r="AJ10" s="41"/>
      <c r="AK10" s="40"/>
      <c r="AL10" s="42"/>
    </row>
    <row r="11" spans="1:38" ht="20.100000000000001" customHeight="1" x14ac:dyDescent="0.2">
      <c r="A11" s="65">
        <v>1.6</v>
      </c>
      <c r="B11" s="66">
        <v>20</v>
      </c>
      <c r="C11" s="66">
        <v>60</v>
      </c>
      <c r="D11" s="64" t="s">
        <v>45</v>
      </c>
      <c r="E11" s="65">
        <v>1.85</v>
      </c>
      <c r="F11" s="65">
        <v>0.3</v>
      </c>
      <c r="G11" s="98">
        <v>0.8</v>
      </c>
      <c r="H11" s="98"/>
      <c r="I11" s="67">
        <v>21.8</v>
      </c>
      <c r="J11" s="66">
        <v>136</v>
      </c>
      <c r="K11" s="66">
        <v>204</v>
      </c>
      <c r="L11" s="66">
        <v>60</v>
      </c>
      <c r="M11" s="66">
        <v>46</v>
      </c>
      <c r="N11" s="66">
        <v>34</v>
      </c>
      <c r="O11" s="66">
        <v>37</v>
      </c>
      <c r="P11" s="66">
        <v>39</v>
      </c>
      <c r="Q11" s="66">
        <v>42</v>
      </c>
      <c r="R11" s="99">
        <v>35</v>
      </c>
      <c r="S11" s="99"/>
      <c r="T11" s="66">
        <v>27</v>
      </c>
      <c r="U11" s="68">
        <v>9.5000000000000001E-2</v>
      </c>
      <c r="V11" s="66">
        <v>33</v>
      </c>
      <c r="W11" s="66">
        <v>50</v>
      </c>
      <c r="X11" s="66">
        <v>60</v>
      </c>
      <c r="Y11" s="63"/>
      <c r="Z11" s="65"/>
      <c r="AA11" s="66"/>
      <c r="AB11" s="65"/>
      <c r="AC11" s="66"/>
      <c r="AD11" s="41"/>
      <c r="AE11" s="40"/>
      <c r="AF11" s="41"/>
      <c r="AG11" s="40"/>
      <c r="AH11" s="41"/>
      <c r="AI11" s="40"/>
      <c r="AJ11" s="41"/>
      <c r="AK11" s="40"/>
      <c r="AL11" s="42"/>
    </row>
    <row r="12" spans="1:38" ht="20.100000000000001" customHeight="1" x14ac:dyDescent="0.2">
      <c r="A12" s="65">
        <v>1.8</v>
      </c>
      <c r="B12" s="66">
        <v>9</v>
      </c>
      <c r="C12" s="66">
        <v>34</v>
      </c>
      <c r="D12" s="64" t="s">
        <v>45</v>
      </c>
      <c r="E12" s="65">
        <v>0.85</v>
      </c>
      <c r="F12" s="65">
        <v>0.31</v>
      </c>
      <c r="G12" s="98">
        <v>0.45</v>
      </c>
      <c r="H12" s="98"/>
      <c r="I12" s="67">
        <v>9.9</v>
      </c>
      <c r="J12" s="66">
        <v>77</v>
      </c>
      <c r="K12" s="66">
        <v>115</v>
      </c>
      <c r="L12" s="66">
        <v>38</v>
      </c>
      <c r="M12" s="66">
        <v>18</v>
      </c>
      <c r="N12" s="66">
        <v>30</v>
      </c>
      <c r="O12" s="66">
        <v>33</v>
      </c>
      <c r="P12" s="66">
        <v>36</v>
      </c>
      <c r="Q12" s="66">
        <v>39</v>
      </c>
      <c r="R12" s="99">
        <v>30</v>
      </c>
      <c r="S12" s="99"/>
      <c r="T12" s="66">
        <v>26</v>
      </c>
      <c r="U12" s="68">
        <v>3.4000000000000002E-2</v>
      </c>
      <c r="V12" s="66">
        <v>15</v>
      </c>
      <c r="W12" s="66">
        <v>23</v>
      </c>
      <c r="X12" s="66">
        <v>27</v>
      </c>
      <c r="Y12" s="63"/>
      <c r="Z12" s="65"/>
      <c r="AA12" s="66"/>
      <c r="AB12" s="65"/>
      <c r="AC12" s="66"/>
      <c r="AD12" s="41"/>
      <c r="AE12" s="40"/>
      <c r="AF12" s="41"/>
      <c r="AG12" s="40"/>
      <c r="AH12" s="41"/>
      <c r="AI12" s="40"/>
      <c r="AJ12" s="41"/>
      <c r="AK12" s="40"/>
      <c r="AL12" s="42"/>
    </row>
    <row r="13" spans="1:38" ht="20.100000000000001" customHeight="1" x14ac:dyDescent="0.2">
      <c r="A13" s="69" t="s">
        <v>50</v>
      </c>
      <c r="B13" s="66">
        <v>76</v>
      </c>
      <c r="C13" s="66">
        <v>104</v>
      </c>
      <c r="D13" s="64" t="s">
        <v>46</v>
      </c>
      <c r="E13" s="65">
        <v>0.96</v>
      </c>
      <c r="F13" s="65">
        <v>0.33</v>
      </c>
      <c r="G13" s="97" t="s">
        <v>44</v>
      </c>
      <c r="H13" s="97"/>
      <c r="I13" s="64" t="s">
        <v>44</v>
      </c>
      <c r="J13" s="64" t="s">
        <v>44</v>
      </c>
      <c r="K13" s="64" t="s">
        <v>44</v>
      </c>
      <c r="L13" s="64" t="s">
        <v>44</v>
      </c>
      <c r="M13" s="66">
        <v>89</v>
      </c>
      <c r="N13" s="66">
        <v>41</v>
      </c>
      <c r="O13" s="66">
        <v>42</v>
      </c>
      <c r="P13" s="66">
        <v>44</v>
      </c>
      <c r="Q13" s="66">
        <v>45</v>
      </c>
      <c r="R13" s="99">
        <v>41</v>
      </c>
      <c r="S13" s="99"/>
      <c r="T13" s="66">
        <v>33</v>
      </c>
      <c r="U13" s="68">
        <v>0.221</v>
      </c>
      <c r="V13" s="66">
        <v>127</v>
      </c>
      <c r="W13" s="66">
        <v>190</v>
      </c>
      <c r="X13" s="69" t="s">
        <v>51</v>
      </c>
      <c r="Y13" s="63"/>
      <c r="Z13" s="69"/>
      <c r="AA13" s="66"/>
      <c r="AB13" s="69"/>
      <c r="AC13" s="66"/>
      <c r="AD13" s="43"/>
      <c r="AE13" s="40"/>
      <c r="AF13" s="43"/>
      <c r="AG13" s="40"/>
      <c r="AH13" s="43"/>
      <c r="AI13" s="40"/>
      <c r="AJ13" s="43"/>
      <c r="AK13" s="40"/>
      <c r="AL13" s="42"/>
    </row>
    <row r="14" spans="1:38" ht="20.100000000000001" customHeight="1" x14ac:dyDescent="0.2">
      <c r="A14" s="65">
        <v>2.2000000000000002</v>
      </c>
      <c r="B14" s="66">
        <v>11</v>
      </c>
      <c r="C14" s="66">
        <v>82</v>
      </c>
      <c r="D14" s="64" t="s">
        <v>45</v>
      </c>
      <c r="E14" s="65">
        <v>0.87</v>
      </c>
      <c r="F14" s="65">
        <v>0.35</v>
      </c>
      <c r="G14" s="98">
        <v>0.54</v>
      </c>
      <c r="H14" s="98"/>
      <c r="I14" s="67">
        <v>10.7</v>
      </c>
      <c r="J14" s="66">
        <v>91</v>
      </c>
      <c r="K14" s="66">
        <v>137</v>
      </c>
      <c r="L14" s="66">
        <v>42</v>
      </c>
      <c r="M14" s="66">
        <v>22</v>
      </c>
      <c r="N14" s="66">
        <v>31</v>
      </c>
      <c r="O14" s="66">
        <v>34</v>
      </c>
      <c r="P14" s="66">
        <v>37</v>
      </c>
      <c r="Q14" s="66">
        <v>40</v>
      </c>
      <c r="R14" s="99">
        <v>31</v>
      </c>
      <c r="S14" s="99"/>
      <c r="T14" s="66">
        <v>26</v>
      </c>
      <c r="U14" s="68">
        <v>4.1000000000000002E-2</v>
      </c>
      <c r="V14" s="66">
        <v>18</v>
      </c>
      <c r="W14" s="66">
        <v>28</v>
      </c>
      <c r="X14" s="66">
        <v>33</v>
      </c>
      <c r="Y14" s="63"/>
      <c r="Z14" s="65"/>
      <c r="AA14" s="66"/>
      <c r="AB14" s="65"/>
      <c r="AC14" s="66"/>
      <c r="AD14" s="41"/>
      <c r="AE14" s="40"/>
      <c r="AF14" s="41"/>
      <c r="AG14" s="40"/>
      <c r="AH14" s="41"/>
      <c r="AI14" s="40"/>
      <c r="AJ14" s="41"/>
      <c r="AK14" s="40"/>
      <c r="AL14" s="42"/>
    </row>
    <row r="15" spans="1:38" ht="20.100000000000001" customHeight="1" x14ac:dyDescent="0.2">
      <c r="A15" s="65">
        <v>2.4</v>
      </c>
      <c r="B15" s="66">
        <v>6</v>
      </c>
      <c r="C15" s="66">
        <v>90</v>
      </c>
      <c r="D15" s="64" t="s">
        <v>45</v>
      </c>
      <c r="E15" s="65">
        <v>0.82</v>
      </c>
      <c r="F15" s="65">
        <v>0.37</v>
      </c>
      <c r="G15" s="98">
        <v>0.3</v>
      </c>
      <c r="H15" s="98"/>
      <c r="I15" s="67">
        <v>4.9000000000000004</v>
      </c>
      <c r="J15" s="66">
        <v>101</v>
      </c>
      <c r="K15" s="66">
        <v>152</v>
      </c>
      <c r="L15" s="66">
        <v>29</v>
      </c>
      <c r="M15" s="64" t="s">
        <v>44</v>
      </c>
      <c r="N15" s="66">
        <v>28</v>
      </c>
      <c r="O15" s="66">
        <v>31</v>
      </c>
      <c r="P15" s="66">
        <v>35</v>
      </c>
      <c r="Q15" s="66">
        <v>38</v>
      </c>
      <c r="R15" s="99">
        <v>27</v>
      </c>
      <c r="S15" s="99"/>
      <c r="T15" s="66">
        <v>26</v>
      </c>
      <c r="U15" s="64" t="s">
        <v>44</v>
      </c>
      <c r="V15" s="66">
        <v>10</v>
      </c>
      <c r="W15" s="66">
        <v>15</v>
      </c>
      <c r="X15" s="66">
        <v>18</v>
      </c>
      <c r="Y15" s="63"/>
      <c r="Z15" s="65"/>
      <c r="AA15" s="66"/>
      <c r="AB15" s="65"/>
      <c r="AC15" s="66"/>
      <c r="AD15" s="41"/>
      <c r="AE15" s="40"/>
      <c r="AF15" s="41"/>
      <c r="AG15" s="40"/>
      <c r="AH15" s="41"/>
      <c r="AI15" s="40"/>
      <c r="AJ15" s="41"/>
      <c r="AK15" s="40"/>
      <c r="AL15" s="42"/>
    </row>
    <row r="16" spans="1:38" ht="20.100000000000001" customHeight="1" x14ac:dyDescent="0.2">
      <c r="A16" s="65">
        <v>2.6</v>
      </c>
      <c r="B16" s="66">
        <v>5</v>
      </c>
      <c r="C16" s="66">
        <v>19</v>
      </c>
      <c r="D16" s="64" t="s">
        <v>47</v>
      </c>
      <c r="E16" s="65">
        <v>0.8</v>
      </c>
      <c r="F16" s="65">
        <v>0.38</v>
      </c>
      <c r="G16" s="98">
        <v>0.25</v>
      </c>
      <c r="H16" s="98"/>
      <c r="I16" s="67">
        <v>3.7</v>
      </c>
      <c r="J16" s="66">
        <v>108</v>
      </c>
      <c r="K16" s="66">
        <v>162</v>
      </c>
      <c r="L16" s="66">
        <v>25</v>
      </c>
      <c r="M16" s="64" t="s">
        <v>44</v>
      </c>
      <c r="N16" s="64">
        <v>0</v>
      </c>
      <c r="O16" s="64">
        <v>0</v>
      </c>
      <c r="P16" s="64">
        <v>0</v>
      </c>
      <c r="Q16" s="64">
        <v>0</v>
      </c>
      <c r="R16" s="97">
        <v>0</v>
      </c>
      <c r="S16" s="97"/>
      <c r="T16" s="64">
        <v>0</v>
      </c>
      <c r="U16" s="64" t="s">
        <v>44</v>
      </c>
      <c r="V16" s="64" t="s">
        <v>44</v>
      </c>
      <c r="W16" s="64" t="s">
        <v>44</v>
      </c>
      <c r="X16" s="64" t="s">
        <v>44</v>
      </c>
      <c r="Y16" s="63"/>
      <c r="Z16" s="65"/>
      <c r="AA16" s="64"/>
      <c r="AB16" s="65"/>
      <c r="AC16" s="64"/>
      <c r="AD16" s="41"/>
      <c r="AE16" s="39"/>
      <c r="AF16" s="41"/>
      <c r="AG16" s="39"/>
      <c r="AH16" s="41"/>
      <c r="AI16" s="39"/>
      <c r="AJ16" s="41"/>
      <c r="AK16" s="39"/>
      <c r="AL16" s="42"/>
    </row>
    <row r="17" spans="1:38" ht="20.100000000000001" customHeight="1" x14ac:dyDescent="0.2">
      <c r="A17" s="65">
        <v>2.8</v>
      </c>
      <c r="B17" s="66">
        <v>8</v>
      </c>
      <c r="C17" s="66">
        <v>13</v>
      </c>
      <c r="D17" s="64" t="s">
        <v>47</v>
      </c>
      <c r="E17" s="65">
        <v>0.86</v>
      </c>
      <c r="F17" s="65">
        <v>0.4</v>
      </c>
      <c r="G17" s="98">
        <v>0.4</v>
      </c>
      <c r="H17" s="98"/>
      <c r="I17" s="67">
        <v>6.3</v>
      </c>
      <c r="J17" s="66">
        <v>104</v>
      </c>
      <c r="K17" s="66">
        <v>156</v>
      </c>
      <c r="L17" s="66">
        <v>35</v>
      </c>
      <c r="M17" s="64" t="s">
        <v>44</v>
      </c>
      <c r="N17" s="64">
        <v>0</v>
      </c>
      <c r="O17" s="64">
        <v>0</v>
      </c>
      <c r="P17" s="64">
        <v>0</v>
      </c>
      <c r="Q17" s="64">
        <v>0</v>
      </c>
      <c r="R17" s="97">
        <v>0</v>
      </c>
      <c r="S17" s="97"/>
      <c r="T17" s="64">
        <v>0</v>
      </c>
      <c r="U17" s="64" t="s">
        <v>44</v>
      </c>
      <c r="V17" s="64" t="s">
        <v>44</v>
      </c>
      <c r="W17" s="64" t="s">
        <v>44</v>
      </c>
      <c r="X17" s="64" t="s">
        <v>44</v>
      </c>
      <c r="Y17" s="63"/>
      <c r="Z17" s="65"/>
      <c r="AA17" s="64"/>
      <c r="AB17" s="65"/>
      <c r="AC17" s="64"/>
      <c r="AD17" s="41"/>
      <c r="AE17" s="39"/>
      <c r="AF17" s="41"/>
      <c r="AG17" s="39"/>
      <c r="AH17" s="41"/>
      <c r="AI17" s="39"/>
      <c r="AJ17" s="41"/>
      <c r="AK17" s="39"/>
      <c r="AL17" s="42"/>
    </row>
    <row r="18" spans="1:38" ht="20.100000000000001" customHeight="1" x14ac:dyDescent="0.2">
      <c r="A18" s="69" t="s">
        <v>52</v>
      </c>
      <c r="B18" s="66">
        <v>36</v>
      </c>
      <c r="C18" s="66">
        <v>34</v>
      </c>
      <c r="D18" s="64" t="s">
        <v>46</v>
      </c>
      <c r="E18" s="65">
        <v>0.89</v>
      </c>
      <c r="F18" s="65">
        <v>0.42</v>
      </c>
      <c r="G18" s="97" t="s">
        <v>44</v>
      </c>
      <c r="H18" s="97"/>
      <c r="I18" s="64" t="s">
        <v>44</v>
      </c>
      <c r="J18" s="64" t="s">
        <v>44</v>
      </c>
      <c r="K18" s="64" t="s">
        <v>44</v>
      </c>
      <c r="L18" s="64" t="s">
        <v>44</v>
      </c>
      <c r="M18" s="66">
        <v>58</v>
      </c>
      <c r="N18" s="66">
        <v>36</v>
      </c>
      <c r="O18" s="66">
        <v>38</v>
      </c>
      <c r="P18" s="66">
        <v>40</v>
      </c>
      <c r="Q18" s="66">
        <v>43</v>
      </c>
      <c r="R18" s="99">
        <v>36</v>
      </c>
      <c r="S18" s="99"/>
      <c r="T18" s="66">
        <v>30</v>
      </c>
      <c r="U18" s="68">
        <v>0.126</v>
      </c>
      <c r="V18" s="66">
        <v>60</v>
      </c>
      <c r="W18" s="66">
        <v>90</v>
      </c>
      <c r="X18" s="69" t="s">
        <v>53</v>
      </c>
      <c r="Y18" s="63"/>
      <c r="Z18" s="69"/>
      <c r="AA18" s="66"/>
      <c r="AB18" s="69"/>
      <c r="AC18" s="66"/>
      <c r="AD18" s="43"/>
      <c r="AE18" s="40"/>
      <c r="AF18" s="43"/>
      <c r="AG18" s="40"/>
      <c r="AH18" s="43"/>
      <c r="AI18" s="40"/>
      <c r="AJ18" s="43"/>
      <c r="AK18" s="40"/>
      <c r="AL18" s="42"/>
    </row>
    <row r="19" spans="1:38" ht="20.100000000000001" customHeight="1" x14ac:dyDescent="0.2">
      <c r="A19" s="65">
        <v>3.2</v>
      </c>
      <c r="B19" s="66">
        <v>38</v>
      </c>
      <c r="C19" s="66">
        <v>71</v>
      </c>
      <c r="D19" s="64" t="s">
        <v>46</v>
      </c>
      <c r="E19" s="65">
        <v>0.9</v>
      </c>
      <c r="F19" s="65">
        <v>0.43</v>
      </c>
      <c r="G19" s="97" t="s">
        <v>44</v>
      </c>
      <c r="H19" s="97"/>
      <c r="I19" s="64" t="s">
        <v>44</v>
      </c>
      <c r="J19" s="64" t="s">
        <v>44</v>
      </c>
      <c r="K19" s="64" t="s">
        <v>44</v>
      </c>
      <c r="L19" s="64" t="s">
        <v>44</v>
      </c>
      <c r="M19" s="66">
        <v>59</v>
      </c>
      <c r="N19" s="66">
        <v>36</v>
      </c>
      <c r="O19" s="66">
        <v>38</v>
      </c>
      <c r="P19" s="66">
        <v>40</v>
      </c>
      <c r="Q19" s="66">
        <v>43</v>
      </c>
      <c r="R19" s="99">
        <v>36</v>
      </c>
      <c r="S19" s="99"/>
      <c r="T19" s="66">
        <v>30</v>
      </c>
      <c r="U19" s="68">
        <v>0.128</v>
      </c>
      <c r="V19" s="66">
        <v>63</v>
      </c>
      <c r="W19" s="66">
        <v>95</v>
      </c>
      <c r="X19" s="66">
        <v>114</v>
      </c>
      <c r="Y19" s="63"/>
      <c r="Z19" s="65"/>
      <c r="AA19" s="66"/>
      <c r="AB19" s="65"/>
      <c r="AC19" s="66"/>
      <c r="AD19" s="41"/>
      <c r="AE19" s="40"/>
      <c r="AF19" s="41"/>
      <c r="AG19" s="40"/>
      <c r="AH19" s="41"/>
      <c r="AI19" s="40"/>
      <c r="AJ19" s="41"/>
      <c r="AK19" s="40"/>
      <c r="AL19" s="42"/>
    </row>
    <row r="20" spans="1:38" ht="20.100000000000001" customHeight="1" x14ac:dyDescent="0.2">
      <c r="A20" s="65">
        <v>3.4</v>
      </c>
      <c r="B20" s="66">
        <v>52</v>
      </c>
      <c r="C20" s="66">
        <v>32</v>
      </c>
      <c r="D20" s="64" t="s">
        <v>46</v>
      </c>
      <c r="E20" s="65">
        <v>0.92</v>
      </c>
      <c r="F20" s="65">
        <v>0.45</v>
      </c>
      <c r="G20" s="97" t="s">
        <v>44</v>
      </c>
      <c r="H20" s="97"/>
      <c r="I20" s="64" t="s">
        <v>44</v>
      </c>
      <c r="J20" s="64" t="s">
        <v>44</v>
      </c>
      <c r="K20" s="64" t="s">
        <v>44</v>
      </c>
      <c r="L20" s="64" t="s">
        <v>44</v>
      </c>
      <c r="M20" s="66">
        <v>69</v>
      </c>
      <c r="N20" s="66">
        <v>38</v>
      </c>
      <c r="O20" s="66">
        <v>40</v>
      </c>
      <c r="P20" s="66">
        <v>41</v>
      </c>
      <c r="Q20" s="66">
        <v>44</v>
      </c>
      <c r="R20" s="99">
        <v>38</v>
      </c>
      <c r="S20" s="99"/>
      <c r="T20" s="66">
        <v>31</v>
      </c>
      <c r="U20" s="68">
        <v>0.156</v>
      </c>
      <c r="V20" s="66">
        <v>87</v>
      </c>
      <c r="W20" s="66">
        <v>130</v>
      </c>
      <c r="X20" s="66">
        <v>156</v>
      </c>
      <c r="Y20" s="63"/>
      <c r="Z20" s="65"/>
      <c r="AA20" s="66"/>
      <c r="AB20" s="65"/>
      <c r="AC20" s="66"/>
      <c r="AD20" s="41"/>
      <c r="AE20" s="40"/>
      <c r="AF20" s="41"/>
      <c r="AG20" s="40"/>
      <c r="AH20" s="41"/>
      <c r="AI20" s="40"/>
      <c r="AJ20" s="41"/>
      <c r="AK20" s="40"/>
      <c r="AL20" s="42"/>
    </row>
    <row r="21" spans="1:38" ht="20.100000000000001" customHeight="1" x14ac:dyDescent="0.2">
      <c r="A21" s="65">
        <v>3.6</v>
      </c>
      <c r="B21" s="66">
        <v>36</v>
      </c>
      <c r="C21" s="66">
        <v>39</v>
      </c>
      <c r="D21" s="64" t="s">
        <v>46</v>
      </c>
      <c r="E21" s="65">
        <v>0.89</v>
      </c>
      <c r="F21" s="65">
        <v>0.47</v>
      </c>
      <c r="G21" s="97" t="s">
        <v>44</v>
      </c>
      <c r="H21" s="97"/>
      <c r="I21" s="64" t="s">
        <v>44</v>
      </c>
      <c r="J21" s="64" t="s">
        <v>44</v>
      </c>
      <c r="K21" s="64" t="s">
        <v>44</v>
      </c>
      <c r="L21" s="64" t="s">
        <v>44</v>
      </c>
      <c r="M21" s="66">
        <v>55</v>
      </c>
      <c r="N21" s="66">
        <v>36</v>
      </c>
      <c r="O21" s="66">
        <v>38</v>
      </c>
      <c r="P21" s="66">
        <v>40</v>
      </c>
      <c r="Q21" s="66">
        <v>42</v>
      </c>
      <c r="R21" s="99">
        <v>35</v>
      </c>
      <c r="S21" s="99"/>
      <c r="T21" s="66">
        <v>30</v>
      </c>
      <c r="U21" s="68">
        <v>0.11799999999999999</v>
      </c>
      <c r="V21" s="66">
        <v>60</v>
      </c>
      <c r="W21" s="66">
        <v>90</v>
      </c>
      <c r="X21" s="66">
        <v>108</v>
      </c>
      <c r="Y21" s="63"/>
      <c r="Z21" s="65"/>
      <c r="AA21" s="66"/>
      <c r="AB21" s="65"/>
      <c r="AC21" s="66"/>
      <c r="AD21" s="41"/>
      <c r="AE21" s="40"/>
      <c r="AF21" s="41"/>
      <c r="AG21" s="40"/>
      <c r="AH21" s="41"/>
      <c r="AI21" s="40"/>
      <c r="AJ21" s="41"/>
      <c r="AK21" s="40"/>
      <c r="AL21" s="42"/>
    </row>
    <row r="22" spans="1:38" ht="20.100000000000001" customHeight="1" x14ac:dyDescent="0.2">
      <c r="A22" s="65">
        <v>3.8</v>
      </c>
      <c r="B22" s="66">
        <v>32</v>
      </c>
      <c r="C22" s="66">
        <v>37</v>
      </c>
      <c r="D22" s="64" t="s">
        <v>46</v>
      </c>
      <c r="E22" s="65">
        <v>0.88</v>
      </c>
      <c r="F22" s="65">
        <v>0.49</v>
      </c>
      <c r="G22" s="97" t="s">
        <v>44</v>
      </c>
      <c r="H22" s="97"/>
      <c r="I22" s="64" t="s">
        <v>44</v>
      </c>
      <c r="J22" s="64" t="s">
        <v>44</v>
      </c>
      <c r="K22" s="64" t="s">
        <v>44</v>
      </c>
      <c r="L22" s="64" t="s">
        <v>44</v>
      </c>
      <c r="M22" s="66">
        <v>50</v>
      </c>
      <c r="N22" s="66">
        <v>35</v>
      </c>
      <c r="O22" s="66">
        <v>37</v>
      </c>
      <c r="P22" s="66">
        <v>40</v>
      </c>
      <c r="Q22" s="66">
        <v>42</v>
      </c>
      <c r="R22" s="99">
        <v>35</v>
      </c>
      <c r="S22" s="99"/>
      <c r="T22" s="66">
        <v>29</v>
      </c>
      <c r="U22" s="68">
        <v>0.105</v>
      </c>
      <c r="V22" s="66">
        <v>53</v>
      </c>
      <c r="W22" s="66">
        <v>80</v>
      </c>
      <c r="X22" s="66">
        <v>96</v>
      </c>
      <c r="Y22" s="63"/>
      <c r="Z22" s="65"/>
      <c r="AA22" s="66"/>
      <c r="AB22" s="65"/>
      <c r="AC22" s="66"/>
      <c r="AD22" s="41"/>
      <c r="AE22" s="40"/>
      <c r="AF22" s="41"/>
      <c r="AG22" s="40"/>
      <c r="AH22" s="41"/>
      <c r="AI22" s="40"/>
      <c r="AJ22" s="41"/>
      <c r="AK22" s="40"/>
      <c r="AL22" s="42"/>
    </row>
    <row r="23" spans="1:38" ht="20.100000000000001" customHeight="1" x14ac:dyDescent="0.2">
      <c r="A23" s="69" t="s">
        <v>54</v>
      </c>
      <c r="B23" s="66">
        <v>37</v>
      </c>
      <c r="C23" s="66">
        <v>40</v>
      </c>
      <c r="D23" s="64" t="s">
        <v>46</v>
      </c>
      <c r="E23" s="65">
        <v>0.89</v>
      </c>
      <c r="F23" s="65">
        <v>0.51</v>
      </c>
      <c r="G23" s="97" t="s">
        <v>44</v>
      </c>
      <c r="H23" s="97"/>
      <c r="I23" s="64" t="s">
        <v>44</v>
      </c>
      <c r="J23" s="64" t="s">
        <v>44</v>
      </c>
      <c r="K23" s="64" t="s">
        <v>44</v>
      </c>
      <c r="L23" s="64" t="s">
        <v>44</v>
      </c>
      <c r="M23" s="66">
        <v>54</v>
      </c>
      <c r="N23" s="66">
        <v>36</v>
      </c>
      <c r="O23" s="66">
        <v>38</v>
      </c>
      <c r="P23" s="66">
        <v>40</v>
      </c>
      <c r="Q23" s="66">
        <v>42</v>
      </c>
      <c r="R23" s="99">
        <v>35</v>
      </c>
      <c r="S23" s="99"/>
      <c r="T23" s="66">
        <v>30</v>
      </c>
      <c r="U23" s="68">
        <v>0.115</v>
      </c>
      <c r="V23" s="66">
        <v>62</v>
      </c>
      <c r="W23" s="66">
        <v>93</v>
      </c>
      <c r="X23" s="69" t="s">
        <v>55</v>
      </c>
      <c r="Y23" s="63"/>
      <c r="Z23" s="69"/>
      <c r="AA23" s="66"/>
      <c r="AB23" s="69"/>
      <c r="AC23" s="66"/>
      <c r="AD23" s="43"/>
      <c r="AE23" s="40"/>
      <c r="AF23" s="43"/>
      <c r="AG23" s="40"/>
      <c r="AH23" s="43"/>
      <c r="AI23" s="40"/>
      <c r="AJ23" s="43"/>
      <c r="AK23" s="40"/>
      <c r="AL23" s="42"/>
    </row>
    <row r="24" spans="1:38" ht="20.100000000000001" customHeight="1" x14ac:dyDescent="0.2">
      <c r="A24" s="65">
        <v>4.2</v>
      </c>
      <c r="B24" s="66">
        <v>22</v>
      </c>
      <c r="C24" s="66">
        <v>33</v>
      </c>
      <c r="D24" s="64" t="s">
        <v>46</v>
      </c>
      <c r="E24" s="65">
        <v>0.86</v>
      </c>
      <c r="F24" s="65">
        <v>0.52</v>
      </c>
      <c r="G24" s="97" t="s">
        <v>44</v>
      </c>
      <c r="H24" s="97"/>
      <c r="I24" s="64" t="s">
        <v>44</v>
      </c>
      <c r="J24" s="64" t="s">
        <v>44</v>
      </c>
      <c r="K24" s="64" t="s">
        <v>44</v>
      </c>
      <c r="L24" s="64" t="s">
        <v>44</v>
      </c>
      <c r="M24" s="66">
        <v>36</v>
      </c>
      <c r="N24" s="66">
        <v>33</v>
      </c>
      <c r="O24" s="66">
        <v>36</v>
      </c>
      <c r="P24" s="66">
        <v>38</v>
      </c>
      <c r="Q24" s="66">
        <v>41</v>
      </c>
      <c r="R24" s="99">
        <v>32</v>
      </c>
      <c r="S24" s="99"/>
      <c r="T24" s="66">
        <v>28</v>
      </c>
      <c r="U24" s="68">
        <v>7.0000000000000007E-2</v>
      </c>
      <c r="V24" s="66">
        <v>37</v>
      </c>
      <c r="W24" s="66">
        <v>55</v>
      </c>
      <c r="X24" s="66">
        <v>66</v>
      </c>
      <c r="Y24" s="63"/>
      <c r="Z24" s="65"/>
      <c r="AA24" s="66"/>
      <c r="AB24" s="65"/>
      <c r="AC24" s="66"/>
      <c r="AD24" s="41"/>
      <c r="AE24" s="40"/>
      <c r="AF24" s="41"/>
      <c r="AG24" s="40"/>
      <c r="AH24" s="41"/>
      <c r="AI24" s="40"/>
      <c r="AJ24" s="41"/>
      <c r="AK24" s="40"/>
      <c r="AL24" s="42"/>
    </row>
    <row r="25" spans="1:38" ht="20.100000000000001" customHeight="1" x14ac:dyDescent="0.2">
      <c r="A25" s="65">
        <v>4.4000000000000004</v>
      </c>
      <c r="B25" s="66">
        <v>26</v>
      </c>
      <c r="C25" s="66">
        <v>43</v>
      </c>
      <c r="D25" s="64" t="s">
        <v>46</v>
      </c>
      <c r="E25" s="65">
        <v>0.87</v>
      </c>
      <c r="F25" s="65">
        <v>0.54</v>
      </c>
      <c r="G25" s="97" t="s">
        <v>44</v>
      </c>
      <c r="H25" s="97"/>
      <c r="I25" s="64" t="s">
        <v>44</v>
      </c>
      <c r="J25" s="64" t="s">
        <v>44</v>
      </c>
      <c r="K25" s="64" t="s">
        <v>44</v>
      </c>
      <c r="L25" s="64" t="s">
        <v>44</v>
      </c>
      <c r="M25" s="66">
        <v>41</v>
      </c>
      <c r="N25" s="66">
        <v>34</v>
      </c>
      <c r="O25" s="66">
        <v>36</v>
      </c>
      <c r="P25" s="66">
        <v>39</v>
      </c>
      <c r="Q25" s="66">
        <v>41</v>
      </c>
      <c r="R25" s="99">
        <v>33</v>
      </c>
      <c r="S25" s="99"/>
      <c r="T25" s="66">
        <v>28</v>
      </c>
      <c r="U25" s="68">
        <v>8.1000000000000003E-2</v>
      </c>
      <c r="V25" s="66">
        <v>43</v>
      </c>
      <c r="W25" s="66">
        <v>65</v>
      </c>
      <c r="X25" s="66">
        <v>78</v>
      </c>
      <c r="Y25" s="63"/>
      <c r="Z25" s="65"/>
      <c r="AA25" s="66"/>
      <c r="AB25" s="65"/>
      <c r="AC25" s="66"/>
      <c r="AD25" s="41"/>
      <c r="AE25" s="40"/>
      <c r="AF25" s="41"/>
      <c r="AG25" s="40"/>
      <c r="AH25" s="41"/>
      <c r="AI25" s="40"/>
      <c r="AJ25" s="41"/>
      <c r="AK25" s="40"/>
      <c r="AL25" s="42"/>
    </row>
    <row r="26" spans="1:38" ht="20.100000000000001" customHeight="1" x14ac:dyDescent="0.2">
      <c r="A26" s="65">
        <v>4.5999999999999996</v>
      </c>
      <c r="B26" s="66">
        <v>27</v>
      </c>
      <c r="C26" s="66">
        <v>45</v>
      </c>
      <c r="D26" s="64" t="s">
        <v>46</v>
      </c>
      <c r="E26" s="65">
        <v>0.87</v>
      </c>
      <c r="F26" s="65">
        <v>0.56000000000000005</v>
      </c>
      <c r="G26" s="97" t="s">
        <v>44</v>
      </c>
      <c r="H26" s="97"/>
      <c r="I26" s="64" t="s">
        <v>44</v>
      </c>
      <c r="J26" s="64" t="s">
        <v>44</v>
      </c>
      <c r="K26" s="64" t="s">
        <v>44</v>
      </c>
      <c r="L26" s="64" t="s">
        <v>44</v>
      </c>
      <c r="M26" s="66">
        <v>41</v>
      </c>
      <c r="N26" s="66">
        <v>34</v>
      </c>
      <c r="O26" s="66">
        <v>36</v>
      </c>
      <c r="P26" s="66">
        <v>39</v>
      </c>
      <c r="Q26" s="66">
        <v>41</v>
      </c>
      <c r="R26" s="99">
        <v>33</v>
      </c>
      <c r="S26" s="99"/>
      <c r="T26" s="66">
        <v>28</v>
      </c>
      <c r="U26" s="68">
        <v>8.3000000000000004E-2</v>
      </c>
      <c r="V26" s="66">
        <v>45</v>
      </c>
      <c r="W26" s="66">
        <v>68</v>
      </c>
      <c r="X26" s="66">
        <v>81</v>
      </c>
      <c r="Y26" s="63"/>
      <c r="Z26" s="65"/>
      <c r="AA26" s="66"/>
      <c r="AB26" s="65"/>
      <c r="AC26" s="66"/>
      <c r="AD26" s="41"/>
      <c r="AE26" s="40"/>
      <c r="AF26" s="41"/>
      <c r="AG26" s="40"/>
      <c r="AH26" s="41"/>
      <c r="AI26" s="40"/>
      <c r="AJ26" s="41"/>
      <c r="AK26" s="40"/>
      <c r="AL26" s="42"/>
    </row>
    <row r="27" spans="1:38" ht="20.100000000000001" customHeight="1" x14ac:dyDescent="0.2">
      <c r="A27" s="65">
        <v>4.8</v>
      </c>
      <c r="B27" s="66">
        <v>28</v>
      </c>
      <c r="C27" s="66">
        <v>42</v>
      </c>
      <c r="D27" s="64" t="s">
        <v>46</v>
      </c>
      <c r="E27" s="65">
        <v>0.87</v>
      </c>
      <c r="F27" s="65">
        <v>0.57999999999999996</v>
      </c>
      <c r="G27" s="97" t="s">
        <v>44</v>
      </c>
      <c r="H27" s="97"/>
      <c r="I27" s="64" t="s">
        <v>44</v>
      </c>
      <c r="J27" s="64" t="s">
        <v>44</v>
      </c>
      <c r="K27" s="64" t="s">
        <v>44</v>
      </c>
      <c r="L27" s="64" t="s">
        <v>44</v>
      </c>
      <c r="M27" s="66">
        <v>42</v>
      </c>
      <c r="N27" s="66">
        <v>34</v>
      </c>
      <c r="O27" s="66">
        <v>36</v>
      </c>
      <c r="P27" s="66">
        <v>39</v>
      </c>
      <c r="Q27" s="66">
        <v>41</v>
      </c>
      <c r="R27" s="99">
        <v>33</v>
      </c>
      <c r="S27" s="99"/>
      <c r="T27" s="66">
        <v>28</v>
      </c>
      <c r="U27" s="68">
        <v>8.4000000000000005E-2</v>
      </c>
      <c r="V27" s="66">
        <v>47</v>
      </c>
      <c r="W27" s="66">
        <v>70</v>
      </c>
      <c r="X27" s="66">
        <v>84</v>
      </c>
      <c r="Y27" s="63"/>
      <c r="Z27" s="65"/>
      <c r="AA27" s="66"/>
      <c r="AB27" s="65"/>
      <c r="AC27" s="66"/>
      <c r="AD27" s="41"/>
      <c r="AE27" s="40"/>
      <c r="AF27" s="41"/>
      <c r="AG27" s="40"/>
      <c r="AH27" s="41"/>
      <c r="AI27" s="40"/>
      <c r="AJ27" s="41"/>
      <c r="AK27" s="40"/>
      <c r="AL27" s="42"/>
    </row>
    <row r="28" spans="1:38" ht="20.100000000000001" customHeight="1" x14ac:dyDescent="0.2">
      <c r="A28" s="69" t="s">
        <v>56</v>
      </c>
      <c r="B28" s="66">
        <v>26</v>
      </c>
      <c r="C28" s="66">
        <v>24</v>
      </c>
      <c r="D28" s="64" t="s">
        <v>45</v>
      </c>
      <c r="E28" s="65">
        <v>0.95</v>
      </c>
      <c r="F28" s="65">
        <v>0.59</v>
      </c>
      <c r="G28" s="98">
        <v>0.93</v>
      </c>
      <c r="H28" s="98"/>
      <c r="I28" s="67">
        <v>11</v>
      </c>
      <c r="J28" s="66">
        <v>158</v>
      </c>
      <c r="K28" s="66">
        <v>237</v>
      </c>
      <c r="L28" s="66">
        <v>78</v>
      </c>
      <c r="M28" s="66">
        <v>38</v>
      </c>
      <c r="N28" s="66">
        <v>33</v>
      </c>
      <c r="O28" s="66">
        <v>36</v>
      </c>
      <c r="P28" s="66">
        <v>38</v>
      </c>
      <c r="Q28" s="66">
        <v>41</v>
      </c>
      <c r="R28" s="99">
        <v>32</v>
      </c>
      <c r="S28" s="99"/>
      <c r="T28" s="66">
        <v>28</v>
      </c>
      <c r="U28" s="68">
        <v>7.5999999999999998E-2</v>
      </c>
      <c r="V28" s="66">
        <v>43</v>
      </c>
      <c r="W28" s="66">
        <v>65</v>
      </c>
      <c r="X28" s="69" t="s">
        <v>57</v>
      </c>
      <c r="Y28" s="63"/>
      <c r="Z28" s="69"/>
      <c r="AA28" s="66"/>
      <c r="AB28" s="69"/>
      <c r="AC28" s="66"/>
      <c r="AD28" s="43"/>
      <c r="AE28" s="40"/>
      <c r="AF28" s="43"/>
      <c r="AG28" s="40"/>
      <c r="AH28" s="43"/>
      <c r="AI28" s="40"/>
      <c r="AJ28" s="43"/>
      <c r="AK28" s="40"/>
      <c r="AL28" s="42"/>
    </row>
    <row r="29" spans="1:38" ht="20.100000000000001" customHeight="1" x14ac:dyDescent="0.2">
      <c r="A29" s="65">
        <v>5.2</v>
      </c>
      <c r="B29" s="66">
        <v>38</v>
      </c>
      <c r="C29" s="66">
        <v>57</v>
      </c>
      <c r="D29" s="64" t="s">
        <v>46</v>
      </c>
      <c r="E29" s="65">
        <v>0.9</v>
      </c>
      <c r="F29" s="65">
        <v>0.61</v>
      </c>
      <c r="G29" s="97" t="s">
        <v>44</v>
      </c>
      <c r="H29" s="97"/>
      <c r="I29" s="64" t="s">
        <v>44</v>
      </c>
      <c r="J29" s="64" t="s">
        <v>44</v>
      </c>
      <c r="K29" s="64" t="s">
        <v>44</v>
      </c>
      <c r="L29" s="64" t="s">
        <v>44</v>
      </c>
      <c r="M29" s="66">
        <v>51</v>
      </c>
      <c r="N29" s="66">
        <v>35</v>
      </c>
      <c r="O29" s="66">
        <v>37</v>
      </c>
      <c r="P29" s="66">
        <v>40</v>
      </c>
      <c r="Q29" s="66">
        <v>42</v>
      </c>
      <c r="R29" s="99">
        <v>34</v>
      </c>
      <c r="S29" s="99"/>
      <c r="T29" s="66">
        <v>30</v>
      </c>
      <c r="U29" s="68">
        <v>0.106</v>
      </c>
      <c r="V29" s="66">
        <v>63</v>
      </c>
      <c r="W29" s="66">
        <v>95</v>
      </c>
      <c r="X29" s="66">
        <v>114</v>
      </c>
      <c r="Y29" s="63"/>
      <c r="Z29" s="65"/>
      <c r="AA29" s="66"/>
      <c r="AB29" s="65"/>
      <c r="AC29" s="66"/>
      <c r="AD29" s="41"/>
      <c r="AE29" s="40"/>
      <c r="AF29" s="41"/>
      <c r="AG29" s="40"/>
      <c r="AH29" s="41"/>
      <c r="AI29" s="40"/>
      <c r="AJ29" s="41"/>
      <c r="AK29" s="40"/>
      <c r="AL29" s="42"/>
    </row>
    <row r="30" spans="1:38" ht="20.100000000000001" customHeight="1" x14ac:dyDescent="0.2">
      <c r="A30" s="65">
        <v>5.4</v>
      </c>
      <c r="B30" s="66">
        <v>48</v>
      </c>
      <c r="C30" s="66">
        <v>60</v>
      </c>
      <c r="D30" s="64" t="s">
        <v>46</v>
      </c>
      <c r="E30" s="65">
        <v>0.91</v>
      </c>
      <c r="F30" s="65">
        <v>0.63</v>
      </c>
      <c r="G30" s="97" t="s">
        <v>44</v>
      </c>
      <c r="H30" s="97"/>
      <c r="I30" s="64" t="s">
        <v>44</v>
      </c>
      <c r="J30" s="64" t="s">
        <v>44</v>
      </c>
      <c r="K30" s="64" t="s">
        <v>44</v>
      </c>
      <c r="L30" s="64" t="s">
        <v>44</v>
      </c>
      <c r="M30" s="66">
        <v>58</v>
      </c>
      <c r="N30" s="66">
        <v>36</v>
      </c>
      <c r="O30" s="66">
        <v>38</v>
      </c>
      <c r="P30" s="66">
        <v>40</v>
      </c>
      <c r="Q30" s="66">
        <v>43</v>
      </c>
      <c r="R30" s="99">
        <v>35</v>
      </c>
      <c r="S30" s="99"/>
      <c r="T30" s="66">
        <v>31</v>
      </c>
      <c r="U30" s="68">
        <v>0.125</v>
      </c>
      <c r="V30" s="66">
        <v>80</v>
      </c>
      <c r="W30" s="66">
        <v>120</v>
      </c>
      <c r="X30" s="66">
        <v>144</v>
      </c>
      <c r="Y30" s="63"/>
      <c r="Z30" s="65"/>
      <c r="AA30" s="66"/>
      <c r="AB30" s="65"/>
      <c r="AC30" s="66"/>
      <c r="AD30" s="41"/>
      <c r="AE30" s="40"/>
      <c r="AF30" s="41"/>
      <c r="AG30" s="40"/>
      <c r="AH30" s="41"/>
      <c r="AI30" s="40"/>
      <c r="AJ30" s="41"/>
      <c r="AK30" s="40"/>
      <c r="AL30" s="42"/>
    </row>
    <row r="31" spans="1:38" ht="20.100000000000001" customHeight="1" x14ac:dyDescent="0.2">
      <c r="A31" s="65">
        <v>5.6</v>
      </c>
      <c r="B31" s="66">
        <v>42</v>
      </c>
      <c r="C31" s="66">
        <v>42</v>
      </c>
      <c r="D31" s="64" t="s">
        <v>46</v>
      </c>
      <c r="E31" s="65">
        <v>0.9</v>
      </c>
      <c r="F31" s="65">
        <v>0.65</v>
      </c>
      <c r="G31" s="97" t="s">
        <v>44</v>
      </c>
      <c r="H31" s="97"/>
      <c r="I31" s="64" t="s">
        <v>44</v>
      </c>
      <c r="J31" s="64" t="s">
        <v>44</v>
      </c>
      <c r="K31" s="64" t="s">
        <v>44</v>
      </c>
      <c r="L31" s="64" t="s">
        <v>44</v>
      </c>
      <c r="M31" s="66">
        <v>53</v>
      </c>
      <c r="N31" s="66">
        <v>35</v>
      </c>
      <c r="O31" s="66">
        <v>38</v>
      </c>
      <c r="P31" s="66">
        <v>40</v>
      </c>
      <c r="Q31" s="66">
        <v>42</v>
      </c>
      <c r="R31" s="99">
        <v>35</v>
      </c>
      <c r="S31" s="99"/>
      <c r="T31" s="66">
        <v>30</v>
      </c>
      <c r="U31" s="68">
        <v>0.111</v>
      </c>
      <c r="V31" s="66">
        <v>70</v>
      </c>
      <c r="W31" s="66">
        <v>105</v>
      </c>
      <c r="X31" s="66">
        <v>126</v>
      </c>
      <c r="Y31" s="63"/>
      <c r="Z31" s="65"/>
      <c r="AA31" s="66"/>
      <c r="AB31" s="65"/>
      <c r="AC31" s="66"/>
      <c r="AD31" s="41"/>
      <c r="AE31" s="40"/>
      <c r="AF31" s="41"/>
      <c r="AG31" s="40"/>
      <c r="AH31" s="41"/>
      <c r="AI31" s="40"/>
      <c r="AJ31" s="41"/>
      <c r="AK31" s="40"/>
      <c r="AL31" s="42"/>
    </row>
    <row r="32" spans="1:38" ht="20.100000000000001" customHeight="1" x14ac:dyDescent="0.2">
      <c r="A32" s="65">
        <v>5.8</v>
      </c>
      <c r="B32" s="66">
        <v>30</v>
      </c>
      <c r="C32" s="66">
        <v>56</v>
      </c>
      <c r="D32" s="64" t="s">
        <v>46</v>
      </c>
      <c r="E32" s="65">
        <v>0.88</v>
      </c>
      <c r="F32" s="65">
        <v>0.67</v>
      </c>
      <c r="G32" s="97" t="s">
        <v>44</v>
      </c>
      <c r="H32" s="97"/>
      <c r="I32" s="64" t="s">
        <v>44</v>
      </c>
      <c r="J32" s="64" t="s">
        <v>44</v>
      </c>
      <c r="K32" s="64" t="s">
        <v>44</v>
      </c>
      <c r="L32" s="64" t="s">
        <v>44</v>
      </c>
      <c r="M32" s="66">
        <v>41</v>
      </c>
      <c r="N32" s="66">
        <v>34</v>
      </c>
      <c r="O32" s="66">
        <v>36</v>
      </c>
      <c r="P32" s="66">
        <v>39</v>
      </c>
      <c r="Q32" s="66">
        <v>41</v>
      </c>
      <c r="R32" s="99">
        <v>33</v>
      </c>
      <c r="S32" s="99"/>
      <c r="T32" s="66">
        <v>29</v>
      </c>
      <c r="U32" s="68">
        <v>8.1000000000000003E-2</v>
      </c>
      <c r="V32" s="66">
        <v>50</v>
      </c>
      <c r="W32" s="66">
        <v>75</v>
      </c>
      <c r="X32" s="66">
        <v>90</v>
      </c>
      <c r="Y32" s="63"/>
      <c r="Z32" s="65"/>
      <c r="AA32" s="66"/>
      <c r="AB32" s="65"/>
      <c r="AC32" s="66"/>
      <c r="AD32" s="41"/>
      <c r="AE32" s="40"/>
      <c r="AF32" s="41"/>
      <c r="AG32" s="40"/>
      <c r="AH32" s="41"/>
      <c r="AI32" s="40"/>
      <c r="AJ32" s="41"/>
      <c r="AK32" s="40"/>
      <c r="AL32" s="42"/>
    </row>
    <row r="33" spans="1:38" ht="20.100000000000001" customHeight="1" x14ac:dyDescent="0.2">
      <c r="A33" s="69" t="s">
        <v>58</v>
      </c>
      <c r="B33" s="66">
        <v>32</v>
      </c>
      <c r="C33" s="66">
        <v>53</v>
      </c>
      <c r="D33" s="64" t="s">
        <v>46</v>
      </c>
      <c r="E33" s="65">
        <v>0.88</v>
      </c>
      <c r="F33" s="65">
        <v>0.68</v>
      </c>
      <c r="G33" s="97" t="s">
        <v>44</v>
      </c>
      <c r="H33" s="97"/>
      <c r="I33" s="64" t="s">
        <v>44</v>
      </c>
      <c r="J33" s="64" t="s">
        <v>44</v>
      </c>
      <c r="K33" s="64" t="s">
        <v>44</v>
      </c>
      <c r="L33" s="64" t="s">
        <v>44</v>
      </c>
      <c r="M33" s="66">
        <v>42</v>
      </c>
      <c r="N33" s="66">
        <v>34</v>
      </c>
      <c r="O33" s="66">
        <v>36</v>
      </c>
      <c r="P33" s="66">
        <v>39</v>
      </c>
      <c r="Q33" s="66">
        <v>41</v>
      </c>
      <c r="R33" s="99">
        <v>33</v>
      </c>
      <c r="S33" s="99"/>
      <c r="T33" s="66">
        <v>29</v>
      </c>
      <c r="U33" s="68">
        <v>8.5000000000000006E-2</v>
      </c>
      <c r="V33" s="66">
        <v>53</v>
      </c>
      <c r="W33" s="66">
        <v>80</v>
      </c>
      <c r="X33" s="69" t="s">
        <v>59</v>
      </c>
      <c r="Y33" s="63"/>
      <c r="Z33" s="69"/>
      <c r="AA33" s="66"/>
      <c r="AB33" s="69"/>
      <c r="AC33" s="66"/>
      <c r="AD33" s="43"/>
      <c r="AE33" s="40"/>
      <c r="AF33" s="43"/>
      <c r="AG33" s="40"/>
      <c r="AH33" s="43"/>
      <c r="AI33" s="40"/>
      <c r="AJ33" s="43"/>
      <c r="AK33" s="40"/>
      <c r="AL33" s="42"/>
    </row>
    <row r="34" spans="1:38" ht="20.100000000000001" customHeight="1" x14ac:dyDescent="0.2">
      <c r="A34" s="65">
        <v>6.2</v>
      </c>
      <c r="B34" s="66">
        <v>37</v>
      </c>
      <c r="C34" s="66">
        <v>37</v>
      </c>
      <c r="D34" s="64" t="s">
        <v>46</v>
      </c>
      <c r="E34" s="65">
        <v>0.89</v>
      </c>
      <c r="F34" s="65">
        <v>0.7</v>
      </c>
      <c r="G34" s="97" t="s">
        <v>44</v>
      </c>
      <c r="H34" s="97"/>
      <c r="I34" s="64" t="s">
        <v>44</v>
      </c>
      <c r="J34" s="64" t="s">
        <v>44</v>
      </c>
      <c r="K34" s="64" t="s">
        <v>44</v>
      </c>
      <c r="L34" s="64" t="s">
        <v>44</v>
      </c>
      <c r="M34" s="66">
        <v>46</v>
      </c>
      <c r="N34" s="66">
        <v>35</v>
      </c>
      <c r="O34" s="66">
        <v>37</v>
      </c>
      <c r="P34" s="66">
        <v>39</v>
      </c>
      <c r="Q34" s="66">
        <v>42</v>
      </c>
      <c r="R34" s="99">
        <v>33</v>
      </c>
      <c r="S34" s="99"/>
      <c r="T34" s="66">
        <v>30</v>
      </c>
      <c r="U34" s="68">
        <v>9.5000000000000001E-2</v>
      </c>
      <c r="V34" s="66">
        <v>62</v>
      </c>
      <c r="W34" s="66">
        <v>93</v>
      </c>
      <c r="X34" s="66">
        <v>111</v>
      </c>
      <c r="Y34" s="63"/>
      <c r="Z34" s="65"/>
      <c r="AA34" s="66"/>
      <c r="AB34" s="65"/>
      <c r="AC34" s="66"/>
      <c r="AD34" s="41"/>
      <c r="AE34" s="40"/>
      <c r="AF34" s="41"/>
      <c r="AG34" s="40"/>
      <c r="AH34" s="41"/>
      <c r="AI34" s="40"/>
      <c r="AJ34" s="41"/>
      <c r="AK34" s="40"/>
      <c r="AL34" s="42"/>
    </row>
    <row r="35" spans="1:38" ht="20.100000000000001" customHeight="1" x14ac:dyDescent="0.2">
      <c r="A35" s="65">
        <v>6.4</v>
      </c>
      <c r="B35" s="66">
        <v>41</v>
      </c>
      <c r="C35" s="66">
        <v>56</v>
      </c>
      <c r="D35" s="64" t="s">
        <v>46</v>
      </c>
      <c r="E35" s="65">
        <v>0.9</v>
      </c>
      <c r="F35" s="65">
        <v>0.72</v>
      </c>
      <c r="G35" s="97" t="s">
        <v>44</v>
      </c>
      <c r="H35" s="97"/>
      <c r="I35" s="64" t="s">
        <v>44</v>
      </c>
      <c r="J35" s="64" t="s">
        <v>44</v>
      </c>
      <c r="K35" s="64" t="s">
        <v>44</v>
      </c>
      <c r="L35" s="64" t="s">
        <v>44</v>
      </c>
      <c r="M35" s="66">
        <v>49</v>
      </c>
      <c r="N35" s="66">
        <v>35</v>
      </c>
      <c r="O35" s="66">
        <v>37</v>
      </c>
      <c r="P35" s="66">
        <v>39</v>
      </c>
      <c r="Q35" s="66">
        <v>42</v>
      </c>
      <c r="R35" s="99">
        <v>34</v>
      </c>
      <c r="S35" s="99"/>
      <c r="T35" s="66">
        <v>30</v>
      </c>
      <c r="U35" s="68">
        <v>0.10199999999999999</v>
      </c>
      <c r="V35" s="66">
        <v>68</v>
      </c>
      <c r="W35" s="66">
        <v>103</v>
      </c>
      <c r="X35" s="66">
        <v>123</v>
      </c>
      <c r="Y35" s="63"/>
      <c r="Z35" s="65"/>
      <c r="AA35" s="66"/>
      <c r="AB35" s="65"/>
      <c r="AC35" s="66"/>
      <c r="AD35" s="41"/>
      <c r="AE35" s="40"/>
      <c r="AF35" s="41"/>
      <c r="AG35" s="40"/>
      <c r="AH35" s="41"/>
      <c r="AI35" s="40"/>
      <c r="AJ35" s="41"/>
      <c r="AK35" s="40"/>
      <c r="AL35" s="42"/>
    </row>
    <row r="36" spans="1:38" ht="20.100000000000001" customHeight="1" x14ac:dyDescent="0.2">
      <c r="A36" s="65">
        <v>6.6</v>
      </c>
      <c r="B36" s="66">
        <v>33</v>
      </c>
      <c r="C36" s="66">
        <v>45</v>
      </c>
      <c r="D36" s="64" t="s">
        <v>46</v>
      </c>
      <c r="E36" s="65">
        <v>0.88</v>
      </c>
      <c r="F36" s="65">
        <v>0.74</v>
      </c>
      <c r="G36" s="97" t="s">
        <v>44</v>
      </c>
      <c r="H36" s="97"/>
      <c r="I36" s="64" t="s">
        <v>44</v>
      </c>
      <c r="J36" s="64" t="s">
        <v>44</v>
      </c>
      <c r="K36" s="64" t="s">
        <v>44</v>
      </c>
      <c r="L36" s="64" t="s">
        <v>44</v>
      </c>
      <c r="M36" s="66">
        <v>41</v>
      </c>
      <c r="N36" s="66">
        <v>34</v>
      </c>
      <c r="O36" s="66">
        <v>36</v>
      </c>
      <c r="P36" s="66">
        <v>39</v>
      </c>
      <c r="Q36" s="66">
        <v>41</v>
      </c>
      <c r="R36" s="99">
        <v>32</v>
      </c>
      <c r="S36" s="99"/>
      <c r="T36" s="66">
        <v>29</v>
      </c>
      <c r="U36" s="68">
        <v>8.3000000000000004E-2</v>
      </c>
      <c r="V36" s="66">
        <v>55</v>
      </c>
      <c r="W36" s="66">
        <v>83</v>
      </c>
      <c r="X36" s="66">
        <v>99</v>
      </c>
      <c r="Y36" s="63"/>
      <c r="Z36" s="65"/>
      <c r="AA36" s="66"/>
      <c r="AB36" s="65"/>
      <c r="AC36" s="66"/>
      <c r="AD36" s="41"/>
      <c r="AE36" s="40"/>
      <c r="AF36" s="41"/>
      <c r="AG36" s="40"/>
      <c r="AH36" s="41"/>
      <c r="AI36" s="40"/>
      <c r="AJ36" s="41"/>
      <c r="AK36" s="40"/>
      <c r="AL36" s="42"/>
    </row>
    <row r="37" spans="1:38" ht="20.100000000000001" customHeight="1" x14ac:dyDescent="0.2">
      <c r="A37" s="65">
        <v>6.8</v>
      </c>
      <c r="B37" s="66">
        <v>26</v>
      </c>
      <c r="C37" s="66">
        <v>65</v>
      </c>
      <c r="D37" s="64" t="s">
        <v>46</v>
      </c>
      <c r="E37" s="65">
        <v>0.87</v>
      </c>
      <c r="F37" s="65">
        <v>0.75</v>
      </c>
      <c r="G37" s="97" t="s">
        <v>44</v>
      </c>
      <c r="H37" s="97"/>
      <c r="I37" s="64" t="s">
        <v>44</v>
      </c>
      <c r="J37" s="64" t="s">
        <v>44</v>
      </c>
      <c r="K37" s="64" t="s">
        <v>44</v>
      </c>
      <c r="L37" s="64" t="s">
        <v>44</v>
      </c>
      <c r="M37" s="66">
        <v>33</v>
      </c>
      <c r="N37" s="66">
        <v>33</v>
      </c>
      <c r="O37" s="66">
        <v>35</v>
      </c>
      <c r="P37" s="66">
        <v>38</v>
      </c>
      <c r="Q37" s="66">
        <v>41</v>
      </c>
      <c r="R37" s="99">
        <v>31</v>
      </c>
      <c r="S37" s="99"/>
      <c r="T37" s="66">
        <v>28</v>
      </c>
      <c r="U37" s="68">
        <v>6.3E-2</v>
      </c>
      <c r="V37" s="66">
        <v>43</v>
      </c>
      <c r="W37" s="66">
        <v>65</v>
      </c>
      <c r="X37" s="66">
        <v>78</v>
      </c>
      <c r="Y37" s="63"/>
      <c r="Z37" s="65"/>
      <c r="AA37" s="66"/>
      <c r="AB37" s="65"/>
      <c r="AC37" s="66"/>
      <c r="AD37" s="41"/>
      <c r="AE37" s="40"/>
      <c r="AF37" s="41"/>
      <c r="AG37" s="40"/>
      <c r="AH37" s="41"/>
      <c r="AI37" s="40"/>
      <c r="AJ37" s="41"/>
      <c r="AK37" s="40"/>
      <c r="AL37" s="42"/>
    </row>
    <row r="38" spans="1:38" ht="20.100000000000001" customHeight="1" x14ac:dyDescent="0.2">
      <c r="A38" s="69" t="s">
        <v>60</v>
      </c>
      <c r="B38" s="66">
        <v>20</v>
      </c>
      <c r="C38" s="66">
        <v>25</v>
      </c>
      <c r="D38" s="64" t="s">
        <v>45</v>
      </c>
      <c r="E38" s="65">
        <v>0.93</v>
      </c>
      <c r="F38" s="65">
        <v>0.77</v>
      </c>
      <c r="G38" s="98">
        <v>0.8</v>
      </c>
      <c r="H38" s="98"/>
      <c r="I38" s="67">
        <v>6.6</v>
      </c>
      <c r="J38" s="66">
        <v>199</v>
      </c>
      <c r="K38" s="66">
        <v>298</v>
      </c>
      <c r="L38" s="66">
        <v>60</v>
      </c>
      <c r="M38" s="66">
        <v>23</v>
      </c>
      <c r="N38" s="66">
        <v>31</v>
      </c>
      <c r="O38" s="66">
        <v>34</v>
      </c>
      <c r="P38" s="66">
        <v>37</v>
      </c>
      <c r="Q38" s="66">
        <v>40</v>
      </c>
      <c r="R38" s="99">
        <v>29</v>
      </c>
      <c r="S38" s="99"/>
      <c r="T38" s="66">
        <v>27</v>
      </c>
      <c r="U38" s="68">
        <v>4.3999999999999997E-2</v>
      </c>
      <c r="V38" s="66">
        <v>33</v>
      </c>
      <c r="W38" s="66">
        <v>50</v>
      </c>
      <c r="X38" s="69" t="s">
        <v>61</v>
      </c>
      <c r="Y38" s="63"/>
      <c r="Z38" s="69"/>
      <c r="AA38" s="66"/>
      <c r="AB38" s="69"/>
      <c r="AC38" s="66"/>
      <c r="AD38" s="43"/>
      <c r="AE38" s="40"/>
      <c r="AF38" s="43"/>
      <c r="AG38" s="40"/>
      <c r="AH38" s="43"/>
      <c r="AI38" s="40"/>
      <c r="AJ38" s="43"/>
      <c r="AK38" s="40"/>
      <c r="AL38" s="42"/>
    </row>
    <row r="39" spans="1:38" ht="20.100000000000001" customHeight="1" x14ac:dyDescent="0.2">
      <c r="A39" s="65">
        <v>7.2</v>
      </c>
      <c r="B39" s="66">
        <v>10</v>
      </c>
      <c r="C39" s="66">
        <v>25</v>
      </c>
      <c r="D39" s="64" t="s">
        <v>47</v>
      </c>
      <c r="E39" s="65">
        <v>0.9</v>
      </c>
      <c r="F39" s="65">
        <v>0.79</v>
      </c>
      <c r="G39" s="98">
        <v>0.5</v>
      </c>
      <c r="H39" s="98"/>
      <c r="I39" s="67">
        <v>3.5</v>
      </c>
      <c r="J39" s="66">
        <v>223</v>
      </c>
      <c r="K39" s="66">
        <v>335</v>
      </c>
      <c r="L39" s="66">
        <v>40</v>
      </c>
      <c r="M39" s="64" t="s">
        <v>44</v>
      </c>
      <c r="N39" s="64">
        <v>0</v>
      </c>
      <c r="O39" s="64">
        <v>0</v>
      </c>
      <c r="P39" s="64">
        <v>0</v>
      </c>
      <c r="Q39" s="64">
        <v>0</v>
      </c>
      <c r="R39" s="97">
        <v>0</v>
      </c>
      <c r="S39" s="97"/>
      <c r="T39" s="64">
        <v>0</v>
      </c>
      <c r="U39" s="64" t="s">
        <v>44</v>
      </c>
      <c r="V39" s="64" t="s">
        <v>44</v>
      </c>
      <c r="W39" s="64" t="s">
        <v>44</v>
      </c>
      <c r="X39" s="64" t="s">
        <v>44</v>
      </c>
      <c r="Y39" s="63"/>
      <c r="Z39" s="65"/>
      <c r="AA39" s="64"/>
      <c r="AB39" s="65"/>
      <c r="AC39" s="64"/>
      <c r="AD39" s="41"/>
      <c r="AE39" s="39"/>
      <c r="AF39" s="41"/>
      <c r="AG39" s="39"/>
      <c r="AH39" s="41"/>
      <c r="AI39" s="39"/>
      <c r="AJ39" s="41"/>
      <c r="AK39" s="39"/>
      <c r="AL39" s="42"/>
    </row>
    <row r="40" spans="1:38" ht="20.100000000000001" customHeight="1" x14ac:dyDescent="0.2">
      <c r="A40" s="65">
        <v>7.4</v>
      </c>
      <c r="B40" s="66">
        <v>40</v>
      </c>
      <c r="C40" s="66">
        <v>46</v>
      </c>
      <c r="D40" s="64" t="s">
        <v>46</v>
      </c>
      <c r="E40" s="65">
        <v>0.9</v>
      </c>
      <c r="F40" s="65">
        <v>0.81</v>
      </c>
      <c r="G40" s="97" t="s">
        <v>44</v>
      </c>
      <c r="H40" s="97"/>
      <c r="I40" s="64" t="s">
        <v>44</v>
      </c>
      <c r="J40" s="64" t="s">
        <v>44</v>
      </c>
      <c r="K40" s="64" t="s">
        <v>44</v>
      </c>
      <c r="L40" s="64" t="s">
        <v>44</v>
      </c>
      <c r="M40" s="66">
        <v>46</v>
      </c>
      <c r="N40" s="66">
        <v>34</v>
      </c>
      <c r="O40" s="66">
        <v>37</v>
      </c>
      <c r="P40" s="66">
        <v>39</v>
      </c>
      <c r="Q40" s="66">
        <v>42</v>
      </c>
      <c r="R40" s="99">
        <v>33</v>
      </c>
      <c r="S40" s="99"/>
      <c r="T40" s="66">
        <v>30</v>
      </c>
      <c r="U40" s="68">
        <v>9.2999999999999999E-2</v>
      </c>
      <c r="V40" s="66">
        <v>67</v>
      </c>
      <c r="W40" s="66">
        <v>100</v>
      </c>
      <c r="X40" s="66">
        <v>120</v>
      </c>
      <c r="Y40" s="63"/>
      <c r="Z40" s="65"/>
      <c r="AA40" s="66"/>
      <c r="AB40" s="65"/>
      <c r="AC40" s="66"/>
      <c r="AD40" s="41"/>
      <c r="AE40" s="40"/>
      <c r="AF40" s="41"/>
      <c r="AG40" s="40"/>
      <c r="AH40" s="41"/>
      <c r="AI40" s="40"/>
      <c r="AJ40" s="41"/>
      <c r="AK40" s="40"/>
      <c r="AL40" s="42"/>
    </row>
    <row r="41" spans="1:38" ht="20.100000000000001" customHeight="1" x14ac:dyDescent="0.2">
      <c r="A41" s="65">
        <v>7.6</v>
      </c>
      <c r="B41" s="66">
        <v>35</v>
      </c>
      <c r="C41" s="66">
        <v>52</v>
      </c>
      <c r="D41" s="64" t="s">
        <v>46</v>
      </c>
      <c r="E41" s="65">
        <v>0.89</v>
      </c>
      <c r="F41" s="65">
        <v>0.83</v>
      </c>
      <c r="G41" s="97" t="s">
        <v>44</v>
      </c>
      <c r="H41" s="97"/>
      <c r="I41" s="64" t="s">
        <v>44</v>
      </c>
      <c r="J41" s="64" t="s">
        <v>44</v>
      </c>
      <c r="K41" s="64" t="s">
        <v>44</v>
      </c>
      <c r="L41" s="64" t="s">
        <v>44</v>
      </c>
      <c r="M41" s="66">
        <v>41</v>
      </c>
      <c r="N41" s="66">
        <v>34</v>
      </c>
      <c r="O41" s="66">
        <v>36</v>
      </c>
      <c r="P41" s="66">
        <v>39</v>
      </c>
      <c r="Q41" s="66">
        <v>41</v>
      </c>
      <c r="R41" s="99">
        <v>32</v>
      </c>
      <c r="S41" s="99"/>
      <c r="T41" s="66">
        <v>29</v>
      </c>
      <c r="U41" s="68">
        <v>8.1000000000000003E-2</v>
      </c>
      <c r="V41" s="66">
        <v>58</v>
      </c>
      <c r="W41" s="66">
        <v>88</v>
      </c>
      <c r="X41" s="66">
        <v>105</v>
      </c>
      <c r="Y41" s="63"/>
      <c r="Z41" s="65"/>
      <c r="AA41" s="66"/>
      <c r="AB41" s="65"/>
      <c r="AC41" s="66"/>
      <c r="AD41" s="41"/>
      <c r="AE41" s="40"/>
      <c r="AF41" s="41"/>
      <c r="AG41" s="40"/>
      <c r="AH41" s="41"/>
      <c r="AI41" s="40"/>
      <c r="AJ41" s="41"/>
      <c r="AK41" s="40"/>
      <c r="AL41" s="42"/>
    </row>
    <row r="42" spans="1:38" ht="20.100000000000001" customHeight="1" x14ac:dyDescent="0.2">
      <c r="A42" s="65">
        <v>7.8</v>
      </c>
      <c r="B42" s="66">
        <v>44</v>
      </c>
      <c r="C42" s="66">
        <v>35</v>
      </c>
      <c r="D42" s="64" t="s">
        <v>46</v>
      </c>
      <c r="E42" s="65">
        <v>0.91</v>
      </c>
      <c r="F42" s="65">
        <v>0.85</v>
      </c>
      <c r="G42" s="97" t="s">
        <v>44</v>
      </c>
      <c r="H42" s="97"/>
      <c r="I42" s="64" t="s">
        <v>44</v>
      </c>
      <c r="J42" s="64" t="s">
        <v>44</v>
      </c>
      <c r="K42" s="64" t="s">
        <v>44</v>
      </c>
      <c r="L42" s="64" t="s">
        <v>44</v>
      </c>
      <c r="M42" s="66">
        <v>48</v>
      </c>
      <c r="N42" s="66">
        <v>35</v>
      </c>
      <c r="O42" s="66">
        <v>37</v>
      </c>
      <c r="P42" s="66">
        <v>39</v>
      </c>
      <c r="Q42" s="66">
        <v>42</v>
      </c>
      <c r="R42" s="99">
        <v>33</v>
      </c>
      <c r="S42" s="99"/>
      <c r="T42" s="66">
        <v>31</v>
      </c>
      <c r="U42" s="68">
        <v>9.9000000000000005E-2</v>
      </c>
      <c r="V42" s="66">
        <v>73</v>
      </c>
      <c r="W42" s="66">
        <v>110</v>
      </c>
      <c r="X42" s="66">
        <v>132</v>
      </c>
      <c r="Y42" s="63"/>
      <c r="Z42" s="65"/>
      <c r="AA42" s="66"/>
      <c r="AB42" s="65"/>
      <c r="AC42" s="66"/>
      <c r="AD42" s="41"/>
      <c r="AE42" s="40"/>
      <c r="AF42" s="41"/>
      <c r="AG42" s="40"/>
      <c r="AH42" s="41"/>
      <c r="AI42" s="40"/>
      <c r="AJ42" s="41"/>
      <c r="AK42" s="40"/>
      <c r="AL42" s="42"/>
    </row>
    <row r="43" spans="1:38" ht="20.100000000000001" customHeight="1" x14ac:dyDescent="0.2">
      <c r="A43" s="69" t="s">
        <v>62</v>
      </c>
      <c r="B43" s="66">
        <v>37</v>
      </c>
      <c r="C43" s="66">
        <v>62</v>
      </c>
      <c r="D43" s="64" t="s">
        <v>46</v>
      </c>
      <c r="E43" s="65">
        <v>0.89</v>
      </c>
      <c r="F43" s="65">
        <v>0.86</v>
      </c>
      <c r="G43" s="97" t="s">
        <v>44</v>
      </c>
      <c r="H43" s="97"/>
      <c r="I43" s="64" t="s">
        <v>44</v>
      </c>
      <c r="J43" s="64" t="s">
        <v>44</v>
      </c>
      <c r="K43" s="64" t="s">
        <v>44</v>
      </c>
      <c r="L43" s="64" t="s">
        <v>44</v>
      </c>
      <c r="M43" s="66">
        <v>41</v>
      </c>
      <c r="N43" s="66">
        <v>34</v>
      </c>
      <c r="O43" s="66">
        <v>36</v>
      </c>
      <c r="P43" s="66">
        <v>39</v>
      </c>
      <c r="Q43" s="66">
        <v>41</v>
      </c>
      <c r="R43" s="99">
        <v>32</v>
      </c>
      <c r="S43" s="99"/>
      <c r="T43" s="66">
        <v>30</v>
      </c>
      <c r="U43" s="68">
        <v>8.3000000000000004E-2</v>
      </c>
      <c r="V43" s="66">
        <v>62</v>
      </c>
      <c r="W43" s="66">
        <v>93</v>
      </c>
      <c r="X43" s="69" t="s">
        <v>55</v>
      </c>
      <c r="Y43" s="63"/>
      <c r="Z43" s="69"/>
      <c r="AA43" s="66"/>
      <c r="AB43" s="69"/>
      <c r="AC43" s="66"/>
      <c r="AD43" s="43"/>
      <c r="AE43" s="40"/>
      <c r="AF43" s="43"/>
      <c r="AG43" s="40"/>
      <c r="AH43" s="43"/>
      <c r="AI43" s="40"/>
      <c r="AJ43" s="43"/>
      <c r="AK43" s="40"/>
      <c r="AL43" s="42"/>
    </row>
    <row r="44" spans="1:38" ht="20.100000000000001" customHeight="1" x14ac:dyDescent="0.2">
      <c r="A44" s="65">
        <v>8.1999999999999993</v>
      </c>
      <c r="B44" s="66">
        <v>49</v>
      </c>
      <c r="C44" s="66">
        <v>46</v>
      </c>
      <c r="D44" s="64" t="s">
        <v>46</v>
      </c>
      <c r="E44" s="65">
        <v>0.92</v>
      </c>
      <c r="F44" s="65">
        <v>0.88</v>
      </c>
      <c r="G44" s="97" t="s">
        <v>44</v>
      </c>
      <c r="H44" s="97"/>
      <c r="I44" s="64" t="s">
        <v>44</v>
      </c>
      <c r="J44" s="64" t="s">
        <v>44</v>
      </c>
      <c r="K44" s="64" t="s">
        <v>44</v>
      </c>
      <c r="L44" s="64" t="s">
        <v>44</v>
      </c>
      <c r="M44" s="66">
        <v>51</v>
      </c>
      <c r="N44" s="66">
        <v>35</v>
      </c>
      <c r="O44" s="66">
        <v>37</v>
      </c>
      <c r="P44" s="66">
        <v>40</v>
      </c>
      <c r="Q44" s="66">
        <v>42</v>
      </c>
      <c r="R44" s="99">
        <v>34</v>
      </c>
      <c r="S44" s="99"/>
      <c r="T44" s="66">
        <v>31</v>
      </c>
      <c r="U44" s="68">
        <v>0.105</v>
      </c>
      <c r="V44" s="66">
        <v>82</v>
      </c>
      <c r="W44" s="66">
        <v>123</v>
      </c>
      <c r="X44" s="66">
        <v>147</v>
      </c>
      <c r="Y44" s="63"/>
      <c r="Z44" s="65"/>
      <c r="AA44" s="66"/>
      <c r="AB44" s="65"/>
      <c r="AC44" s="66"/>
      <c r="AD44" s="41"/>
      <c r="AE44" s="40"/>
      <c r="AF44" s="41"/>
      <c r="AG44" s="40"/>
      <c r="AH44" s="41"/>
      <c r="AI44" s="40"/>
      <c r="AJ44" s="41"/>
      <c r="AK44" s="40"/>
      <c r="AL44" s="42"/>
    </row>
    <row r="45" spans="1:38" ht="20.100000000000001" customHeight="1" x14ac:dyDescent="0.2">
      <c r="A45" s="65">
        <v>8.4</v>
      </c>
      <c r="B45" s="66">
        <v>56</v>
      </c>
      <c r="C45" s="66">
        <v>40</v>
      </c>
      <c r="D45" s="64" t="s">
        <v>46</v>
      </c>
      <c r="E45" s="65">
        <v>0.93</v>
      </c>
      <c r="F45" s="65">
        <v>0.9</v>
      </c>
      <c r="G45" s="97" t="s">
        <v>44</v>
      </c>
      <c r="H45" s="97"/>
      <c r="I45" s="64" t="s">
        <v>44</v>
      </c>
      <c r="J45" s="64" t="s">
        <v>44</v>
      </c>
      <c r="K45" s="64" t="s">
        <v>44</v>
      </c>
      <c r="L45" s="64" t="s">
        <v>44</v>
      </c>
      <c r="M45" s="66">
        <v>55</v>
      </c>
      <c r="N45" s="66">
        <v>36</v>
      </c>
      <c r="O45" s="66">
        <v>38</v>
      </c>
      <c r="P45" s="66">
        <v>40</v>
      </c>
      <c r="Q45" s="66">
        <v>42</v>
      </c>
      <c r="R45" s="99">
        <v>34</v>
      </c>
      <c r="S45" s="99"/>
      <c r="T45" s="66">
        <v>31</v>
      </c>
      <c r="U45" s="68">
        <v>0.11600000000000001</v>
      </c>
      <c r="V45" s="66">
        <v>93</v>
      </c>
      <c r="W45" s="66">
        <v>140</v>
      </c>
      <c r="X45" s="66">
        <v>168</v>
      </c>
      <c r="Y45" s="63"/>
      <c r="Z45" s="65"/>
      <c r="AA45" s="66"/>
      <c r="AB45" s="65"/>
      <c r="AC45" s="66"/>
      <c r="AD45" s="41"/>
      <c r="AE45" s="40"/>
      <c r="AF45" s="41"/>
      <c r="AG45" s="40"/>
      <c r="AH45" s="41"/>
      <c r="AI45" s="40"/>
      <c r="AJ45" s="41"/>
      <c r="AK45" s="40"/>
      <c r="AL45" s="42"/>
    </row>
    <row r="46" spans="1:38" ht="20.100000000000001" customHeight="1" x14ac:dyDescent="0.2">
      <c r="A46" s="65">
        <v>8.6</v>
      </c>
      <c r="B46" s="66">
        <v>55</v>
      </c>
      <c r="C46" s="66">
        <v>46</v>
      </c>
      <c r="D46" s="64" t="s">
        <v>46</v>
      </c>
      <c r="E46" s="65">
        <v>0.93</v>
      </c>
      <c r="F46" s="65">
        <v>0.92</v>
      </c>
      <c r="G46" s="97" t="s">
        <v>44</v>
      </c>
      <c r="H46" s="97"/>
      <c r="I46" s="64" t="s">
        <v>44</v>
      </c>
      <c r="J46" s="64" t="s">
        <v>44</v>
      </c>
      <c r="K46" s="64" t="s">
        <v>44</v>
      </c>
      <c r="L46" s="64" t="s">
        <v>44</v>
      </c>
      <c r="M46" s="66">
        <v>54</v>
      </c>
      <c r="N46" s="66">
        <v>35</v>
      </c>
      <c r="O46" s="66">
        <v>38</v>
      </c>
      <c r="P46" s="66">
        <v>40</v>
      </c>
      <c r="Q46" s="66">
        <v>42</v>
      </c>
      <c r="R46" s="99">
        <v>34</v>
      </c>
      <c r="S46" s="99"/>
      <c r="T46" s="66">
        <v>31</v>
      </c>
      <c r="U46" s="68">
        <v>0.113</v>
      </c>
      <c r="V46" s="66">
        <v>92</v>
      </c>
      <c r="W46" s="66">
        <v>138</v>
      </c>
      <c r="X46" s="66">
        <v>165</v>
      </c>
      <c r="Y46" s="63"/>
      <c r="Z46" s="65"/>
      <c r="AA46" s="66"/>
      <c r="AB46" s="65"/>
      <c r="AC46" s="66"/>
      <c r="AD46" s="41"/>
      <c r="AE46" s="40"/>
      <c r="AF46" s="41"/>
      <c r="AG46" s="40"/>
      <c r="AH46" s="41"/>
      <c r="AI46" s="40"/>
      <c r="AJ46" s="41"/>
      <c r="AK46" s="40"/>
      <c r="AL46" s="42"/>
    </row>
    <row r="47" spans="1:38" ht="20.100000000000001" customHeight="1" x14ac:dyDescent="0.2">
      <c r="A47" s="65">
        <v>8.8000000000000007</v>
      </c>
      <c r="B47" s="66">
        <v>66</v>
      </c>
      <c r="C47" s="66">
        <v>49</v>
      </c>
      <c r="D47" s="64" t="s">
        <v>46</v>
      </c>
      <c r="E47" s="65">
        <v>0.94</v>
      </c>
      <c r="F47" s="65">
        <v>0.94</v>
      </c>
      <c r="G47" s="97" t="s">
        <v>44</v>
      </c>
      <c r="H47" s="97"/>
      <c r="I47" s="64" t="s">
        <v>44</v>
      </c>
      <c r="J47" s="64" t="s">
        <v>44</v>
      </c>
      <c r="K47" s="64" t="s">
        <v>44</v>
      </c>
      <c r="L47" s="64" t="s">
        <v>44</v>
      </c>
      <c r="M47" s="66">
        <v>59</v>
      </c>
      <c r="N47" s="66">
        <v>36</v>
      </c>
      <c r="O47" s="66">
        <v>38</v>
      </c>
      <c r="P47" s="66">
        <v>40</v>
      </c>
      <c r="Q47" s="66">
        <v>43</v>
      </c>
      <c r="R47" s="99">
        <v>35</v>
      </c>
      <c r="S47" s="99"/>
      <c r="T47" s="66">
        <v>32</v>
      </c>
      <c r="U47" s="68">
        <v>0.128</v>
      </c>
      <c r="V47" s="66">
        <v>110</v>
      </c>
      <c r="W47" s="66">
        <v>165</v>
      </c>
      <c r="X47" s="66">
        <v>198</v>
      </c>
      <c r="Y47" s="63"/>
      <c r="Z47" s="65"/>
      <c r="AA47" s="66"/>
      <c r="AB47" s="65"/>
      <c r="AC47" s="66"/>
      <c r="AD47" s="41"/>
      <c r="AE47" s="40"/>
      <c r="AF47" s="41"/>
      <c r="AG47" s="40"/>
      <c r="AH47" s="41"/>
      <c r="AI47" s="40"/>
      <c r="AJ47" s="41"/>
      <c r="AK47" s="40"/>
      <c r="AL47" s="42"/>
    </row>
    <row r="48" spans="1:38" ht="20.100000000000001" customHeight="1" x14ac:dyDescent="0.2">
      <c r="A48" s="69" t="s">
        <v>63</v>
      </c>
      <c r="B48" s="66">
        <v>50</v>
      </c>
      <c r="C48" s="66">
        <v>34</v>
      </c>
      <c r="D48" s="64" t="s">
        <v>46</v>
      </c>
      <c r="E48" s="65">
        <v>0.92</v>
      </c>
      <c r="F48" s="65">
        <v>0.96</v>
      </c>
      <c r="G48" s="97" t="s">
        <v>44</v>
      </c>
      <c r="H48" s="97"/>
      <c r="I48" s="64" t="s">
        <v>44</v>
      </c>
      <c r="J48" s="64" t="s">
        <v>44</v>
      </c>
      <c r="K48" s="64" t="s">
        <v>44</v>
      </c>
      <c r="L48" s="64" t="s">
        <v>44</v>
      </c>
      <c r="M48" s="66">
        <v>49</v>
      </c>
      <c r="N48" s="66">
        <v>35</v>
      </c>
      <c r="O48" s="66">
        <v>37</v>
      </c>
      <c r="P48" s="66">
        <v>39</v>
      </c>
      <c r="Q48" s="66">
        <v>42</v>
      </c>
      <c r="R48" s="99">
        <v>33</v>
      </c>
      <c r="S48" s="99"/>
      <c r="T48" s="66">
        <v>31</v>
      </c>
      <c r="U48" s="68">
        <v>0.10199999999999999</v>
      </c>
      <c r="V48" s="66">
        <v>83</v>
      </c>
      <c r="W48" s="66">
        <v>125</v>
      </c>
      <c r="X48" s="69" t="s">
        <v>64</v>
      </c>
      <c r="Y48" s="63"/>
      <c r="Z48" s="69"/>
      <c r="AA48" s="66"/>
      <c r="AB48" s="69"/>
      <c r="AC48" s="66"/>
      <c r="AD48" s="43"/>
      <c r="AE48" s="40"/>
      <c r="AF48" s="43"/>
      <c r="AG48" s="40"/>
      <c r="AH48" s="43"/>
      <c r="AI48" s="40"/>
      <c r="AJ48" s="43"/>
      <c r="AK48" s="40"/>
      <c r="AL48" s="42"/>
    </row>
    <row r="49" spans="1:38" ht="20.100000000000001" customHeight="1" x14ac:dyDescent="0.2">
      <c r="A49" s="65">
        <v>9.1999999999999993</v>
      </c>
      <c r="B49" s="66">
        <v>64</v>
      </c>
      <c r="C49" s="66">
        <v>44</v>
      </c>
      <c r="D49" s="64" t="s">
        <v>46</v>
      </c>
      <c r="E49" s="65">
        <v>0.94</v>
      </c>
      <c r="F49" s="65">
        <v>0.97</v>
      </c>
      <c r="G49" s="97" t="s">
        <v>44</v>
      </c>
      <c r="H49" s="97"/>
      <c r="I49" s="64" t="s">
        <v>44</v>
      </c>
      <c r="J49" s="64" t="s">
        <v>44</v>
      </c>
      <c r="K49" s="64" t="s">
        <v>44</v>
      </c>
      <c r="L49" s="64" t="s">
        <v>44</v>
      </c>
      <c r="M49" s="66">
        <v>57</v>
      </c>
      <c r="N49" s="66">
        <v>36</v>
      </c>
      <c r="O49" s="66">
        <v>38</v>
      </c>
      <c r="P49" s="66">
        <v>40</v>
      </c>
      <c r="Q49" s="66">
        <v>43</v>
      </c>
      <c r="R49" s="99">
        <v>35</v>
      </c>
      <c r="S49" s="99"/>
      <c r="T49" s="66">
        <v>32</v>
      </c>
      <c r="U49" s="68">
        <v>0.123</v>
      </c>
      <c r="V49" s="66">
        <v>107</v>
      </c>
      <c r="W49" s="66">
        <v>160</v>
      </c>
      <c r="X49" s="66">
        <v>192</v>
      </c>
      <c r="Y49" s="63"/>
      <c r="Z49" s="65"/>
      <c r="AA49" s="66"/>
      <c r="AB49" s="65"/>
      <c r="AC49" s="66"/>
      <c r="AD49" s="41"/>
      <c r="AE49" s="40"/>
      <c r="AF49" s="41"/>
      <c r="AG49" s="40"/>
      <c r="AH49" s="41"/>
      <c r="AI49" s="40"/>
      <c r="AJ49" s="41"/>
      <c r="AK49" s="40"/>
      <c r="AL49" s="42"/>
    </row>
    <row r="50" spans="1:38" ht="20.100000000000001" customHeight="1" x14ac:dyDescent="0.2">
      <c r="A50" s="65">
        <v>9.4</v>
      </c>
      <c r="B50" s="66">
        <v>68</v>
      </c>
      <c r="C50" s="66">
        <v>42</v>
      </c>
      <c r="D50" s="64" t="s">
        <v>46</v>
      </c>
      <c r="E50" s="65">
        <v>0.95</v>
      </c>
      <c r="F50" s="65">
        <v>0.99</v>
      </c>
      <c r="G50" s="97" t="s">
        <v>44</v>
      </c>
      <c r="H50" s="97"/>
      <c r="I50" s="64" t="s">
        <v>44</v>
      </c>
      <c r="J50" s="64" t="s">
        <v>44</v>
      </c>
      <c r="K50" s="64" t="s">
        <v>44</v>
      </c>
      <c r="L50" s="64" t="s">
        <v>44</v>
      </c>
      <c r="M50" s="66">
        <v>59</v>
      </c>
      <c r="N50" s="66">
        <v>36</v>
      </c>
      <c r="O50" s="66">
        <v>38</v>
      </c>
      <c r="P50" s="66">
        <v>40</v>
      </c>
      <c r="Q50" s="66">
        <v>43</v>
      </c>
      <c r="R50" s="99">
        <v>35</v>
      </c>
      <c r="S50" s="99"/>
      <c r="T50" s="66">
        <v>32</v>
      </c>
      <c r="U50" s="68">
        <v>0.127</v>
      </c>
      <c r="V50" s="66">
        <v>113</v>
      </c>
      <c r="W50" s="66">
        <v>170</v>
      </c>
      <c r="X50" s="66">
        <v>204</v>
      </c>
      <c r="Y50" s="63"/>
      <c r="Z50" s="65"/>
      <c r="AA50" s="66"/>
      <c r="AB50" s="65"/>
      <c r="AC50" s="66"/>
      <c r="AD50" s="41"/>
      <c r="AE50" s="40"/>
      <c r="AF50" s="41"/>
      <c r="AG50" s="40"/>
      <c r="AH50" s="41"/>
      <c r="AI50" s="40"/>
      <c r="AJ50" s="41"/>
      <c r="AK50" s="40"/>
      <c r="AL50" s="42"/>
    </row>
    <row r="51" spans="1:38" ht="20.100000000000001" customHeight="1" x14ac:dyDescent="0.2">
      <c r="A51" s="65">
        <v>9.6</v>
      </c>
      <c r="B51" s="66">
        <v>72</v>
      </c>
      <c r="C51" s="64" t="s">
        <v>44</v>
      </c>
      <c r="D51" s="64" t="s">
        <v>46</v>
      </c>
      <c r="E51" s="65">
        <v>0.95</v>
      </c>
      <c r="F51" s="65">
        <v>1.01</v>
      </c>
      <c r="G51" s="97" t="s">
        <v>44</v>
      </c>
      <c r="H51" s="97"/>
      <c r="I51" s="64" t="s">
        <v>44</v>
      </c>
      <c r="J51" s="64" t="s">
        <v>44</v>
      </c>
      <c r="K51" s="64" t="s">
        <v>44</v>
      </c>
      <c r="L51" s="64" t="s">
        <v>44</v>
      </c>
      <c r="M51" s="66">
        <v>60</v>
      </c>
      <c r="N51" s="66">
        <v>36</v>
      </c>
      <c r="O51" s="66">
        <v>38</v>
      </c>
      <c r="P51" s="66">
        <v>41</v>
      </c>
      <c r="Q51" s="66">
        <v>43</v>
      </c>
      <c r="R51" s="99">
        <v>35</v>
      </c>
      <c r="S51" s="99"/>
      <c r="T51" s="66">
        <v>32</v>
      </c>
      <c r="U51" s="68">
        <v>0.13200000000000001</v>
      </c>
      <c r="V51" s="66">
        <v>120</v>
      </c>
      <c r="W51" s="66">
        <v>180</v>
      </c>
      <c r="X51" s="66">
        <v>216</v>
      </c>
      <c r="Y51" s="63"/>
      <c r="Z51" s="65"/>
      <c r="AA51" s="66"/>
      <c r="AB51" s="65"/>
      <c r="AC51" s="66"/>
      <c r="AD51" s="41"/>
      <c r="AE51" s="40"/>
      <c r="AF51" s="41"/>
      <c r="AG51" s="40"/>
      <c r="AH51" s="41"/>
      <c r="AI51" s="40"/>
      <c r="AJ51" s="41"/>
      <c r="AK51" s="40"/>
      <c r="AL51" s="42"/>
    </row>
    <row r="52" spans="1:38" ht="18.75" x14ac:dyDescent="0.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42"/>
      <c r="AE52" s="42"/>
      <c r="AF52" s="42"/>
      <c r="AG52" s="42"/>
      <c r="AH52" s="42"/>
      <c r="AI52" s="42"/>
      <c r="AJ52" s="42"/>
      <c r="AK52" s="42"/>
      <c r="AL52" s="42"/>
    </row>
    <row r="53" spans="1:38" ht="18.75" x14ac:dyDescent="0.2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</row>
    <row r="54" spans="1:38" ht="18.75" x14ac:dyDescent="0.2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</row>
    <row r="55" spans="1:38" ht="18.75" x14ac:dyDescent="0.2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</row>
    <row r="56" spans="1:38" ht="18.75" x14ac:dyDescent="0.2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</row>
    <row r="57" spans="1:38" ht="18.75" x14ac:dyDescent="0.2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</row>
  </sheetData>
  <mergeCells count="108">
    <mergeCell ref="G49:H49"/>
    <mergeCell ref="R49:S49"/>
    <mergeCell ref="G50:H50"/>
    <mergeCell ref="R50:S50"/>
    <mergeCell ref="G51:H51"/>
    <mergeCell ref="R51:S51"/>
    <mergeCell ref="N1:X1"/>
    <mergeCell ref="A1:K1"/>
    <mergeCell ref="G44:H44"/>
    <mergeCell ref="R44:S44"/>
    <mergeCell ref="G45:H45"/>
    <mergeCell ref="R45:S45"/>
    <mergeCell ref="G46:H46"/>
    <mergeCell ref="R46:S46"/>
    <mergeCell ref="G47:H47"/>
    <mergeCell ref="R47:S47"/>
    <mergeCell ref="G48:H48"/>
    <mergeCell ref="R48:S48"/>
    <mergeCell ref="G39:H39"/>
    <mergeCell ref="R39:S39"/>
    <mergeCell ref="G40:H40"/>
    <mergeCell ref="R40:S40"/>
    <mergeCell ref="G41:H41"/>
    <mergeCell ref="R41:S41"/>
    <mergeCell ref="G42:H42"/>
    <mergeCell ref="R42:S42"/>
    <mergeCell ref="G43:H43"/>
    <mergeCell ref="R43:S43"/>
    <mergeCell ref="G34:H34"/>
    <mergeCell ref="R34:S34"/>
    <mergeCell ref="G35:H35"/>
    <mergeCell ref="R35:S35"/>
    <mergeCell ref="G36:H36"/>
    <mergeCell ref="R36:S36"/>
    <mergeCell ref="G37:H37"/>
    <mergeCell ref="R37:S37"/>
    <mergeCell ref="G38:H38"/>
    <mergeCell ref="R38:S38"/>
    <mergeCell ref="G29:H29"/>
    <mergeCell ref="R29:S29"/>
    <mergeCell ref="G30:H30"/>
    <mergeCell ref="R30:S30"/>
    <mergeCell ref="G31:H31"/>
    <mergeCell ref="R31:S31"/>
    <mergeCell ref="G32:H32"/>
    <mergeCell ref="R32:S32"/>
    <mergeCell ref="G33:H33"/>
    <mergeCell ref="R33:S33"/>
    <mergeCell ref="G24:H24"/>
    <mergeCell ref="R24:S24"/>
    <mergeCell ref="G25:H25"/>
    <mergeCell ref="R25:S25"/>
    <mergeCell ref="G26:H26"/>
    <mergeCell ref="R26:S26"/>
    <mergeCell ref="G27:H27"/>
    <mergeCell ref="R27:S27"/>
    <mergeCell ref="G28:H28"/>
    <mergeCell ref="R28:S28"/>
    <mergeCell ref="G19:H19"/>
    <mergeCell ref="R19:S19"/>
    <mergeCell ref="G20:H20"/>
    <mergeCell ref="R20:S20"/>
    <mergeCell ref="G21:H21"/>
    <mergeCell ref="R21:S21"/>
    <mergeCell ref="G22:H22"/>
    <mergeCell ref="R22:S22"/>
    <mergeCell ref="G23:H23"/>
    <mergeCell ref="R23:S23"/>
    <mergeCell ref="G14:H14"/>
    <mergeCell ref="R14:S14"/>
    <mergeCell ref="G15:H15"/>
    <mergeCell ref="R15:S15"/>
    <mergeCell ref="G16:H16"/>
    <mergeCell ref="R16:S16"/>
    <mergeCell ref="G17:H17"/>
    <mergeCell ref="R17:S17"/>
    <mergeCell ref="G18:H18"/>
    <mergeCell ref="R18:S18"/>
    <mergeCell ref="G9:H9"/>
    <mergeCell ref="R9:S9"/>
    <mergeCell ref="G10:H10"/>
    <mergeCell ref="R10:S10"/>
    <mergeCell ref="G11:H11"/>
    <mergeCell ref="R11:S11"/>
    <mergeCell ref="G12:H12"/>
    <mergeCell ref="R12:S12"/>
    <mergeCell ref="G13:H13"/>
    <mergeCell ref="R13:S13"/>
    <mergeCell ref="G4:H4"/>
    <mergeCell ref="R4:S4"/>
    <mergeCell ref="G5:H5"/>
    <mergeCell ref="R5:S5"/>
    <mergeCell ref="G6:H6"/>
    <mergeCell ref="R6:S6"/>
    <mergeCell ref="G7:H7"/>
    <mergeCell ref="R7:S7"/>
    <mergeCell ref="G8:H8"/>
    <mergeCell ref="R8:S8"/>
    <mergeCell ref="A2:C2"/>
    <mergeCell ref="D2:I2"/>
    <mergeCell ref="J2:K2"/>
    <mergeCell ref="R2:S2"/>
    <mergeCell ref="V2:X2"/>
    <mergeCell ref="A3:C3"/>
    <mergeCell ref="D3:I3"/>
    <mergeCell ref="J3:K3"/>
    <mergeCell ref="R3:S3"/>
    <mergeCell ref="V3:X3"/>
  </mergeCell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70E809C-D203-4B6E-B80B-6039AE7312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CPT1_1!Z54:AG54</xm:f>
              <xm:sqref>Z54</xm:sqref>
            </x14:sparkline>
            <x14:sparkline>
              <xm:f>CPT1_1!Z55:AG55</xm:f>
              <xm:sqref>Z55</xm:sqref>
            </x14:sparkline>
            <x14:sparkline>
              <xm:f>CPT1_1!Z56:AG56</xm:f>
              <xm:sqref>Z56</xm:sqref>
            </x14:sparkline>
            <x14:sparkline>
              <xm:f>CPT1_1!Z57:AG57</xm:f>
              <xm:sqref>Z57</xm:sqref>
            </x14:sparkline>
            <x14:sparkline>
              <xm:f>CPT1_1!Z58:AG58</xm:f>
              <xm:sqref>Z58</xm:sqref>
            </x14:sparkline>
            <x14:sparkline>
              <xm:f>CPT1_1!Z59:AG59</xm:f>
              <xm:sqref>Z59</xm:sqref>
            </x14:sparkline>
            <x14:sparkline>
              <xm:f>CPT1_1!Z60:AG60</xm:f>
              <xm:sqref>Z60</xm:sqref>
            </x14:sparkline>
            <x14:sparkline>
              <xm:f>CPT1_1!Z61:AG61</xm:f>
              <xm:sqref>Z61</xm:sqref>
            </x14:sparkline>
            <x14:sparkline>
              <xm:f>CPT1_1!Z62:AG62</xm:f>
              <xm:sqref>Z62</xm:sqref>
            </x14:sparkline>
            <x14:sparkline>
              <xm:f>CPT1_1!Z63:AG63</xm:f>
              <xm:sqref>Z63</xm:sqref>
            </x14:sparkline>
            <x14:sparkline>
              <xm:f>CPT1_1!Z64:AG64</xm:f>
              <xm:sqref>Z64</xm:sqref>
            </x14:sparkline>
            <x14:sparkline>
              <xm:f>CPT1_1!Z65:AG65</xm:f>
              <xm:sqref>Z65</xm:sqref>
            </x14:sparkline>
            <x14:sparkline>
              <xm:f>CPT1_1!Z66:AG66</xm:f>
              <xm:sqref>Z66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3"/>
  <sheetViews>
    <sheetView topLeftCell="A27" zoomScale="62" zoomScaleNormal="62" workbookViewId="0">
      <selection sqref="A1:X53"/>
    </sheetView>
  </sheetViews>
  <sheetFormatPr defaultRowHeight="12.75" x14ac:dyDescent="0.2"/>
  <cols>
    <col min="1" max="42" width="10.83203125" customWidth="1"/>
  </cols>
  <sheetData>
    <row r="1" spans="1:24" s="70" customFormat="1" ht="20.100000000000001" customHeight="1" x14ac:dyDescent="0.2">
      <c r="A1" s="102" t="s">
        <v>22</v>
      </c>
      <c r="B1" s="103"/>
      <c r="C1" s="103"/>
      <c r="D1" s="103"/>
      <c r="E1" s="103"/>
      <c r="F1" s="103"/>
      <c r="G1" s="104"/>
      <c r="H1" s="105" t="s">
        <v>23</v>
      </c>
      <c r="I1" s="106"/>
      <c r="J1" s="106"/>
      <c r="K1" s="106"/>
      <c r="L1" s="106"/>
      <c r="M1" s="106"/>
      <c r="N1" s="106"/>
      <c r="O1" s="106"/>
      <c r="P1" s="106"/>
      <c r="Q1" s="106"/>
      <c r="R1" s="107"/>
    </row>
    <row r="2" spans="1:24" s="70" customFormat="1" ht="20.100000000000001" customHeight="1" x14ac:dyDescent="0.2">
      <c r="A2" s="108" t="s">
        <v>24</v>
      </c>
      <c r="B2" s="108"/>
      <c r="C2" s="108"/>
      <c r="D2" s="109" t="s">
        <v>25</v>
      </c>
      <c r="E2" s="109"/>
      <c r="F2" s="109"/>
      <c r="G2" s="109"/>
      <c r="H2" s="109"/>
      <c r="I2" s="109"/>
      <c r="J2" s="108" t="s">
        <v>26</v>
      </c>
      <c r="K2" s="108"/>
      <c r="L2" s="71" t="s">
        <v>27</v>
      </c>
      <c r="M2" s="72" t="s">
        <v>28</v>
      </c>
      <c r="N2" s="73" t="s">
        <v>29</v>
      </c>
      <c r="O2" s="73" t="s">
        <v>30</v>
      </c>
      <c r="P2" s="73" t="s">
        <v>31</v>
      </c>
      <c r="Q2" s="73" t="s">
        <v>32</v>
      </c>
      <c r="R2" s="110" t="s">
        <v>33</v>
      </c>
      <c r="S2" s="110"/>
      <c r="T2" s="71" t="s">
        <v>34</v>
      </c>
      <c r="U2" s="71" t="s">
        <v>35</v>
      </c>
      <c r="V2" s="109" t="s">
        <v>36</v>
      </c>
      <c r="W2" s="109"/>
      <c r="X2" s="109"/>
    </row>
    <row r="3" spans="1:24" s="70" customFormat="1" ht="20.100000000000001" customHeight="1" x14ac:dyDescent="0.2">
      <c r="A3" s="111" t="s">
        <v>37</v>
      </c>
      <c r="B3" s="111"/>
      <c r="C3" s="111"/>
      <c r="D3" s="109" t="s">
        <v>38</v>
      </c>
      <c r="E3" s="109"/>
      <c r="F3" s="109"/>
      <c r="G3" s="109"/>
      <c r="H3" s="109"/>
      <c r="I3" s="109"/>
      <c r="J3" s="108" t="s">
        <v>39</v>
      </c>
      <c r="K3" s="108"/>
      <c r="L3" s="71" t="s">
        <v>39</v>
      </c>
      <c r="M3" s="72" t="s">
        <v>40</v>
      </c>
      <c r="N3" s="72" t="s">
        <v>41</v>
      </c>
      <c r="O3" s="72" t="s">
        <v>41</v>
      </c>
      <c r="P3" s="72" t="s">
        <v>41</v>
      </c>
      <c r="Q3" s="72" t="s">
        <v>41</v>
      </c>
      <c r="R3" s="110" t="s">
        <v>41</v>
      </c>
      <c r="S3" s="110"/>
      <c r="T3" s="71" t="s">
        <v>41</v>
      </c>
      <c r="U3" s="74" t="s">
        <v>42</v>
      </c>
      <c r="V3" s="108" t="s">
        <v>43</v>
      </c>
      <c r="W3" s="108"/>
      <c r="X3" s="108"/>
    </row>
    <row r="4" spans="1:24" s="70" customFormat="1" ht="20.100000000000001" customHeight="1" x14ac:dyDescent="0.2">
      <c r="A4" s="108" t="s">
        <v>65</v>
      </c>
      <c r="B4" s="108"/>
      <c r="C4" s="108"/>
      <c r="D4" s="109" t="s">
        <v>66</v>
      </c>
      <c r="E4" s="109"/>
      <c r="F4" s="109"/>
      <c r="G4" s="109"/>
      <c r="H4" s="109"/>
      <c r="I4" s="109"/>
      <c r="J4" s="108" t="s">
        <v>67</v>
      </c>
      <c r="K4" s="108"/>
      <c r="L4" s="75">
        <v>32</v>
      </c>
      <c r="M4" s="73" t="s">
        <v>44</v>
      </c>
      <c r="N4" s="72" t="s">
        <v>44</v>
      </c>
      <c r="O4" s="72" t="s">
        <v>44</v>
      </c>
      <c r="P4" s="72" t="s">
        <v>44</v>
      </c>
      <c r="Q4" s="72" t="s">
        <v>44</v>
      </c>
      <c r="R4" s="110" t="s">
        <v>44</v>
      </c>
      <c r="S4" s="110"/>
      <c r="T4" s="76" t="s">
        <v>44</v>
      </c>
      <c r="U4" s="77" t="s">
        <v>44</v>
      </c>
      <c r="V4" s="108" t="s">
        <v>68</v>
      </c>
      <c r="W4" s="108"/>
      <c r="X4" s="108"/>
    </row>
    <row r="5" spans="1:24" s="70" customFormat="1" ht="20.100000000000001" customHeight="1" x14ac:dyDescent="0.2">
      <c r="A5" s="78">
        <v>0.4</v>
      </c>
      <c r="B5" s="79">
        <v>14</v>
      </c>
      <c r="C5" s="79">
        <v>35</v>
      </c>
      <c r="D5" s="74" t="s">
        <v>45</v>
      </c>
      <c r="E5" s="80">
        <v>1.85</v>
      </c>
      <c r="F5" s="80">
        <v>7.0000000000000007E-2</v>
      </c>
      <c r="G5" s="112">
        <v>0.64</v>
      </c>
      <c r="H5" s="112"/>
      <c r="I5" s="81">
        <v>92.5</v>
      </c>
      <c r="J5" s="82">
        <v>108</v>
      </c>
      <c r="K5" s="79">
        <v>162</v>
      </c>
      <c r="L5" s="75">
        <v>48</v>
      </c>
      <c r="M5" s="82">
        <v>68</v>
      </c>
      <c r="N5" s="83">
        <v>38</v>
      </c>
      <c r="O5" s="83">
        <v>39</v>
      </c>
      <c r="P5" s="83">
        <v>41</v>
      </c>
      <c r="Q5" s="83">
        <v>43</v>
      </c>
      <c r="R5" s="113">
        <v>40</v>
      </c>
      <c r="S5" s="113"/>
      <c r="T5" s="84">
        <v>26</v>
      </c>
      <c r="U5" s="85">
        <v>0.153</v>
      </c>
      <c r="V5" s="79">
        <v>23</v>
      </c>
      <c r="W5" s="82">
        <v>35</v>
      </c>
      <c r="X5" s="84">
        <v>42</v>
      </c>
    </row>
    <row r="6" spans="1:24" s="70" customFormat="1" ht="20.100000000000001" customHeight="1" x14ac:dyDescent="0.2">
      <c r="A6" s="78">
        <v>0.6</v>
      </c>
      <c r="B6" s="79">
        <v>24</v>
      </c>
      <c r="C6" s="79">
        <v>40</v>
      </c>
      <c r="D6" s="74" t="s">
        <v>46</v>
      </c>
      <c r="E6" s="80">
        <v>1.85</v>
      </c>
      <c r="F6" s="80">
        <v>0.11</v>
      </c>
      <c r="G6" s="114" t="s">
        <v>44</v>
      </c>
      <c r="H6" s="114"/>
      <c r="I6" s="72" t="s">
        <v>44</v>
      </c>
      <c r="J6" s="73" t="s">
        <v>44</v>
      </c>
      <c r="K6" s="74" t="s">
        <v>44</v>
      </c>
      <c r="L6" s="74" t="s">
        <v>44</v>
      </c>
      <c r="M6" s="82">
        <v>77</v>
      </c>
      <c r="N6" s="83">
        <v>39</v>
      </c>
      <c r="O6" s="83">
        <v>40</v>
      </c>
      <c r="P6" s="83">
        <v>42</v>
      </c>
      <c r="Q6" s="83">
        <v>44</v>
      </c>
      <c r="R6" s="113">
        <v>40</v>
      </c>
      <c r="S6" s="113"/>
      <c r="T6" s="84">
        <v>28</v>
      </c>
      <c r="U6" s="85">
        <v>0.17899999999999999</v>
      </c>
      <c r="V6" s="79">
        <v>40</v>
      </c>
      <c r="W6" s="82">
        <v>60</v>
      </c>
      <c r="X6" s="84">
        <v>72</v>
      </c>
    </row>
    <row r="7" spans="1:24" s="70" customFormat="1" ht="20.100000000000001" customHeight="1" x14ac:dyDescent="0.2">
      <c r="A7" s="78">
        <v>0.8</v>
      </c>
      <c r="B7" s="79">
        <v>50</v>
      </c>
      <c r="C7" s="79">
        <v>62</v>
      </c>
      <c r="D7" s="74" t="s">
        <v>46</v>
      </c>
      <c r="E7" s="80">
        <v>1.85</v>
      </c>
      <c r="F7" s="80">
        <v>0.15</v>
      </c>
      <c r="G7" s="114" t="s">
        <v>44</v>
      </c>
      <c r="H7" s="114"/>
      <c r="I7" s="72" t="s">
        <v>44</v>
      </c>
      <c r="J7" s="73" t="s">
        <v>44</v>
      </c>
      <c r="K7" s="74" t="s">
        <v>44</v>
      </c>
      <c r="L7" s="74" t="s">
        <v>44</v>
      </c>
      <c r="M7" s="82">
        <v>95</v>
      </c>
      <c r="N7" s="83">
        <v>41</v>
      </c>
      <c r="O7" s="83">
        <v>43</v>
      </c>
      <c r="P7" s="83">
        <v>44</v>
      </c>
      <c r="Q7" s="83">
        <v>46</v>
      </c>
      <c r="R7" s="113">
        <v>42</v>
      </c>
      <c r="S7" s="113"/>
      <c r="T7" s="84">
        <v>31</v>
      </c>
      <c r="U7" s="85">
        <v>0.24</v>
      </c>
      <c r="V7" s="79">
        <v>83</v>
      </c>
      <c r="W7" s="82">
        <v>125</v>
      </c>
      <c r="X7" s="84">
        <v>150</v>
      </c>
    </row>
    <row r="8" spans="1:24" s="70" customFormat="1" ht="20.100000000000001" customHeight="1" x14ac:dyDescent="0.2">
      <c r="A8" s="86" t="s">
        <v>69</v>
      </c>
      <c r="B8" s="79">
        <v>40</v>
      </c>
      <c r="C8" s="79">
        <v>37</v>
      </c>
      <c r="D8" s="74" t="s">
        <v>46</v>
      </c>
      <c r="E8" s="80">
        <v>1.85</v>
      </c>
      <c r="F8" s="80">
        <v>0.19</v>
      </c>
      <c r="G8" s="114" t="s">
        <v>44</v>
      </c>
      <c r="H8" s="114"/>
      <c r="I8" s="72" t="s">
        <v>44</v>
      </c>
      <c r="J8" s="73" t="s">
        <v>44</v>
      </c>
      <c r="K8" s="74" t="s">
        <v>44</v>
      </c>
      <c r="L8" s="74" t="s">
        <v>44</v>
      </c>
      <c r="M8" s="82">
        <v>82</v>
      </c>
      <c r="N8" s="83">
        <v>39</v>
      </c>
      <c r="O8" s="83">
        <v>41</v>
      </c>
      <c r="P8" s="83">
        <v>43</v>
      </c>
      <c r="Q8" s="83">
        <v>45</v>
      </c>
      <c r="R8" s="113">
        <v>40</v>
      </c>
      <c r="S8" s="113"/>
      <c r="T8" s="84">
        <v>30</v>
      </c>
      <c r="U8" s="85">
        <v>0.19500000000000001</v>
      </c>
      <c r="V8" s="79">
        <v>67</v>
      </c>
      <c r="W8" s="82">
        <v>100</v>
      </c>
      <c r="X8" s="87" t="s">
        <v>70</v>
      </c>
    </row>
    <row r="9" spans="1:24" s="70" customFormat="1" ht="20.100000000000001" customHeight="1" x14ac:dyDescent="0.2">
      <c r="A9" s="78">
        <v>1.2</v>
      </c>
      <c r="B9" s="79">
        <v>24</v>
      </c>
      <c r="C9" s="79">
        <v>28</v>
      </c>
      <c r="D9" s="74" t="s">
        <v>45</v>
      </c>
      <c r="E9" s="80">
        <v>1.85</v>
      </c>
      <c r="F9" s="80">
        <v>0.22</v>
      </c>
      <c r="G9" s="112">
        <v>0.89</v>
      </c>
      <c r="H9" s="112"/>
      <c r="I9" s="81">
        <v>35.6</v>
      </c>
      <c r="J9" s="82">
        <v>151</v>
      </c>
      <c r="K9" s="79">
        <v>227</v>
      </c>
      <c r="L9" s="75">
        <v>72</v>
      </c>
      <c r="M9" s="82">
        <v>60</v>
      </c>
      <c r="N9" s="83">
        <v>36</v>
      </c>
      <c r="O9" s="83">
        <v>38</v>
      </c>
      <c r="P9" s="83">
        <v>41</v>
      </c>
      <c r="Q9" s="83">
        <v>43</v>
      </c>
      <c r="R9" s="113">
        <v>37</v>
      </c>
      <c r="S9" s="113"/>
      <c r="T9" s="84">
        <v>28</v>
      </c>
      <c r="U9" s="85">
        <v>0.13</v>
      </c>
      <c r="V9" s="79">
        <v>40</v>
      </c>
      <c r="W9" s="82">
        <v>60</v>
      </c>
      <c r="X9" s="84">
        <v>72</v>
      </c>
    </row>
    <row r="10" spans="1:24" s="70" customFormat="1" ht="20.100000000000001" customHeight="1" x14ac:dyDescent="0.2">
      <c r="A10" s="78">
        <v>1.4</v>
      </c>
      <c r="B10" s="79">
        <v>27</v>
      </c>
      <c r="C10" s="79">
        <v>31</v>
      </c>
      <c r="D10" s="74" t="s">
        <v>46</v>
      </c>
      <c r="E10" s="80">
        <v>1.85</v>
      </c>
      <c r="F10" s="80">
        <v>0.26</v>
      </c>
      <c r="G10" s="114" t="s">
        <v>44</v>
      </c>
      <c r="H10" s="114"/>
      <c r="I10" s="72" t="s">
        <v>44</v>
      </c>
      <c r="J10" s="73" t="s">
        <v>44</v>
      </c>
      <c r="K10" s="74" t="s">
        <v>44</v>
      </c>
      <c r="L10" s="74" t="s">
        <v>44</v>
      </c>
      <c r="M10" s="82">
        <v>60</v>
      </c>
      <c r="N10" s="83">
        <v>36</v>
      </c>
      <c r="O10" s="83">
        <v>38</v>
      </c>
      <c r="P10" s="83">
        <v>41</v>
      </c>
      <c r="Q10" s="83">
        <v>43</v>
      </c>
      <c r="R10" s="113">
        <v>37</v>
      </c>
      <c r="S10" s="113"/>
      <c r="T10" s="84">
        <v>28</v>
      </c>
      <c r="U10" s="85">
        <v>0.13</v>
      </c>
      <c r="V10" s="79">
        <v>45</v>
      </c>
      <c r="W10" s="82">
        <v>68</v>
      </c>
      <c r="X10" s="84">
        <v>81</v>
      </c>
    </row>
    <row r="11" spans="1:24" s="70" customFormat="1" ht="20.100000000000001" customHeight="1" x14ac:dyDescent="0.2">
      <c r="A11" s="78">
        <v>1.6</v>
      </c>
      <c r="B11" s="79">
        <v>31</v>
      </c>
      <c r="C11" s="79">
        <v>36</v>
      </c>
      <c r="D11" s="74" t="s">
        <v>46</v>
      </c>
      <c r="E11" s="80">
        <v>1.85</v>
      </c>
      <c r="F11" s="80">
        <v>0.3</v>
      </c>
      <c r="G11" s="114" t="s">
        <v>44</v>
      </c>
      <c r="H11" s="114"/>
      <c r="I11" s="72" t="s">
        <v>44</v>
      </c>
      <c r="J11" s="73" t="s">
        <v>44</v>
      </c>
      <c r="K11" s="74" t="s">
        <v>44</v>
      </c>
      <c r="L11" s="74" t="s">
        <v>44</v>
      </c>
      <c r="M11" s="82">
        <v>61</v>
      </c>
      <c r="N11" s="83">
        <v>37</v>
      </c>
      <c r="O11" s="83">
        <v>39</v>
      </c>
      <c r="P11" s="83">
        <v>41</v>
      </c>
      <c r="Q11" s="83">
        <v>43</v>
      </c>
      <c r="R11" s="113">
        <v>37</v>
      </c>
      <c r="S11" s="113"/>
      <c r="T11" s="84">
        <v>29</v>
      </c>
      <c r="U11" s="85">
        <v>0.13400000000000001</v>
      </c>
      <c r="V11" s="79">
        <v>52</v>
      </c>
      <c r="W11" s="82">
        <v>78</v>
      </c>
      <c r="X11" s="84">
        <v>93</v>
      </c>
    </row>
    <row r="12" spans="1:24" s="70" customFormat="1" ht="20.100000000000001" customHeight="1" x14ac:dyDescent="0.2">
      <c r="A12" s="78">
        <v>1.8</v>
      </c>
      <c r="B12" s="79">
        <v>31</v>
      </c>
      <c r="C12" s="79">
        <v>29</v>
      </c>
      <c r="D12" s="74" t="s">
        <v>45</v>
      </c>
      <c r="E12" s="80">
        <v>1.85</v>
      </c>
      <c r="F12" s="80">
        <v>0.33</v>
      </c>
      <c r="G12" s="112">
        <v>1.03</v>
      </c>
      <c r="H12" s="112"/>
      <c r="I12" s="81">
        <v>25.9</v>
      </c>
      <c r="J12" s="82">
        <v>176</v>
      </c>
      <c r="K12" s="79">
        <v>264</v>
      </c>
      <c r="L12" s="75">
        <v>93</v>
      </c>
      <c r="M12" s="82">
        <v>59</v>
      </c>
      <c r="N12" s="83">
        <v>36</v>
      </c>
      <c r="O12" s="83">
        <v>38</v>
      </c>
      <c r="P12" s="83">
        <v>40</v>
      </c>
      <c r="Q12" s="83">
        <v>43</v>
      </c>
      <c r="R12" s="113">
        <v>37</v>
      </c>
      <c r="S12" s="113"/>
      <c r="T12" s="84">
        <v>29</v>
      </c>
      <c r="U12" s="85">
        <v>0.127</v>
      </c>
      <c r="V12" s="79">
        <v>52</v>
      </c>
      <c r="W12" s="82">
        <v>78</v>
      </c>
      <c r="X12" s="84">
        <v>93</v>
      </c>
    </row>
    <row r="13" spans="1:24" s="70" customFormat="1" ht="20.100000000000001" customHeight="1" x14ac:dyDescent="0.2">
      <c r="A13" s="86" t="s">
        <v>71</v>
      </c>
      <c r="B13" s="79">
        <v>28</v>
      </c>
      <c r="C13" s="79">
        <v>38</v>
      </c>
      <c r="D13" s="74" t="s">
        <v>46</v>
      </c>
      <c r="E13" s="80">
        <v>1.85</v>
      </c>
      <c r="F13" s="80">
        <v>0.37</v>
      </c>
      <c r="G13" s="114" t="s">
        <v>44</v>
      </c>
      <c r="H13" s="114"/>
      <c r="I13" s="72" t="s">
        <v>44</v>
      </c>
      <c r="J13" s="73" t="s">
        <v>44</v>
      </c>
      <c r="K13" s="74" t="s">
        <v>44</v>
      </c>
      <c r="L13" s="74" t="s">
        <v>44</v>
      </c>
      <c r="M13" s="82">
        <v>52</v>
      </c>
      <c r="N13" s="83">
        <v>35</v>
      </c>
      <c r="O13" s="83">
        <v>38</v>
      </c>
      <c r="P13" s="83">
        <v>40</v>
      </c>
      <c r="Q13" s="83">
        <v>42</v>
      </c>
      <c r="R13" s="113">
        <v>35</v>
      </c>
      <c r="S13" s="113"/>
      <c r="T13" s="84">
        <v>28</v>
      </c>
      <c r="U13" s="85">
        <v>0.11</v>
      </c>
      <c r="V13" s="79">
        <v>47</v>
      </c>
      <c r="W13" s="82">
        <v>70</v>
      </c>
      <c r="X13" s="88" t="s">
        <v>72</v>
      </c>
    </row>
    <row r="14" spans="1:24" s="70" customFormat="1" ht="20.100000000000001" customHeight="1" x14ac:dyDescent="0.2">
      <c r="A14" s="78">
        <v>2.2000000000000002</v>
      </c>
      <c r="B14" s="79">
        <v>35</v>
      </c>
      <c r="C14" s="79">
        <v>33</v>
      </c>
      <c r="D14" s="74" t="s">
        <v>46</v>
      </c>
      <c r="E14" s="80">
        <v>1.85</v>
      </c>
      <c r="F14" s="80">
        <v>0.41</v>
      </c>
      <c r="G14" s="114" t="s">
        <v>44</v>
      </c>
      <c r="H14" s="114"/>
      <c r="I14" s="72" t="s">
        <v>44</v>
      </c>
      <c r="J14" s="73" t="s">
        <v>44</v>
      </c>
      <c r="K14" s="74" t="s">
        <v>44</v>
      </c>
      <c r="L14" s="74" t="s">
        <v>44</v>
      </c>
      <c r="M14" s="82">
        <v>58</v>
      </c>
      <c r="N14" s="83">
        <v>36</v>
      </c>
      <c r="O14" s="83">
        <v>38</v>
      </c>
      <c r="P14" s="83">
        <v>40</v>
      </c>
      <c r="Q14" s="83">
        <v>43</v>
      </c>
      <c r="R14" s="113">
        <v>36</v>
      </c>
      <c r="S14" s="113"/>
      <c r="T14" s="84">
        <v>29</v>
      </c>
      <c r="U14" s="85">
        <v>0.125</v>
      </c>
      <c r="V14" s="79">
        <v>58</v>
      </c>
      <c r="W14" s="82">
        <v>88</v>
      </c>
      <c r="X14" s="84">
        <v>105</v>
      </c>
    </row>
    <row r="15" spans="1:24" s="70" customFormat="1" ht="20.100000000000001" customHeight="1" x14ac:dyDescent="0.2">
      <c r="A15" s="78">
        <v>2.4</v>
      </c>
      <c r="B15" s="79">
        <v>32</v>
      </c>
      <c r="C15" s="79">
        <v>48</v>
      </c>
      <c r="D15" s="74" t="s">
        <v>46</v>
      </c>
      <c r="E15" s="80">
        <v>1.85</v>
      </c>
      <c r="F15" s="80">
        <v>0.44</v>
      </c>
      <c r="G15" s="114" t="s">
        <v>44</v>
      </c>
      <c r="H15" s="114"/>
      <c r="I15" s="72" t="s">
        <v>44</v>
      </c>
      <c r="J15" s="73" t="s">
        <v>44</v>
      </c>
      <c r="K15" s="74" t="s">
        <v>44</v>
      </c>
      <c r="L15" s="74" t="s">
        <v>44</v>
      </c>
      <c r="M15" s="82">
        <v>53</v>
      </c>
      <c r="N15" s="83">
        <v>35</v>
      </c>
      <c r="O15" s="83">
        <v>38</v>
      </c>
      <c r="P15" s="83">
        <v>40</v>
      </c>
      <c r="Q15" s="83">
        <v>42</v>
      </c>
      <c r="R15" s="113">
        <v>35</v>
      </c>
      <c r="S15" s="113"/>
      <c r="T15" s="84">
        <v>29</v>
      </c>
      <c r="U15" s="85">
        <v>0.111</v>
      </c>
      <c r="V15" s="79">
        <v>53</v>
      </c>
      <c r="W15" s="82">
        <v>80</v>
      </c>
      <c r="X15" s="84">
        <v>96</v>
      </c>
    </row>
    <row r="16" spans="1:24" s="70" customFormat="1" ht="20.100000000000001" customHeight="1" x14ac:dyDescent="0.2">
      <c r="A16" s="78">
        <v>2.6</v>
      </c>
      <c r="B16" s="79">
        <v>64</v>
      </c>
      <c r="C16" s="79">
        <v>48</v>
      </c>
      <c r="D16" s="74" t="s">
        <v>46</v>
      </c>
      <c r="E16" s="80">
        <v>1.85</v>
      </c>
      <c r="F16" s="80">
        <v>0.48</v>
      </c>
      <c r="G16" s="114" t="s">
        <v>44</v>
      </c>
      <c r="H16" s="114"/>
      <c r="I16" s="72" t="s">
        <v>44</v>
      </c>
      <c r="J16" s="73" t="s">
        <v>44</v>
      </c>
      <c r="K16" s="74" t="s">
        <v>44</v>
      </c>
      <c r="L16" s="74" t="s">
        <v>44</v>
      </c>
      <c r="M16" s="82">
        <v>75</v>
      </c>
      <c r="N16" s="83">
        <v>38</v>
      </c>
      <c r="O16" s="83">
        <v>40</v>
      </c>
      <c r="P16" s="83">
        <v>42</v>
      </c>
      <c r="Q16" s="83">
        <v>44</v>
      </c>
      <c r="R16" s="113">
        <v>38</v>
      </c>
      <c r="S16" s="113"/>
      <c r="T16" s="84">
        <v>32</v>
      </c>
      <c r="U16" s="85">
        <v>0.17299999999999999</v>
      </c>
      <c r="V16" s="79">
        <v>107</v>
      </c>
      <c r="W16" s="82">
        <v>160</v>
      </c>
      <c r="X16" s="84">
        <v>192</v>
      </c>
    </row>
    <row r="17" spans="1:24" s="70" customFormat="1" ht="20.100000000000001" customHeight="1" x14ac:dyDescent="0.2">
      <c r="A17" s="78">
        <v>2.8</v>
      </c>
      <c r="B17" s="79">
        <v>60</v>
      </c>
      <c r="C17" s="79">
        <v>45</v>
      </c>
      <c r="D17" s="74" t="s">
        <v>46</v>
      </c>
      <c r="E17" s="80">
        <v>1.85</v>
      </c>
      <c r="F17" s="80">
        <v>0.52</v>
      </c>
      <c r="G17" s="114" t="s">
        <v>44</v>
      </c>
      <c r="H17" s="114"/>
      <c r="I17" s="72" t="s">
        <v>44</v>
      </c>
      <c r="J17" s="73" t="s">
        <v>44</v>
      </c>
      <c r="K17" s="74" t="s">
        <v>44</v>
      </c>
      <c r="L17" s="74" t="s">
        <v>44</v>
      </c>
      <c r="M17" s="82">
        <v>70</v>
      </c>
      <c r="N17" s="83">
        <v>38</v>
      </c>
      <c r="O17" s="83">
        <v>40</v>
      </c>
      <c r="P17" s="83">
        <v>42</v>
      </c>
      <c r="Q17" s="83">
        <v>44</v>
      </c>
      <c r="R17" s="113">
        <v>38</v>
      </c>
      <c r="S17" s="113"/>
      <c r="T17" s="84">
        <v>32</v>
      </c>
      <c r="U17" s="85">
        <v>0.161</v>
      </c>
      <c r="V17" s="79">
        <v>100</v>
      </c>
      <c r="W17" s="82">
        <v>150</v>
      </c>
      <c r="X17" s="84">
        <v>180</v>
      </c>
    </row>
    <row r="18" spans="1:24" s="70" customFormat="1" ht="20.100000000000001" customHeight="1" x14ac:dyDescent="0.2">
      <c r="A18" s="86" t="s">
        <v>73</v>
      </c>
      <c r="B18" s="79">
        <v>80</v>
      </c>
      <c r="C18" s="79">
        <v>46</v>
      </c>
      <c r="D18" s="74" t="s">
        <v>46</v>
      </c>
      <c r="E18" s="80">
        <v>1.85</v>
      </c>
      <c r="F18" s="80">
        <v>0.55000000000000004</v>
      </c>
      <c r="G18" s="114" t="s">
        <v>44</v>
      </c>
      <c r="H18" s="114"/>
      <c r="I18" s="72" t="s">
        <v>44</v>
      </c>
      <c r="J18" s="73" t="s">
        <v>44</v>
      </c>
      <c r="K18" s="74" t="s">
        <v>44</v>
      </c>
      <c r="L18" s="74" t="s">
        <v>44</v>
      </c>
      <c r="M18" s="82">
        <v>79</v>
      </c>
      <c r="N18" s="83">
        <v>39</v>
      </c>
      <c r="O18" s="83">
        <v>41</v>
      </c>
      <c r="P18" s="83">
        <v>42</v>
      </c>
      <c r="Q18" s="83">
        <v>44</v>
      </c>
      <c r="R18" s="113">
        <v>39</v>
      </c>
      <c r="S18" s="113"/>
      <c r="T18" s="84">
        <v>33</v>
      </c>
      <c r="U18" s="85">
        <v>0.186</v>
      </c>
      <c r="V18" s="79">
        <v>133</v>
      </c>
      <c r="W18" s="82">
        <v>200</v>
      </c>
      <c r="X18" s="87" t="s">
        <v>74</v>
      </c>
    </row>
    <row r="19" spans="1:24" s="70" customFormat="1" ht="20.100000000000001" customHeight="1" x14ac:dyDescent="0.2">
      <c r="A19" s="78">
        <v>3.2</v>
      </c>
      <c r="B19" s="79">
        <v>80</v>
      </c>
      <c r="C19" s="79">
        <v>43</v>
      </c>
      <c r="D19" s="74" t="s">
        <v>46</v>
      </c>
      <c r="E19" s="80">
        <v>1.85</v>
      </c>
      <c r="F19" s="80">
        <v>0.59</v>
      </c>
      <c r="G19" s="114" t="s">
        <v>44</v>
      </c>
      <c r="H19" s="114"/>
      <c r="I19" s="72" t="s">
        <v>44</v>
      </c>
      <c r="J19" s="73" t="s">
        <v>44</v>
      </c>
      <c r="K19" s="74" t="s">
        <v>44</v>
      </c>
      <c r="L19" s="74" t="s">
        <v>44</v>
      </c>
      <c r="M19" s="82">
        <v>77</v>
      </c>
      <c r="N19" s="83">
        <v>39</v>
      </c>
      <c r="O19" s="83">
        <v>41</v>
      </c>
      <c r="P19" s="83">
        <v>42</v>
      </c>
      <c r="Q19" s="83">
        <v>44</v>
      </c>
      <c r="R19" s="113">
        <v>38</v>
      </c>
      <c r="S19" s="113"/>
      <c r="T19" s="84">
        <v>33</v>
      </c>
      <c r="U19" s="85">
        <v>0.18099999999999999</v>
      </c>
      <c r="V19" s="79">
        <v>133</v>
      </c>
      <c r="W19" s="82">
        <v>200</v>
      </c>
      <c r="X19" s="84">
        <v>240</v>
      </c>
    </row>
    <row r="20" spans="1:24" s="70" customFormat="1" ht="20.100000000000001" customHeight="1" x14ac:dyDescent="0.2">
      <c r="A20" s="78">
        <v>3.4</v>
      </c>
      <c r="B20" s="79">
        <v>52</v>
      </c>
      <c r="C20" s="79">
        <v>43</v>
      </c>
      <c r="D20" s="74" t="s">
        <v>46</v>
      </c>
      <c r="E20" s="80">
        <v>1.85</v>
      </c>
      <c r="F20" s="80">
        <v>0.63</v>
      </c>
      <c r="G20" s="114" t="s">
        <v>44</v>
      </c>
      <c r="H20" s="114"/>
      <c r="I20" s="72" t="s">
        <v>44</v>
      </c>
      <c r="J20" s="73" t="s">
        <v>44</v>
      </c>
      <c r="K20" s="74" t="s">
        <v>44</v>
      </c>
      <c r="L20" s="74" t="s">
        <v>44</v>
      </c>
      <c r="M20" s="82">
        <v>61</v>
      </c>
      <c r="N20" s="83">
        <v>37</v>
      </c>
      <c r="O20" s="83">
        <v>39</v>
      </c>
      <c r="P20" s="83">
        <v>41</v>
      </c>
      <c r="Q20" s="83">
        <v>43</v>
      </c>
      <c r="R20" s="113">
        <v>36</v>
      </c>
      <c r="S20" s="113"/>
      <c r="T20" s="84">
        <v>31</v>
      </c>
      <c r="U20" s="85">
        <v>0.13300000000000001</v>
      </c>
      <c r="V20" s="79">
        <v>87</v>
      </c>
      <c r="W20" s="82">
        <v>130</v>
      </c>
      <c r="X20" s="84">
        <v>156</v>
      </c>
    </row>
    <row r="21" spans="1:24" s="70" customFormat="1" ht="20.100000000000001" customHeight="1" x14ac:dyDescent="0.2">
      <c r="A21" s="78">
        <v>3.6</v>
      </c>
      <c r="B21" s="79">
        <v>44</v>
      </c>
      <c r="C21" s="79">
        <v>37</v>
      </c>
      <c r="D21" s="74" t="s">
        <v>46</v>
      </c>
      <c r="E21" s="80">
        <v>1.85</v>
      </c>
      <c r="F21" s="80">
        <v>0.67</v>
      </c>
      <c r="G21" s="114" t="s">
        <v>44</v>
      </c>
      <c r="H21" s="114"/>
      <c r="I21" s="72" t="s">
        <v>44</v>
      </c>
      <c r="J21" s="73" t="s">
        <v>44</v>
      </c>
      <c r="K21" s="74" t="s">
        <v>44</v>
      </c>
      <c r="L21" s="74" t="s">
        <v>44</v>
      </c>
      <c r="M21" s="82">
        <v>54</v>
      </c>
      <c r="N21" s="83">
        <v>36</v>
      </c>
      <c r="O21" s="83">
        <v>38</v>
      </c>
      <c r="P21" s="83">
        <v>40</v>
      </c>
      <c r="Q21" s="83">
        <v>42</v>
      </c>
      <c r="R21" s="113">
        <v>35</v>
      </c>
      <c r="S21" s="113"/>
      <c r="T21" s="84">
        <v>31</v>
      </c>
      <c r="U21" s="85">
        <v>0.113</v>
      </c>
      <c r="V21" s="79">
        <v>73</v>
      </c>
      <c r="W21" s="82">
        <v>110</v>
      </c>
      <c r="X21" s="84">
        <v>132</v>
      </c>
    </row>
    <row r="22" spans="1:24" s="70" customFormat="1" ht="20.100000000000001" customHeight="1" x14ac:dyDescent="0.2">
      <c r="A22" s="78">
        <v>3.8</v>
      </c>
      <c r="B22" s="79">
        <v>29</v>
      </c>
      <c r="C22" s="79">
        <v>29</v>
      </c>
      <c r="D22" s="74" t="s">
        <v>45</v>
      </c>
      <c r="E22" s="80">
        <v>1.85</v>
      </c>
      <c r="F22" s="80">
        <v>0.7</v>
      </c>
      <c r="G22" s="112">
        <v>0.98</v>
      </c>
      <c r="H22" s="112"/>
      <c r="I22" s="81">
        <v>9.5</v>
      </c>
      <c r="J22" s="82">
        <v>169</v>
      </c>
      <c r="K22" s="79">
        <v>254</v>
      </c>
      <c r="L22" s="75">
        <v>87</v>
      </c>
      <c r="M22" s="82">
        <v>38</v>
      </c>
      <c r="N22" s="83">
        <v>33</v>
      </c>
      <c r="O22" s="83">
        <v>36</v>
      </c>
      <c r="P22" s="83">
        <v>38</v>
      </c>
      <c r="Q22" s="83">
        <v>41</v>
      </c>
      <c r="R22" s="113">
        <v>32</v>
      </c>
      <c r="S22" s="113"/>
      <c r="T22" s="84">
        <v>29</v>
      </c>
      <c r="U22" s="85">
        <v>7.4999999999999997E-2</v>
      </c>
      <c r="V22" s="79">
        <v>48</v>
      </c>
      <c r="W22" s="82">
        <v>73</v>
      </c>
      <c r="X22" s="84">
        <v>87</v>
      </c>
    </row>
    <row r="23" spans="1:24" s="70" customFormat="1" ht="20.100000000000001" customHeight="1" x14ac:dyDescent="0.2">
      <c r="A23" s="86" t="s">
        <v>75</v>
      </c>
      <c r="B23" s="79">
        <v>29</v>
      </c>
      <c r="C23" s="79">
        <v>48</v>
      </c>
      <c r="D23" s="74" t="s">
        <v>46</v>
      </c>
      <c r="E23" s="80">
        <v>1.85</v>
      </c>
      <c r="F23" s="80">
        <v>0.74</v>
      </c>
      <c r="G23" s="114" t="s">
        <v>44</v>
      </c>
      <c r="H23" s="114"/>
      <c r="I23" s="72" t="s">
        <v>44</v>
      </c>
      <c r="J23" s="73" t="s">
        <v>44</v>
      </c>
      <c r="K23" s="74" t="s">
        <v>44</v>
      </c>
      <c r="L23" s="74" t="s">
        <v>44</v>
      </c>
      <c r="M23" s="82">
        <v>37</v>
      </c>
      <c r="N23" s="83">
        <v>33</v>
      </c>
      <c r="O23" s="83">
        <v>36</v>
      </c>
      <c r="P23" s="83">
        <v>38</v>
      </c>
      <c r="Q23" s="83">
        <v>41</v>
      </c>
      <c r="R23" s="113">
        <v>32</v>
      </c>
      <c r="S23" s="113"/>
      <c r="T23" s="84">
        <v>29</v>
      </c>
      <c r="U23" s="85">
        <v>7.1999999999999995E-2</v>
      </c>
      <c r="V23" s="79">
        <v>48</v>
      </c>
      <c r="W23" s="82">
        <v>73</v>
      </c>
      <c r="X23" s="88" t="s">
        <v>76</v>
      </c>
    </row>
    <row r="24" spans="1:24" s="70" customFormat="1" ht="20.100000000000001" customHeight="1" x14ac:dyDescent="0.2">
      <c r="A24" s="78">
        <v>4.2</v>
      </c>
      <c r="B24" s="79">
        <v>35</v>
      </c>
      <c r="C24" s="79">
        <v>44</v>
      </c>
      <c r="D24" s="74" t="s">
        <v>46</v>
      </c>
      <c r="E24" s="80">
        <v>1.85</v>
      </c>
      <c r="F24" s="80">
        <v>0.78</v>
      </c>
      <c r="G24" s="114" t="s">
        <v>44</v>
      </c>
      <c r="H24" s="114"/>
      <c r="I24" s="72" t="s">
        <v>44</v>
      </c>
      <c r="J24" s="73" t="s">
        <v>44</v>
      </c>
      <c r="K24" s="74" t="s">
        <v>44</v>
      </c>
      <c r="L24" s="74" t="s">
        <v>44</v>
      </c>
      <c r="M24" s="82">
        <v>42</v>
      </c>
      <c r="N24" s="83">
        <v>34</v>
      </c>
      <c r="O24" s="83">
        <v>36</v>
      </c>
      <c r="P24" s="83">
        <v>39</v>
      </c>
      <c r="Q24" s="83">
        <v>41</v>
      </c>
      <c r="R24" s="113">
        <v>33</v>
      </c>
      <c r="S24" s="113"/>
      <c r="T24" s="84">
        <v>29</v>
      </c>
      <c r="U24" s="85">
        <v>8.5000000000000006E-2</v>
      </c>
      <c r="V24" s="79">
        <v>58</v>
      </c>
      <c r="W24" s="82">
        <v>88</v>
      </c>
      <c r="X24" s="84">
        <v>105</v>
      </c>
    </row>
    <row r="25" spans="1:24" s="70" customFormat="1" ht="20.100000000000001" customHeight="1" x14ac:dyDescent="0.2">
      <c r="A25" s="78">
        <v>4.4000000000000004</v>
      </c>
      <c r="B25" s="79">
        <v>31</v>
      </c>
      <c r="C25" s="79">
        <v>58</v>
      </c>
      <c r="D25" s="74" t="s">
        <v>46</v>
      </c>
      <c r="E25" s="80">
        <v>1.85</v>
      </c>
      <c r="F25" s="80">
        <v>0.81</v>
      </c>
      <c r="G25" s="114" t="s">
        <v>44</v>
      </c>
      <c r="H25" s="114"/>
      <c r="I25" s="72" t="s">
        <v>44</v>
      </c>
      <c r="J25" s="73" t="s">
        <v>44</v>
      </c>
      <c r="K25" s="74" t="s">
        <v>44</v>
      </c>
      <c r="L25" s="74" t="s">
        <v>44</v>
      </c>
      <c r="M25" s="82">
        <v>37</v>
      </c>
      <c r="N25" s="83">
        <v>33</v>
      </c>
      <c r="O25" s="83">
        <v>36</v>
      </c>
      <c r="P25" s="83">
        <v>38</v>
      </c>
      <c r="Q25" s="83">
        <v>41</v>
      </c>
      <c r="R25" s="113">
        <v>32</v>
      </c>
      <c r="S25" s="113"/>
      <c r="T25" s="84">
        <v>29</v>
      </c>
      <c r="U25" s="85">
        <v>7.1999999999999995E-2</v>
      </c>
      <c r="V25" s="79">
        <v>52</v>
      </c>
      <c r="W25" s="82">
        <v>78</v>
      </c>
      <c r="X25" s="84">
        <v>93</v>
      </c>
    </row>
    <row r="26" spans="1:24" s="70" customFormat="1" ht="20.100000000000001" customHeight="1" x14ac:dyDescent="0.2">
      <c r="A26" s="78">
        <v>4.5999999999999996</v>
      </c>
      <c r="B26" s="79">
        <v>28</v>
      </c>
      <c r="C26" s="79">
        <v>42</v>
      </c>
      <c r="D26" s="74" t="s">
        <v>46</v>
      </c>
      <c r="E26" s="80">
        <v>1.85</v>
      </c>
      <c r="F26" s="80">
        <v>0.85</v>
      </c>
      <c r="G26" s="114" t="s">
        <v>44</v>
      </c>
      <c r="H26" s="114"/>
      <c r="I26" s="72" t="s">
        <v>44</v>
      </c>
      <c r="J26" s="73" t="s">
        <v>44</v>
      </c>
      <c r="K26" s="74" t="s">
        <v>44</v>
      </c>
      <c r="L26" s="74" t="s">
        <v>44</v>
      </c>
      <c r="M26" s="82">
        <v>32</v>
      </c>
      <c r="N26" s="83">
        <v>33</v>
      </c>
      <c r="O26" s="83">
        <v>35</v>
      </c>
      <c r="P26" s="83">
        <v>38</v>
      </c>
      <c r="Q26" s="83">
        <v>41</v>
      </c>
      <c r="R26" s="113">
        <v>31</v>
      </c>
      <c r="S26" s="113"/>
      <c r="T26" s="84">
        <v>28</v>
      </c>
      <c r="U26" s="85">
        <v>6.2E-2</v>
      </c>
      <c r="V26" s="79">
        <v>47</v>
      </c>
      <c r="W26" s="82">
        <v>70</v>
      </c>
      <c r="X26" s="84">
        <v>84</v>
      </c>
    </row>
    <row r="27" spans="1:24" s="70" customFormat="1" ht="20.100000000000001" customHeight="1" x14ac:dyDescent="0.2">
      <c r="A27" s="78">
        <v>4.8</v>
      </c>
      <c r="B27" s="79">
        <v>31</v>
      </c>
      <c r="C27" s="79">
        <v>77</v>
      </c>
      <c r="D27" s="74" t="s">
        <v>46</v>
      </c>
      <c r="E27" s="80">
        <v>1.85</v>
      </c>
      <c r="F27" s="80">
        <v>0.89</v>
      </c>
      <c r="G27" s="114" t="s">
        <v>44</v>
      </c>
      <c r="H27" s="114"/>
      <c r="I27" s="72" t="s">
        <v>44</v>
      </c>
      <c r="J27" s="73" t="s">
        <v>44</v>
      </c>
      <c r="K27" s="74" t="s">
        <v>44</v>
      </c>
      <c r="L27" s="74" t="s">
        <v>44</v>
      </c>
      <c r="M27" s="82">
        <v>35</v>
      </c>
      <c r="N27" s="83">
        <v>33</v>
      </c>
      <c r="O27" s="83">
        <v>35</v>
      </c>
      <c r="P27" s="83">
        <v>38</v>
      </c>
      <c r="Q27" s="83">
        <v>41</v>
      </c>
      <c r="R27" s="113">
        <v>31</v>
      </c>
      <c r="S27" s="113"/>
      <c r="T27" s="84">
        <v>29</v>
      </c>
      <c r="U27" s="85">
        <v>6.8000000000000005E-2</v>
      </c>
      <c r="V27" s="79">
        <v>52</v>
      </c>
      <c r="W27" s="82">
        <v>78</v>
      </c>
      <c r="X27" s="84">
        <v>93</v>
      </c>
    </row>
    <row r="28" spans="1:24" s="70" customFormat="1" ht="20.100000000000001" customHeight="1" x14ac:dyDescent="0.2">
      <c r="A28" s="86" t="s">
        <v>77</v>
      </c>
      <c r="B28" s="79">
        <v>48</v>
      </c>
      <c r="C28" s="79">
        <v>55</v>
      </c>
      <c r="D28" s="74" t="s">
        <v>46</v>
      </c>
      <c r="E28" s="80">
        <v>1.85</v>
      </c>
      <c r="F28" s="80">
        <v>0.93</v>
      </c>
      <c r="G28" s="114" t="s">
        <v>44</v>
      </c>
      <c r="H28" s="114"/>
      <c r="I28" s="72" t="s">
        <v>44</v>
      </c>
      <c r="J28" s="73" t="s">
        <v>44</v>
      </c>
      <c r="K28" s="74" t="s">
        <v>44</v>
      </c>
      <c r="L28" s="74" t="s">
        <v>44</v>
      </c>
      <c r="M28" s="82">
        <v>49</v>
      </c>
      <c r="N28" s="83">
        <v>35</v>
      </c>
      <c r="O28" s="83">
        <v>37</v>
      </c>
      <c r="P28" s="83">
        <v>39</v>
      </c>
      <c r="Q28" s="83">
        <v>42</v>
      </c>
      <c r="R28" s="113">
        <v>33</v>
      </c>
      <c r="S28" s="113"/>
      <c r="T28" s="84">
        <v>31</v>
      </c>
      <c r="U28" s="85">
        <v>0.10100000000000001</v>
      </c>
      <c r="V28" s="79">
        <v>80</v>
      </c>
      <c r="W28" s="82">
        <v>120</v>
      </c>
      <c r="X28" s="87" t="s">
        <v>78</v>
      </c>
    </row>
    <row r="29" spans="1:24" s="70" customFormat="1" ht="20.100000000000001" customHeight="1" x14ac:dyDescent="0.2">
      <c r="A29" s="78">
        <v>5.2</v>
      </c>
      <c r="B29" s="79">
        <v>43</v>
      </c>
      <c r="C29" s="79">
        <v>64</v>
      </c>
      <c r="D29" s="74" t="s">
        <v>46</v>
      </c>
      <c r="E29" s="80">
        <v>1.85</v>
      </c>
      <c r="F29" s="80">
        <v>0.96</v>
      </c>
      <c r="G29" s="114" t="s">
        <v>44</v>
      </c>
      <c r="H29" s="114"/>
      <c r="I29" s="72" t="s">
        <v>44</v>
      </c>
      <c r="J29" s="73" t="s">
        <v>44</v>
      </c>
      <c r="K29" s="74" t="s">
        <v>44</v>
      </c>
      <c r="L29" s="74" t="s">
        <v>44</v>
      </c>
      <c r="M29" s="82">
        <v>44</v>
      </c>
      <c r="N29" s="83">
        <v>34</v>
      </c>
      <c r="O29" s="83">
        <v>37</v>
      </c>
      <c r="P29" s="83">
        <v>39</v>
      </c>
      <c r="Q29" s="83">
        <v>42</v>
      </c>
      <c r="R29" s="113">
        <v>32</v>
      </c>
      <c r="S29" s="113"/>
      <c r="T29" s="84">
        <v>30</v>
      </c>
      <c r="U29" s="85">
        <v>8.8999999999999996E-2</v>
      </c>
      <c r="V29" s="79">
        <v>72</v>
      </c>
      <c r="W29" s="82">
        <v>108</v>
      </c>
      <c r="X29" s="84">
        <v>129</v>
      </c>
    </row>
    <row r="30" spans="1:24" s="70" customFormat="1" ht="20.100000000000001" customHeight="1" x14ac:dyDescent="0.2">
      <c r="A30" s="78">
        <v>5.4</v>
      </c>
      <c r="B30" s="79">
        <v>48</v>
      </c>
      <c r="C30" s="79">
        <v>60</v>
      </c>
      <c r="D30" s="74" t="s">
        <v>46</v>
      </c>
      <c r="E30" s="80">
        <v>1.85</v>
      </c>
      <c r="F30" s="80">
        <v>1</v>
      </c>
      <c r="G30" s="114" t="s">
        <v>44</v>
      </c>
      <c r="H30" s="114"/>
      <c r="I30" s="72" t="s">
        <v>44</v>
      </c>
      <c r="J30" s="73" t="s">
        <v>44</v>
      </c>
      <c r="K30" s="74" t="s">
        <v>44</v>
      </c>
      <c r="L30" s="74" t="s">
        <v>44</v>
      </c>
      <c r="M30" s="82">
        <v>47</v>
      </c>
      <c r="N30" s="83">
        <v>35</v>
      </c>
      <c r="O30" s="83">
        <v>37</v>
      </c>
      <c r="P30" s="83">
        <v>39</v>
      </c>
      <c r="Q30" s="83">
        <v>42</v>
      </c>
      <c r="R30" s="113">
        <v>33</v>
      </c>
      <c r="S30" s="113"/>
      <c r="T30" s="84">
        <v>31</v>
      </c>
      <c r="U30" s="85">
        <v>9.6000000000000002E-2</v>
      </c>
      <c r="V30" s="79">
        <v>80</v>
      </c>
      <c r="W30" s="82">
        <v>120</v>
      </c>
      <c r="X30" s="84">
        <v>144</v>
      </c>
    </row>
    <row r="31" spans="1:24" s="70" customFormat="1" ht="20.100000000000001" customHeight="1" x14ac:dyDescent="0.2">
      <c r="A31" s="78">
        <v>5.6</v>
      </c>
      <c r="B31" s="79">
        <v>52</v>
      </c>
      <c r="C31" s="79">
        <v>49</v>
      </c>
      <c r="D31" s="74" t="s">
        <v>46</v>
      </c>
      <c r="E31" s="80">
        <v>1.85</v>
      </c>
      <c r="F31" s="80">
        <v>1.04</v>
      </c>
      <c r="G31" s="114" t="s">
        <v>44</v>
      </c>
      <c r="H31" s="114"/>
      <c r="I31" s="72" t="s">
        <v>44</v>
      </c>
      <c r="J31" s="73" t="s">
        <v>44</v>
      </c>
      <c r="K31" s="74" t="s">
        <v>44</v>
      </c>
      <c r="L31" s="74" t="s">
        <v>44</v>
      </c>
      <c r="M31" s="82">
        <v>49</v>
      </c>
      <c r="N31" s="83">
        <v>35</v>
      </c>
      <c r="O31" s="83">
        <v>37</v>
      </c>
      <c r="P31" s="83">
        <v>39</v>
      </c>
      <c r="Q31" s="83">
        <v>42</v>
      </c>
      <c r="R31" s="113">
        <v>33</v>
      </c>
      <c r="S31" s="113"/>
      <c r="T31" s="84">
        <v>31</v>
      </c>
      <c r="U31" s="85">
        <v>0.10100000000000001</v>
      </c>
      <c r="V31" s="79">
        <v>87</v>
      </c>
      <c r="W31" s="82">
        <v>130</v>
      </c>
      <c r="X31" s="84">
        <v>156</v>
      </c>
    </row>
    <row r="32" spans="1:24" s="70" customFormat="1" ht="20.100000000000001" customHeight="1" x14ac:dyDescent="0.2">
      <c r="A32" s="78">
        <v>5.8</v>
      </c>
      <c r="B32" s="79">
        <v>38</v>
      </c>
      <c r="C32" s="79">
        <v>71</v>
      </c>
      <c r="D32" s="74" t="s">
        <v>46</v>
      </c>
      <c r="E32" s="80">
        <v>1.85</v>
      </c>
      <c r="F32" s="80">
        <v>1.07</v>
      </c>
      <c r="G32" s="114" t="s">
        <v>44</v>
      </c>
      <c r="H32" s="114"/>
      <c r="I32" s="72" t="s">
        <v>44</v>
      </c>
      <c r="J32" s="73" t="s">
        <v>44</v>
      </c>
      <c r="K32" s="74" t="s">
        <v>44</v>
      </c>
      <c r="L32" s="74" t="s">
        <v>44</v>
      </c>
      <c r="M32" s="82">
        <v>37</v>
      </c>
      <c r="N32" s="83">
        <v>33</v>
      </c>
      <c r="O32" s="83">
        <v>36</v>
      </c>
      <c r="P32" s="83">
        <v>38</v>
      </c>
      <c r="Q32" s="83">
        <v>41</v>
      </c>
      <c r="R32" s="113">
        <v>31</v>
      </c>
      <c r="S32" s="113"/>
      <c r="T32" s="84">
        <v>30</v>
      </c>
      <c r="U32" s="85">
        <v>7.2999999999999995E-2</v>
      </c>
      <c r="V32" s="79">
        <v>63</v>
      </c>
      <c r="W32" s="82">
        <v>95</v>
      </c>
      <c r="X32" s="84">
        <v>114</v>
      </c>
    </row>
    <row r="33" spans="1:24" s="70" customFormat="1" ht="20.100000000000001" customHeight="1" x14ac:dyDescent="0.2">
      <c r="A33" s="86" t="s">
        <v>79</v>
      </c>
      <c r="B33" s="79">
        <v>49</v>
      </c>
      <c r="C33" s="79">
        <v>82</v>
      </c>
      <c r="D33" s="74" t="s">
        <v>46</v>
      </c>
      <c r="E33" s="80">
        <v>1.85</v>
      </c>
      <c r="F33" s="80">
        <v>1.1100000000000001</v>
      </c>
      <c r="G33" s="114" t="s">
        <v>44</v>
      </c>
      <c r="H33" s="114"/>
      <c r="I33" s="72" t="s">
        <v>44</v>
      </c>
      <c r="J33" s="73" t="s">
        <v>44</v>
      </c>
      <c r="K33" s="74" t="s">
        <v>44</v>
      </c>
      <c r="L33" s="74" t="s">
        <v>44</v>
      </c>
      <c r="M33" s="82">
        <v>45</v>
      </c>
      <c r="N33" s="83">
        <v>34</v>
      </c>
      <c r="O33" s="83">
        <v>37</v>
      </c>
      <c r="P33" s="83">
        <v>39</v>
      </c>
      <c r="Q33" s="83">
        <v>42</v>
      </c>
      <c r="R33" s="113">
        <v>32</v>
      </c>
      <c r="S33" s="113"/>
      <c r="T33" s="84">
        <v>31</v>
      </c>
      <c r="U33" s="85">
        <v>9.0999999999999998E-2</v>
      </c>
      <c r="V33" s="79">
        <v>82</v>
      </c>
      <c r="W33" s="82">
        <v>123</v>
      </c>
      <c r="X33" s="87" t="s">
        <v>80</v>
      </c>
    </row>
    <row r="34" spans="1:24" s="70" customFormat="1" ht="20.100000000000001" customHeight="1" x14ac:dyDescent="0.2">
      <c r="A34" s="78">
        <v>6.2</v>
      </c>
      <c r="B34" s="79">
        <v>55</v>
      </c>
      <c r="C34" s="79">
        <v>46</v>
      </c>
      <c r="D34" s="74" t="s">
        <v>46</v>
      </c>
      <c r="E34" s="80">
        <v>1.85</v>
      </c>
      <c r="F34" s="80">
        <v>1.1499999999999999</v>
      </c>
      <c r="G34" s="114" t="s">
        <v>44</v>
      </c>
      <c r="H34" s="114"/>
      <c r="I34" s="72" t="s">
        <v>44</v>
      </c>
      <c r="J34" s="73" t="s">
        <v>44</v>
      </c>
      <c r="K34" s="74" t="s">
        <v>44</v>
      </c>
      <c r="L34" s="74" t="s">
        <v>44</v>
      </c>
      <c r="M34" s="82">
        <v>48</v>
      </c>
      <c r="N34" s="83">
        <v>35</v>
      </c>
      <c r="O34" s="83">
        <v>37</v>
      </c>
      <c r="P34" s="83">
        <v>39</v>
      </c>
      <c r="Q34" s="83">
        <v>42</v>
      </c>
      <c r="R34" s="113">
        <v>33</v>
      </c>
      <c r="S34" s="113"/>
      <c r="T34" s="84">
        <v>31</v>
      </c>
      <c r="U34" s="85">
        <v>9.9000000000000005E-2</v>
      </c>
      <c r="V34" s="79">
        <v>92</v>
      </c>
      <c r="W34" s="82">
        <v>138</v>
      </c>
      <c r="X34" s="84">
        <v>165</v>
      </c>
    </row>
    <row r="35" spans="1:24" s="70" customFormat="1" ht="20.100000000000001" customHeight="1" x14ac:dyDescent="0.2">
      <c r="A35" s="78">
        <v>6.4</v>
      </c>
      <c r="B35" s="79">
        <v>50</v>
      </c>
      <c r="C35" s="79">
        <v>37</v>
      </c>
      <c r="D35" s="74" t="s">
        <v>46</v>
      </c>
      <c r="E35" s="80">
        <v>1.85</v>
      </c>
      <c r="F35" s="80">
        <v>1.18</v>
      </c>
      <c r="G35" s="114" t="s">
        <v>44</v>
      </c>
      <c r="H35" s="114"/>
      <c r="I35" s="72" t="s">
        <v>44</v>
      </c>
      <c r="J35" s="73" t="s">
        <v>44</v>
      </c>
      <c r="K35" s="74" t="s">
        <v>44</v>
      </c>
      <c r="L35" s="74" t="s">
        <v>44</v>
      </c>
      <c r="M35" s="82">
        <v>44</v>
      </c>
      <c r="N35" s="83">
        <v>34</v>
      </c>
      <c r="O35" s="83">
        <v>37</v>
      </c>
      <c r="P35" s="83">
        <v>39</v>
      </c>
      <c r="Q35" s="83">
        <v>42</v>
      </c>
      <c r="R35" s="113">
        <v>32</v>
      </c>
      <c r="S35" s="113"/>
      <c r="T35" s="84">
        <v>31</v>
      </c>
      <c r="U35" s="85">
        <v>8.8999999999999996E-2</v>
      </c>
      <c r="V35" s="79">
        <v>83</v>
      </c>
      <c r="W35" s="82">
        <v>125</v>
      </c>
      <c r="X35" s="84">
        <v>150</v>
      </c>
    </row>
    <row r="36" spans="1:24" s="70" customFormat="1" ht="20.100000000000001" customHeight="1" x14ac:dyDescent="0.2">
      <c r="A36" s="78">
        <v>6.6</v>
      </c>
      <c r="B36" s="79">
        <v>50</v>
      </c>
      <c r="C36" s="79">
        <v>62</v>
      </c>
      <c r="D36" s="74" t="s">
        <v>46</v>
      </c>
      <c r="E36" s="80">
        <v>1.85</v>
      </c>
      <c r="F36" s="80">
        <v>1.22</v>
      </c>
      <c r="G36" s="114" t="s">
        <v>44</v>
      </c>
      <c r="H36" s="114"/>
      <c r="I36" s="72" t="s">
        <v>44</v>
      </c>
      <c r="J36" s="73" t="s">
        <v>44</v>
      </c>
      <c r="K36" s="74" t="s">
        <v>44</v>
      </c>
      <c r="L36" s="74" t="s">
        <v>44</v>
      </c>
      <c r="M36" s="82">
        <v>43</v>
      </c>
      <c r="N36" s="83">
        <v>34</v>
      </c>
      <c r="O36" s="83">
        <v>36</v>
      </c>
      <c r="P36" s="83">
        <v>39</v>
      </c>
      <c r="Q36" s="83">
        <v>41</v>
      </c>
      <c r="R36" s="113">
        <v>32</v>
      </c>
      <c r="S36" s="113"/>
      <c r="T36" s="84">
        <v>31</v>
      </c>
      <c r="U36" s="85">
        <v>8.7999999999999995E-2</v>
      </c>
      <c r="V36" s="79">
        <v>83</v>
      </c>
      <c r="W36" s="82">
        <v>125</v>
      </c>
      <c r="X36" s="84">
        <v>150</v>
      </c>
    </row>
    <row r="37" spans="1:24" s="70" customFormat="1" ht="20.100000000000001" customHeight="1" x14ac:dyDescent="0.2">
      <c r="A37" s="78">
        <v>6.8</v>
      </c>
      <c r="B37" s="79">
        <v>60</v>
      </c>
      <c r="C37" s="79">
        <v>60</v>
      </c>
      <c r="D37" s="74" t="s">
        <v>46</v>
      </c>
      <c r="E37" s="80">
        <v>1.85</v>
      </c>
      <c r="F37" s="80">
        <v>1.26</v>
      </c>
      <c r="G37" s="114" t="s">
        <v>44</v>
      </c>
      <c r="H37" s="114"/>
      <c r="I37" s="72" t="s">
        <v>44</v>
      </c>
      <c r="J37" s="73" t="s">
        <v>44</v>
      </c>
      <c r="K37" s="74" t="s">
        <v>44</v>
      </c>
      <c r="L37" s="74" t="s">
        <v>44</v>
      </c>
      <c r="M37" s="82">
        <v>49</v>
      </c>
      <c r="N37" s="83">
        <v>35</v>
      </c>
      <c r="O37" s="83">
        <v>37</v>
      </c>
      <c r="P37" s="83">
        <v>39</v>
      </c>
      <c r="Q37" s="83">
        <v>42</v>
      </c>
      <c r="R37" s="113">
        <v>33</v>
      </c>
      <c r="S37" s="113"/>
      <c r="T37" s="84">
        <v>32</v>
      </c>
      <c r="U37" s="85">
        <v>0.10100000000000001</v>
      </c>
      <c r="V37" s="79">
        <v>100</v>
      </c>
      <c r="W37" s="82">
        <v>150</v>
      </c>
      <c r="X37" s="84">
        <v>180</v>
      </c>
    </row>
    <row r="38" spans="1:24" s="70" customFormat="1" ht="20.100000000000001" customHeight="1" x14ac:dyDescent="0.2">
      <c r="A38" s="86" t="s">
        <v>81</v>
      </c>
      <c r="B38" s="79">
        <v>41</v>
      </c>
      <c r="C38" s="79">
        <v>88</v>
      </c>
      <c r="D38" s="74" t="s">
        <v>46</v>
      </c>
      <c r="E38" s="80">
        <v>1.85</v>
      </c>
      <c r="F38" s="80">
        <v>1.3</v>
      </c>
      <c r="G38" s="114" t="s">
        <v>44</v>
      </c>
      <c r="H38" s="114"/>
      <c r="I38" s="72" t="s">
        <v>44</v>
      </c>
      <c r="J38" s="73" t="s">
        <v>44</v>
      </c>
      <c r="K38" s="74" t="s">
        <v>44</v>
      </c>
      <c r="L38" s="74" t="s">
        <v>44</v>
      </c>
      <c r="M38" s="82">
        <v>35</v>
      </c>
      <c r="N38" s="83">
        <v>33</v>
      </c>
      <c r="O38" s="83">
        <v>35</v>
      </c>
      <c r="P38" s="83">
        <v>38</v>
      </c>
      <c r="Q38" s="83">
        <v>41</v>
      </c>
      <c r="R38" s="113">
        <v>31</v>
      </c>
      <c r="S38" s="113"/>
      <c r="T38" s="84">
        <v>30</v>
      </c>
      <c r="U38" s="85">
        <v>6.9000000000000006E-2</v>
      </c>
      <c r="V38" s="79">
        <v>68</v>
      </c>
      <c r="W38" s="82">
        <v>103</v>
      </c>
      <c r="X38" s="87" t="s">
        <v>82</v>
      </c>
    </row>
    <row r="39" spans="1:24" s="70" customFormat="1" ht="20.100000000000001" customHeight="1" x14ac:dyDescent="0.2">
      <c r="A39" s="78">
        <v>7.2</v>
      </c>
      <c r="B39" s="79">
        <v>53</v>
      </c>
      <c r="C39" s="79">
        <v>50</v>
      </c>
      <c r="D39" s="74" t="s">
        <v>46</v>
      </c>
      <c r="E39" s="80">
        <v>1.85</v>
      </c>
      <c r="F39" s="80">
        <v>1.33</v>
      </c>
      <c r="G39" s="114" t="s">
        <v>44</v>
      </c>
      <c r="H39" s="114"/>
      <c r="I39" s="72" t="s">
        <v>44</v>
      </c>
      <c r="J39" s="73" t="s">
        <v>44</v>
      </c>
      <c r="K39" s="74" t="s">
        <v>44</v>
      </c>
      <c r="L39" s="74" t="s">
        <v>44</v>
      </c>
      <c r="M39" s="82">
        <v>43</v>
      </c>
      <c r="N39" s="83">
        <v>34</v>
      </c>
      <c r="O39" s="83">
        <v>36</v>
      </c>
      <c r="P39" s="83">
        <v>39</v>
      </c>
      <c r="Q39" s="83">
        <v>41</v>
      </c>
      <c r="R39" s="113">
        <v>32</v>
      </c>
      <c r="S39" s="113"/>
      <c r="T39" s="84">
        <v>31</v>
      </c>
      <c r="U39" s="85">
        <v>8.6999999999999994E-2</v>
      </c>
      <c r="V39" s="79">
        <v>88</v>
      </c>
      <c r="W39" s="82">
        <v>133</v>
      </c>
      <c r="X39" s="84">
        <v>159</v>
      </c>
    </row>
    <row r="40" spans="1:24" s="70" customFormat="1" ht="20.100000000000001" customHeight="1" x14ac:dyDescent="0.2">
      <c r="A40" s="78">
        <v>7.4</v>
      </c>
      <c r="B40" s="79">
        <v>32</v>
      </c>
      <c r="C40" s="79">
        <v>32</v>
      </c>
      <c r="D40" s="74" t="s">
        <v>46</v>
      </c>
      <c r="E40" s="80">
        <v>1.85</v>
      </c>
      <c r="F40" s="80">
        <v>1.37</v>
      </c>
      <c r="G40" s="114" t="s">
        <v>44</v>
      </c>
      <c r="H40" s="114"/>
      <c r="I40" s="72" t="s">
        <v>44</v>
      </c>
      <c r="J40" s="73" t="s">
        <v>44</v>
      </c>
      <c r="K40" s="74" t="s">
        <v>44</v>
      </c>
      <c r="L40" s="74" t="s">
        <v>44</v>
      </c>
      <c r="M40" s="82">
        <v>25</v>
      </c>
      <c r="N40" s="83">
        <v>32</v>
      </c>
      <c r="O40" s="83">
        <v>34</v>
      </c>
      <c r="P40" s="83">
        <v>37</v>
      </c>
      <c r="Q40" s="83">
        <v>40</v>
      </c>
      <c r="R40" s="113">
        <v>29</v>
      </c>
      <c r="S40" s="113"/>
      <c r="T40" s="84">
        <v>29</v>
      </c>
      <c r="U40" s="85">
        <v>4.8000000000000001E-2</v>
      </c>
      <c r="V40" s="79">
        <v>53</v>
      </c>
      <c r="W40" s="82">
        <v>80</v>
      </c>
      <c r="X40" s="84">
        <v>96</v>
      </c>
    </row>
    <row r="41" spans="1:24" s="70" customFormat="1" ht="20.100000000000001" customHeight="1" x14ac:dyDescent="0.2">
      <c r="A41" s="78">
        <v>7.6</v>
      </c>
      <c r="B41" s="79">
        <v>43</v>
      </c>
      <c r="C41" s="79">
        <v>40</v>
      </c>
      <c r="D41" s="74" t="s">
        <v>46</v>
      </c>
      <c r="E41" s="80">
        <v>1.85</v>
      </c>
      <c r="F41" s="80">
        <v>1.41</v>
      </c>
      <c r="G41" s="114" t="s">
        <v>44</v>
      </c>
      <c r="H41" s="114"/>
      <c r="I41" s="72" t="s">
        <v>44</v>
      </c>
      <c r="J41" s="73" t="s">
        <v>44</v>
      </c>
      <c r="K41" s="74" t="s">
        <v>44</v>
      </c>
      <c r="L41" s="74" t="s">
        <v>44</v>
      </c>
      <c r="M41" s="82">
        <v>35</v>
      </c>
      <c r="N41" s="83">
        <v>33</v>
      </c>
      <c r="O41" s="83">
        <v>35</v>
      </c>
      <c r="P41" s="83">
        <v>38</v>
      </c>
      <c r="Q41" s="83">
        <v>41</v>
      </c>
      <c r="R41" s="113">
        <v>30</v>
      </c>
      <c r="S41" s="113"/>
      <c r="T41" s="84">
        <v>30</v>
      </c>
      <c r="U41" s="85">
        <v>6.8000000000000005E-2</v>
      </c>
      <c r="V41" s="79">
        <v>72</v>
      </c>
      <c r="W41" s="82">
        <v>108</v>
      </c>
      <c r="X41" s="84">
        <v>129</v>
      </c>
    </row>
    <row r="42" spans="1:24" s="70" customFormat="1" ht="20.100000000000001" customHeight="1" x14ac:dyDescent="0.2">
      <c r="A42" s="78">
        <v>7.8</v>
      </c>
      <c r="B42" s="79">
        <v>39</v>
      </c>
      <c r="C42" s="79">
        <v>53</v>
      </c>
      <c r="D42" s="74" t="s">
        <v>46</v>
      </c>
      <c r="E42" s="80">
        <v>1.85</v>
      </c>
      <c r="F42" s="80">
        <v>1.44</v>
      </c>
      <c r="G42" s="114" t="s">
        <v>44</v>
      </c>
      <c r="H42" s="114"/>
      <c r="I42" s="72" t="s">
        <v>44</v>
      </c>
      <c r="J42" s="73" t="s">
        <v>44</v>
      </c>
      <c r="K42" s="74" t="s">
        <v>44</v>
      </c>
      <c r="L42" s="74" t="s">
        <v>44</v>
      </c>
      <c r="M42" s="82">
        <v>31</v>
      </c>
      <c r="N42" s="83">
        <v>32</v>
      </c>
      <c r="O42" s="83">
        <v>35</v>
      </c>
      <c r="P42" s="83">
        <v>38</v>
      </c>
      <c r="Q42" s="83">
        <v>40</v>
      </c>
      <c r="R42" s="113">
        <v>30</v>
      </c>
      <c r="S42" s="113"/>
      <c r="T42" s="84">
        <v>30</v>
      </c>
      <c r="U42" s="85">
        <v>5.8999999999999997E-2</v>
      </c>
      <c r="V42" s="79">
        <v>65</v>
      </c>
      <c r="W42" s="82">
        <v>98</v>
      </c>
      <c r="X42" s="84">
        <v>117</v>
      </c>
    </row>
    <row r="43" spans="1:24" s="70" customFormat="1" ht="20.100000000000001" customHeight="1" x14ac:dyDescent="0.2">
      <c r="A43" s="86" t="s">
        <v>83</v>
      </c>
      <c r="B43" s="79">
        <v>47</v>
      </c>
      <c r="C43" s="79">
        <v>59</v>
      </c>
      <c r="D43" s="74" t="s">
        <v>46</v>
      </c>
      <c r="E43" s="80">
        <v>1.85</v>
      </c>
      <c r="F43" s="80">
        <v>1.48</v>
      </c>
      <c r="G43" s="114" t="s">
        <v>44</v>
      </c>
      <c r="H43" s="114"/>
      <c r="I43" s="72" t="s">
        <v>44</v>
      </c>
      <c r="J43" s="73" t="s">
        <v>44</v>
      </c>
      <c r="K43" s="74" t="s">
        <v>44</v>
      </c>
      <c r="L43" s="74" t="s">
        <v>44</v>
      </c>
      <c r="M43" s="82">
        <v>36</v>
      </c>
      <c r="N43" s="83">
        <v>33</v>
      </c>
      <c r="O43" s="83">
        <v>36</v>
      </c>
      <c r="P43" s="83">
        <v>38</v>
      </c>
      <c r="Q43" s="83">
        <v>41</v>
      </c>
      <c r="R43" s="113">
        <v>31</v>
      </c>
      <c r="S43" s="113"/>
      <c r="T43" s="84">
        <v>31</v>
      </c>
      <c r="U43" s="85">
        <v>7.1999999999999995E-2</v>
      </c>
      <c r="V43" s="79">
        <v>78</v>
      </c>
      <c r="W43" s="82">
        <v>118</v>
      </c>
      <c r="X43" s="87" t="s">
        <v>84</v>
      </c>
    </row>
    <row r="44" spans="1:24" s="70" customFormat="1" ht="20.100000000000001" customHeight="1" x14ac:dyDescent="0.2">
      <c r="A44" s="78">
        <v>8.1999999999999993</v>
      </c>
      <c r="B44" s="79">
        <v>48</v>
      </c>
      <c r="C44" s="79">
        <v>72</v>
      </c>
      <c r="D44" s="74" t="s">
        <v>46</v>
      </c>
      <c r="E44" s="80">
        <v>1.85</v>
      </c>
      <c r="F44" s="80">
        <v>1.52</v>
      </c>
      <c r="G44" s="114" t="s">
        <v>44</v>
      </c>
      <c r="H44" s="114"/>
      <c r="I44" s="72" t="s">
        <v>44</v>
      </c>
      <c r="J44" s="73" t="s">
        <v>44</v>
      </c>
      <c r="K44" s="74" t="s">
        <v>44</v>
      </c>
      <c r="L44" s="74" t="s">
        <v>44</v>
      </c>
      <c r="M44" s="82">
        <v>37</v>
      </c>
      <c r="N44" s="83">
        <v>33</v>
      </c>
      <c r="O44" s="83">
        <v>36</v>
      </c>
      <c r="P44" s="83">
        <v>38</v>
      </c>
      <c r="Q44" s="83">
        <v>41</v>
      </c>
      <c r="R44" s="113">
        <v>31</v>
      </c>
      <c r="S44" s="113"/>
      <c r="T44" s="84">
        <v>31</v>
      </c>
      <c r="U44" s="85">
        <v>7.1999999999999995E-2</v>
      </c>
      <c r="V44" s="79">
        <v>80</v>
      </c>
      <c r="W44" s="82">
        <v>120</v>
      </c>
      <c r="X44" s="84">
        <v>144</v>
      </c>
    </row>
    <row r="45" spans="1:24" s="70" customFormat="1" ht="20.100000000000001" customHeight="1" x14ac:dyDescent="0.2">
      <c r="A45" s="78">
        <v>8.4</v>
      </c>
      <c r="B45" s="79">
        <v>40</v>
      </c>
      <c r="C45" s="79">
        <v>35</v>
      </c>
      <c r="D45" s="74" t="s">
        <v>46</v>
      </c>
      <c r="E45" s="80">
        <v>1.85</v>
      </c>
      <c r="F45" s="80">
        <v>1.55</v>
      </c>
      <c r="G45" s="114" t="s">
        <v>44</v>
      </c>
      <c r="H45" s="114"/>
      <c r="I45" s="72" t="s">
        <v>44</v>
      </c>
      <c r="J45" s="73" t="s">
        <v>44</v>
      </c>
      <c r="K45" s="74" t="s">
        <v>44</v>
      </c>
      <c r="L45" s="74" t="s">
        <v>44</v>
      </c>
      <c r="M45" s="82">
        <v>30</v>
      </c>
      <c r="N45" s="83">
        <v>32</v>
      </c>
      <c r="O45" s="83">
        <v>35</v>
      </c>
      <c r="P45" s="83">
        <v>38</v>
      </c>
      <c r="Q45" s="83">
        <v>40</v>
      </c>
      <c r="R45" s="113">
        <v>29</v>
      </c>
      <c r="S45" s="113"/>
      <c r="T45" s="84">
        <v>30</v>
      </c>
      <c r="U45" s="85">
        <v>5.7000000000000002E-2</v>
      </c>
      <c r="V45" s="79">
        <v>67</v>
      </c>
      <c r="W45" s="82">
        <v>100</v>
      </c>
      <c r="X45" s="84">
        <v>120</v>
      </c>
    </row>
    <row r="46" spans="1:24" s="70" customFormat="1" ht="20.100000000000001" customHeight="1" x14ac:dyDescent="0.2">
      <c r="A46" s="78">
        <v>8.6</v>
      </c>
      <c r="B46" s="79">
        <v>33</v>
      </c>
      <c r="C46" s="79">
        <v>41</v>
      </c>
      <c r="D46" s="74" t="s">
        <v>46</v>
      </c>
      <c r="E46" s="80">
        <v>1.85</v>
      </c>
      <c r="F46" s="80">
        <v>1.59</v>
      </c>
      <c r="G46" s="114" t="s">
        <v>44</v>
      </c>
      <c r="H46" s="114"/>
      <c r="I46" s="72" t="s">
        <v>44</v>
      </c>
      <c r="J46" s="73" t="s">
        <v>44</v>
      </c>
      <c r="K46" s="74" t="s">
        <v>44</v>
      </c>
      <c r="L46" s="74" t="s">
        <v>44</v>
      </c>
      <c r="M46" s="82">
        <v>23</v>
      </c>
      <c r="N46" s="83">
        <v>31</v>
      </c>
      <c r="O46" s="83">
        <v>34</v>
      </c>
      <c r="P46" s="83">
        <v>37</v>
      </c>
      <c r="Q46" s="83">
        <v>40</v>
      </c>
      <c r="R46" s="113">
        <v>28</v>
      </c>
      <c r="S46" s="113"/>
      <c r="T46" s="84">
        <v>29</v>
      </c>
      <c r="U46" s="85">
        <v>4.2999999999999997E-2</v>
      </c>
      <c r="V46" s="79">
        <v>55</v>
      </c>
      <c r="W46" s="82">
        <v>83</v>
      </c>
      <c r="X46" s="84">
        <v>99</v>
      </c>
    </row>
    <row r="47" spans="1:24" s="70" customFormat="1" ht="20.100000000000001" customHeight="1" x14ac:dyDescent="0.2">
      <c r="A47" s="78">
        <v>8.8000000000000007</v>
      </c>
      <c r="B47" s="79">
        <v>46</v>
      </c>
      <c r="C47" s="79">
        <v>69</v>
      </c>
      <c r="D47" s="74" t="s">
        <v>46</v>
      </c>
      <c r="E47" s="80">
        <v>1.85</v>
      </c>
      <c r="F47" s="80">
        <v>1.63</v>
      </c>
      <c r="G47" s="114" t="s">
        <v>44</v>
      </c>
      <c r="H47" s="114"/>
      <c r="I47" s="72" t="s">
        <v>44</v>
      </c>
      <c r="J47" s="73" t="s">
        <v>44</v>
      </c>
      <c r="K47" s="74" t="s">
        <v>44</v>
      </c>
      <c r="L47" s="74" t="s">
        <v>44</v>
      </c>
      <c r="M47" s="82">
        <v>33</v>
      </c>
      <c r="N47" s="83">
        <v>33</v>
      </c>
      <c r="O47" s="83">
        <v>35</v>
      </c>
      <c r="P47" s="83">
        <v>38</v>
      </c>
      <c r="Q47" s="83">
        <v>41</v>
      </c>
      <c r="R47" s="113">
        <v>30</v>
      </c>
      <c r="S47" s="113"/>
      <c r="T47" s="84">
        <v>31</v>
      </c>
      <c r="U47" s="85">
        <v>6.5000000000000002E-2</v>
      </c>
      <c r="V47" s="79">
        <v>77</v>
      </c>
      <c r="W47" s="82">
        <v>115</v>
      </c>
      <c r="X47" s="84">
        <v>138</v>
      </c>
    </row>
    <row r="48" spans="1:24" s="70" customFormat="1" ht="20.100000000000001" customHeight="1" x14ac:dyDescent="0.2">
      <c r="A48" s="86" t="s">
        <v>85</v>
      </c>
      <c r="B48" s="79">
        <v>56</v>
      </c>
      <c r="C48" s="79">
        <v>60</v>
      </c>
      <c r="D48" s="74" t="s">
        <v>46</v>
      </c>
      <c r="E48" s="80">
        <v>1.85</v>
      </c>
      <c r="F48" s="80">
        <v>1.66</v>
      </c>
      <c r="G48" s="114" t="s">
        <v>44</v>
      </c>
      <c r="H48" s="114"/>
      <c r="I48" s="72" t="s">
        <v>44</v>
      </c>
      <c r="J48" s="73" t="s">
        <v>44</v>
      </c>
      <c r="K48" s="74" t="s">
        <v>44</v>
      </c>
      <c r="L48" s="74" t="s">
        <v>44</v>
      </c>
      <c r="M48" s="82">
        <v>40</v>
      </c>
      <c r="N48" s="83">
        <v>34</v>
      </c>
      <c r="O48" s="83">
        <v>36</v>
      </c>
      <c r="P48" s="83">
        <v>39</v>
      </c>
      <c r="Q48" s="83">
        <v>41</v>
      </c>
      <c r="R48" s="113">
        <v>31</v>
      </c>
      <c r="S48" s="113"/>
      <c r="T48" s="84">
        <v>31</v>
      </c>
      <c r="U48" s="85">
        <v>7.9000000000000001E-2</v>
      </c>
      <c r="V48" s="79">
        <v>93</v>
      </c>
      <c r="W48" s="82">
        <v>140</v>
      </c>
      <c r="X48" s="87" t="s">
        <v>86</v>
      </c>
    </row>
    <row r="49" spans="1:24" s="70" customFormat="1" ht="20.100000000000001" customHeight="1" x14ac:dyDescent="0.2">
      <c r="A49" s="78">
        <v>9.1999999999999993</v>
      </c>
      <c r="B49" s="79">
        <v>56</v>
      </c>
      <c r="C49" s="79">
        <v>52</v>
      </c>
      <c r="D49" s="74" t="s">
        <v>46</v>
      </c>
      <c r="E49" s="80">
        <v>1.85</v>
      </c>
      <c r="F49" s="80">
        <v>1.7</v>
      </c>
      <c r="G49" s="114" t="s">
        <v>44</v>
      </c>
      <c r="H49" s="114"/>
      <c r="I49" s="72" t="s">
        <v>44</v>
      </c>
      <c r="J49" s="73" t="s">
        <v>44</v>
      </c>
      <c r="K49" s="74" t="s">
        <v>44</v>
      </c>
      <c r="L49" s="74" t="s">
        <v>44</v>
      </c>
      <c r="M49" s="82">
        <v>39</v>
      </c>
      <c r="N49" s="83">
        <v>33</v>
      </c>
      <c r="O49" s="83">
        <v>36</v>
      </c>
      <c r="P49" s="83">
        <v>38</v>
      </c>
      <c r="Q49" s="83">
        <v>41</v>
      </c>
      <c r="R49" s="113">
        <v>31</v>
      </c>
      <c r="S49" s="113"/>
      <c r="T49" s="84">
        <v>31</v>
      </c>
      <c r="U49" s="85">
        <v>7.8E-2</v>
      </c>
      <c r="V49" s="79">
        <v>93</v>
      </c>
      <c r="W49" s="82">
        <v>140</v>
      </c>
      <c r="X49" s="84">
        <v>168</v>
      </c>
    </row>
    <row r="50" spans="1:24" s="70" customFormat="1" ht="20.100000000000001" customHeight="1" x14ac:dyDescent="0.2">
      <c r="A50" s="78">
        <v>9.4</v>
      </c>
      <c r="B50" s="79">
        <v>58</v>
      </c>
      <c r="C50" s="79">
        <v>43</v>
      </c>
      <c r="D50" s="74" t="s">
        <v>46</v>
      </c>
      <c r="E50" s="80">
        <v>1.85</v>
      </c>
      <c r="F50" s="80">
        <v>1.74</v>
      </c>
      <c r="G50" s="114" t="s">
        <v>44</v>
      </c>
      <c r="H50" s="114"/>
      <c r="I50" s="72" t="s">
        <v>44</v>
      </c>
      <c r="J50" s="73" t="s">
        <v>44</v>
      </c>
      <c r="K50" s="74" t="s">
        <v>44</v>
      </c>
      <c r="L50" s="74" t="s">
        <v>44</v>
      </c>
      <c r="M50" s="82">
        <v>40</v>
      </c>
      <c r="N50" s="83">
        <v>34</v>
      </c>
      <c r="O50" s="83">
        <v>36</v>
      </c>
      <c r="P50" s="83">
        <v>39</v>
      </c>
      <c r="Q50" s="83">
        <v>41</v>
      </c>
      <c r="R50" s="113">
        <v>31</v>
      </c>
      <c r="S50" s="113"/>
      <c r="T50" s="84">
        <v>31</v>
      </c>
      <c r="U50" s="85">
        <v>7.9000000000000001E-2</v>
      </c>
      <c r="V50" s="79">
        <v>97</v>
      </c>
      <c r="W50" s="82">
        <v>145</v>
      </c>
      <c r="X50" s="84">
        <v>174</v>
      </c>
    </row>
    <row r="51" spans="1:24" s="70" customFormat="1" ht="20.100000000000001" customHeight="1" x14ac:dyDescent="0.2">
      <c r="A51" s="78">
        <v>9.6</v>
      </c>
      <c r="B51" s="79">
        <v>64</v>
      </c>
      <c r="C51" s="79">
        <v>44</v>
      </c>
      <c r="D51" s="74" t="s">
        <v>46</v>
      </c>
      <c r="E51" s="80">
        <v>1.85</v>
      </c>
      <c r="F51" s="80">
        <v>1.78</v>
      </c>
      <c r="G51" s="114" t="s">
        <v>44</v>
      </c>
      <c r="H51" s="114"/>
      <c r="I51" s="72" t="s">
        <v>44</v>
      </c>
      <c r="J51" s="73" t="s">
        <v>44</v>
      </c>
      <c r="K51" s="74" t="s">
        <v>44</v>
      </c>
      <c r="L51" s="74" t="s">
        <v>44</v>
      </c>
      <c r="M51" s="82">
        <v>43</v>
      </c>
      <c r="N51" s="83">
        <v>34</v>
      </c>
      <c r="O51" s="83">
        <v>36</v>
      </c>
      <c r="P51" s="83">
        <v>39</v>
      </c>
      <c r="Q51" s="83">
        <v>41</v>
      </c>
      <c r="R51" s="113">
        <v>31</v>
      </c>
      <c r="S51" s="113"/>
      <c r="T51" s="84">
        <v>32</v>
      </c>
      <c r="U51" s="85">
        <v>8.5999999999999993E-2</v>
      </c>
      <c r="V51" s="79">
        <v>107</v>
      </c>
      <c r="W51" s="82">
        <v>160</v>
      </c>
      <c r="X51" s="84">
        <v>192</v>
      </c>
    </row>
    <row r="52" spans="1:24" s="70" customFormat="1" ht="20.100000000000001" customHeight="1" x14ac:dyDescent="0.2">
      <c r="A52" s="78">
        <v>9.8000000000000007</v>
      </c>
      <c r="B52" s="79">
        <v>68</v>
      </c>
      <c r="C52" s="79">
        <v>42</v>
      </c>
      <c r="D52" s="74" t="s">
        <v>46</v>
      </c>
      <c r="E52" s="80">
        <v>1.85</v>
      </c>
      <c r="F52" s="80">
        <v>1.81</v>
      </c>
      <c r="G52" s="114" t="s">
        <v>44</v>
      </c>
      <c r="H52" s="114"/>
      <c r="I52" s="72" t="s">
        <v>44</v>
      </c>
      <c r="J52" s="73" t="s">
        <v>44</v>
      </c>
      <c r="K52" s="74" t="s">
        <v>44</v>
      </c>
      <c r="L52" s="74" t="s">
        <v>44</v>
      </c>
      <c r="M52" s="82">
        <v>44</v>
      </c>
      <c r="N52" s="83">
        <v>34</v>
      </c>
      <c r="O52" s="83">
        <v>37</v>
      </c>
      <c r="P52" s="83">
        <v>39</v>
      </c>
      <c r="Q52" s="83">
        <v>42</v>
      </c>
      <c r="R52" s="113">
        <v>32</v>
      </c>
      <c r="S52" s="113"/>
      <c r="T52" s="84">
        <v>32</v>
      </c>
      <c r="U52" s="85">
        <v>0.09</v>
      </c>
      <c r="V52" s="79">
        <v>113</v>
      </c>
      <c r="W52" s="82">
        <v>170</v>
      </c>
      <c r="X52" s="84">
        <v>204</v>
      </c>
    </row>
    <row r="53" spans="1:24" s="70" customFormat="1" ht="20.100000000000001" customHeight="1" x14ac:dyDescent="0.2">
      <c r="A53" s="86" t="s">
        <v>87</v>
      </c>
      <c r="B53" s="79">
        <v>60</v>
      </c>
      <c r="C53" s="74" t="s">
        <v>44</v>
      </c>
      <c r="D53" s="74" t="s">
        <v>46</v>
      </c>
      <c r="E53" s="80">
        <v>1.85</v>
      </c>
      <c r="F53" s="80">
        <v>1.85</v>
      </c>
      <c r="G53" s="114" t="s">
        <v>44</v>
      </c>
      <c r="H53" s="114"/>
      <c r="I53" s="72" t="s">
        <v>44</v>
      </c>
      <c r="J53" s="73" t="s">
        <v>44</v>
      </c>
      <c r="K53" s="74" t="s">
        <v>44</v>
      </c>
      <c r="L53" s="74" t="s">
        <v>44</v>
      </c>
      <c r="M53" s="82">
        <v>39</v>
      </c>
      <c r="N53" s="83">
        <v>34</v>
      </c>
      <c r="O53" s="83">
        <v>36</v>
      </c>
      <c r="P53" s="83">
        <v>38</v>
      </c>
      <c r="Q53" s="83">
        <v>41</v>
      </c>
      <c r="R53" s="113">
        <v>31</v>
      </c>
      <c r="S53" s="113"/>
      <c r="T53" s="84">
        <v>32</v>
      </c>
      <c r="U53" s="85">
        <v>7.8E-2</v>
      </c>
      <c r="V53" s="79">
        <v>100</v>
      </c>
      <c r="W53" s="82">
        <v>150</v>
      </c>
      <c r="X53" s="87" t="s">
        <v>88</v>
      </c>
    </row>
  </sheetData>
  <mergeCells count="115">
    <mergeCell ref="G52:H52"/>
    <mergeCell ref="R52:S52"/>
    <mergeCell ref="G53:H53"/>
    <mergeCell ref="R53:S53"/>
    <mergeCell ref="G47:H47"/>
    <mergeCell ref="R47:S47"/>
    <mergeCell ref="G48:H48"/>
    <mergeCell ref="R48:S48"/>
    <mergeCell ref="G49:H49"/>
    <mergeCell ref="R49:S49"/>
    <mergeCell ref="G50:H50"/>
    <mergeCell ref="R50:S50"/>
    <mergeCell ref="G51:H51"/>
    <mergeCell ref="R51:S51"/>
    <mergeCell ref="G42:H42"/>
    <mergeCell ref="R42:S42"/>
    <mergeCell ref="G43:H43"/>
    <mergeCell ref="R43:S43"/>
    <mergeCell ref="G44:H44"/>
    <mergeCell ref="R44:S44"/>
    <mergeCell ref="G45:H45"/>
    <mergeCell ref="R45:S45"/>
    <mergeCell ref="G46:H46"/>
    <mergeCell ref="R46:S46"/>
    <mergeCell ref="G37:H37"/>
    <mergeCell ref="R37:S37"/>
    <mergeCell ref="G38:H38"/>
    <mergeCell ref="R38:S38"/>
    <mergeCell ref="G39:H39"/>
    <mergeCell ref="R39:S39"/>
    <mergeCell ref="G40:H40"/>
    <mergeCell ref="R40:S40"/>
    <mergeCell ref="G41:H41"/>
    <mergeCell ref="R41:S41"/>
    <mergeCell ref="G32:H32"/>
    <mergeCell ref="R32:S32"/>
    <mergeCell ref="G33:H33"/>
    <mergeCell ref="R33:S33"/>
    <mergeCell ref="G34:H34"/>
    <mergeCell ref="R34:S34"/>
    <mergeCell ref="G35:H35"/>
    <mergeCell ref="R35:S35"/>
    <mergeCell ref="G36:H36"/>
    <mergeCell ref="R36:S36"/>
    <mergeCell ref="G27:H27"/>
    <mergeCell ref="R27:S27"/>
    <mergeCell ref="G28:H28"/>
    <mergeCell ref="R28:S28"/>
    <mergeCell ref="G29:H29"/>
    <mergeCell ref="R29:S29"/>
    <mergeCell ref="G30:H30"/>
    <mergeCell ref="R30:S30"/>
    <mergeCell ref="G31:H31"/>
    <mergeCell ref="R31:S31"/>
    <mergeCell ref="G22:H22"/>
    <mergeCell ref="R22:S22"/>
    <mergeCell ref="G23:H23"/>
    <mergeCell ref="R23:S23"/>
    <mergeCell ref="G24:H24"/>
    <mergeCell ref="R24:S24"/>
    <mergeCell ref="G25:H25"/>
    <mergeCell ref="R25:S25"/>
    <mergeCell ref="G26:H26"/>
    <mergeCell ref="R26:S26"/>
    <mergeCell ref="G17:H17"/>
    <mergeCell ref="R17:S17"/>
    <mergeCell ref="G18:H18"/>
    <mergeCell ref="R18:S18"/>
    <mergeCell ref="G19:H19"/>
    <mergeCell ref="R19:S19"/>
    <mergeCell ref="G20:H20"/>
    <mergeCell ref="R20:S20"/>
    <mergeCell ref="G21:H21"/>
    <mergeCell ref="R21:S21"/>
    <mergeCell ref="G12:H12"/>
    <mergeCell ref="R12:S12"/>
    <mergeCell ref="G13:H13"/>
    <mergeCell ref="R13:S13"/>
    <mergeCell ref="G14:H14"/>
    <mergeCell ref="R14:S14"/>
    <mergeCell ref="G15:H15"/>
    <mergeCell ref="R15:S15"/>
    <mergeCell ref="G16:H16"/>
    <mergeCell ref="R16:S16"/>
    <mergeCell ref="G7:H7"/>
    <mergeCell ref="R7:S7"/>
    <mergeCell ref="G8:H8"/>
    <mergeCell ref="R8:S8"/>
    <mergeCell ref="G9:H9"/>
    <mergeCell ref="R9:S9"/>
    <mergeCell ref="G10:H10"/>
    <mergeCell ref="R10:S10"/>
    <mergeCell ref="G11:H11"/>
    <mergeCell ref="R11:S11"/>
    <mergeCell ref="A4:C4"/>
    <mergeCell ref="D4:I4"/>
    <mergeCell ref="J4:K4"/>
    <mergeCell ref="R4:S4"/>
    <mergeCell ref="V4:X4"/>
    <mergeCell ref="G5:H5"/>
    <mergeCell ref="R5:S5"/>
    <mergeCell ref="G6:H6"/>
    <mergeCell ref="R6:S6"/>
    <mergeCell ref="A1:G1"/>
    <mergeCell ref="H1:R1"/>
    <mergeCell ref="A2:C2"/>
    <mergeCell ref="D2:I2"/>
    <mergeCell ref="J2:K2"/>
    <mergeCell ref="R2:S2"/>
    <mergeCell ref="V2:X2"/>
    <mergeCell ref="A3:C3"/>
    <mergeCell ref="D3:I3"/>
    <mergeCell ref="J3:K3"/>
    <mergeCell ref="R3:S3"/>
    <mergeCell ref="V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7205-2B10-4399-9504-4FF6AAB5A1C5}">
  <dimension ref="A1:I107"/>
  <sheetViews>
    <sheetView tabSelected="1" workbookViewId="0">
      <selection activeCell="J19" sqref="J19"/>
    </sheetView>
  </sheetViews>
  <sheetFormatPr defaultRowHeight="12.75" x14ac:dyDescent="0.2"/>
  <cols>
    <col min="1" max="1" width="13.83203125" customWidth="1"/>
    <col min="2" max="2" width="21.5" customWidth="1"/>
    <col min="3" max="3" width="22.5" customWidth="1"/>
    <col min="4" max="4" width="23.33203125" customWidth="1"/>
    <col min="5" max="5" width="14.33203125" customWidth="1"/>
    <col min="6" max="6" width="12.33203125" customWidth="1"/>
  </cols>
  <sheetData>
    <row r="1" spans="1:9" ht="13.5" thickBot="1" x14ac:dyDescent="0.25"/>
    <row r="2" spans="1:9" ht="13.5" thickBot="1" x14ac:dyDescent="0.25">
      <c r="B2" s="55"/>
      <c r="C2" s="49" t="s">
        <v>18</v>
      </c>
      <c r="D2" s="50" t="s">
        <v>17</v>
      </c>
      <c r="E2" s="51" t="s">
        <v>19</v>
      </c>
    </row>
    <row r="3" spans="1:9" x14ac:dyDescent="0.2">
      <c r="B3" s="56" t="s">
        <v>12</v>
      </c>
      <c r="C3" s="52">
        <v>2.8</v>
      </c>
      <c r="D3" s="47">
        <v>142</v>
      </c>
      <c r="E3" s="48">
        <f>C3/D3</f>
        <v>1.9718309859154928E-2</v>
      </c>
    </row>
    <row r="4" spans="1:9" x14ac:dyDescent="0.2">
      <c r="B4" s="57" t="s">
        <v>13</v>
      </c>
      <c r="C4" s="53">
        <v>6.3</v>
      </c>
      <c r="D4" s="46">
        <v>184</v>
      </c>
      <c r="E4" s="48">
        <f t="shared" ref="E4:E6" si="0">C4/D4</f>
        <v>3.4239130434782605E-2</v>
      </c>
    </row>
    <row r="5" spans="1:9" x14ac:dyDescent="0.2">
      <c r="B5" s="57" t="s">
        <v>14</v>
      </c>
      <c r="C5" s="53">
        <v>6.1</v>
      </c>
      <c r="D5" s="46">
        <v>172</v>
      </c>
      <c r="E5" s="48">
        <f t="shared" si="0"/>
        <v>3.5465116279069765E-2</v>
      </c>
    </row>
    <row r="6" spans="1:9" ht="13.5" thickBot="1" x14ac:dyDescent="0.25">
      <c r="B6" s="58" t="s">
        <v>15</v>
      </c>
      <c r="C6" s="54">
        <f>30-(C5+C4+C3)</f>
        <v>14.8</v>
      </c>
      <c r="D6" s="46">
        <v>269</v>
      </c>
      <c r="E6" s="48">
        <f t="shared" si="0"/>
        <v>5.5018587360594798E-2</v>
      </c>
    </row>
    <row r="8" spans="1:9" ht="13.5" thickBot="1" x14ac:dyDescent="0.25">
      <c r="H8" s="45"/>
    </row>
    <row r="9" spans="1:9" ht="14.25" thickBot="1" x14ac:dyDescent="0.25">
      <c r="C9" s="60" t="s">
        <v>20</v>
      </c>
      <c r="D9" s="51" t="s">
        <v>16</v>
      </c>
      <c r="I9" s="44"/>
    </row>
    <row r="10" spans="1:9" x14ac:dyDescent="0.2">
      <c r="C10" s="48">
        <f>SUM(E3:E6)</f>
        <v>0.14444114393360208</v>
      </c>
      <c r="D10" s="59">
        <f>30/C10</f>
        <v>207.69705350568708</v>
      </c>
      <c r="E10" s="42" t="s">
        <v>21</v>
      </c>
    </row>
    <row r="15" spans="1:9" x14ac:dyDescent="0.2">
      <c r="A15" s="44" t="s">
        <v>91</v>
      </c>
      <c r="B15" s="61" t="s">
        <v>89</v>
      </c>
      <c r="C15" s="61" t="s">
        <v>90</v>
      </c>
      <c r="D15" s="61" t="s">
        <v>92</v>
      </c>
      <c r="E15" s="61" t="s">
        <v>93</v>
      </c>
      <c r="F15" s="61" t="s">
        <v>94</v>
      </c>
      <c r="G15" s="44" t="s">
        <v>95</v>
      </c>
      <c r="H15" s="44" t="s">
        <v>96</v>
      </c>
    </row>
    <row r="16" spans="1:9" x14ac:dyDescent="0.2">
      <c r="A16" s="42" t="str">
        <f>CPT2_2!A4</f>
        <v>0,20          7        --</v>
      </c>
      <c r="B16" s="89">
        <f>CPT1_1!E4</f>
        <v>1.85</v>
      </c>
      <c r="C16" s="89">
        <f>CPT2_2!E5</f>
        <v>1.85</v>
      </c>
      <c r="D16" s="42">
        <f>9.81</f>
        <v>9.81</v>
      </c>
      <c r="E16" s="89">
        <f>B16/$D$16</f>
        <v>0.18858307849133538</v>
      </c>
      <c r="F16" s="89">
        <f>C16/$D$16</f>
        <v>0.18858307849133538</v>
      </c>
      <c r="G16">
        <f>E16*$D$3^2</f>
        <v>3802.5891946992865</v>
      </c>
      <c r="H16">
        <f>F16*$D$3^2</f>
        <v>3802.5891946992865</v>
      </c>
    </row>
    <row r="17" spans="1:8" x14ac:dyDescent="0.2">
      <c r="A17" s="42">
        <f>CPT2_2!A5</f>
        <v>0.4</v>
      </c>
      <c r="B17" s="89">
        <f>CPT1_1!E5</f>
        <v>1.85</v>
      </c>
      <c r="C17" s="89">
        <f>CPT2_2!E5</f>
        <v>1.85</v>
      </c>
      <c r="D17" s="42"/>
      <c r="E17" s="89">
        <f t="shared" ref="E17:E63" si="1">B17/$D$16</f>
        <v>0.18858307849133538</v>
      </c>
      <c r="F17" s="89">
        <f t="shared" ref="F17:F65" si="2">C17/$D$16</f>
        <v>0.18858307849133538</v>
      </c>
      <c r="G17">
        <f t="shared" ref="G17:G29" si="3">E17*$D$3^2</f>
        <v>3802.5891946992865</v>
      </c>
      <c r="H17">
        <f t="shared" ref="H17:H29" si="4">F17*$D$3^2</f>
        <v>3802.5891946992865</v>
      </c>
    </row>
    <row r="18" spans="1:8" x14ac:dyDescent="0.2">
      <c r="A18" s="42">
        <f>CPT2_2!A6</f>
        <v>0.6</v>
      </c>
      <c r="B18" s="89">
        <f>CPT1_1!E6</f>
        <v>1.85</v>
      </c>
      <c r="C18" s="89">
        <f>CPT2_2!E6</f>
        <v>1.85</v>
      </c>
      <c r="D18" s="42"/>
      <c r="E18" s="89">
        <f t="shared" si="1"/>
        <v>0.18858307849133538</v>
      </c>
      <c r="F18" s="89">
        <f t="shared" si="2"/>
        <v>0.18858307849133538</v>
      </c>
      <c r="G18">
        <f t="shared" si="3"/>
        <v>3802.5891946992865</v>
      </c>
      <c r="H18">
        <f t="shared" si="4"/>
        <v>3802.5891946992865</v>
      </c>
    </row>
    <row r="19" spans="1:8" x14ac:dyDescent="0.2">
      <c r="A19" s="42">
        <f>CPT2_2!A7</f>
        <v>0.8</v>
      </c>
      <c r="B19" s="89">
        <f>CPT1_1!E7</f>
        <v>1.85</v>
      </c>
      <c r="C19" s="89">
        <f>CPT2_2!E7</f>
        <v>1.85</v>
      </c>
      <c r="D19" s="42"/>
      <c r="E19" s="89">
        <f t="shared" si="1"/>
        <v>0.18858307849133538</v>
      </c>
      <c r="F19" s="89">
        <f t="shared" si="2"/>
        <v>0.18858307849133538</v>
      </c>
      <c r="G19">
        <f t="shared" si="3"/>
        <v>3802.5891946992865</v>
      </c>
      <c r="H19">
        <f t="shared" si="4"/>
        <v>3802.5891946992865</v>
      </c>
    </row>
    <row r="20" spans="1:8" x14ac:dyDescent="0.2">
      <c r="A20" s="42" t="str">
        <f>CPT2_2!A8</f>
        <v>      1,00</v>
      </c>
      <c r="B20" s="89">
        <f>CPT1_1!E8</f>
        <v>1.85</v>
      </c>
      <c r="C20" s="89">
        <f>CPT2_2!E8</f>
        <v>1.85</v>
      </c>
      <c r="D20" s="42"/>
      <c r="E20" s="89">
        <f t="shared" si="1"/>
        <v>0.18858307849133538</v>
      </c>
      <c r="F20" s="89">
        <f t="shared" si="2"/>
        <v>0.18858307849133538</v>
      </c>
      <c r="G20">
        <f t="shared" si="3"/>
        <v>3802.5891946992865</v>
      </c>
      <c r="H20">
        <f t="shared" si="4"/>
        <v>3802.5891946992865</v>
      </c>
    </row>
    <row r="21" spans="1:8" x14ac:dyDescent="0.2">
      <c r="A21" s="42">
        <f>CPT2_2!A9</f>
        <v>1.2</v>
      </c>
      <c r="B21" s="89">
        <f>CPT1_1!E9</f>
        <v>1.85</v>
      </c>
      <c r="C21" s="89">
        <f>CPT2_2!E9</f>
        <v>1.85</v>
      </c>
      <c r="E21" s="89">
        <f t="shared" si="1"/>
        <v>0.18858307849133538</v>
      </c>
      <c r="F21" s="89">
        <f t="shared" si="2"/>
        <v>0.18858307849133538</v>
      </c>
      <c r="G21">
        <f t="shared" si="3"/>
        <v>3802.5891946992865</v>
      </c>
      <c r="H21">
        <f t="shared" si="4"/>
        <v>3802.5891946992865</v>
      </c>
    </row>
    <row r="22" spans="1:8" x14ac:dyDescent="0.2">
      <c r="A22" s="42">
        <f>CPT2_2!A10</f>
        <v>1.4</v>
      </c>
      <c r="B22" s="89">
        <f>CPT1_1!E10</f>
        <v>1.85</v>
      </c>
      <c r="C22" s="89">
        <f>CPT2_2!E10</f>
        <v>1.85</v>
      </c>
      <c r="E22" s="89">
        <f t="shared" si="1"/>
        <v>0.18858307849133538</v>
      </c>
      <c r="F22" s="89">
        <f t="shared" si="2"/>
        <v>0.18858307849133538</v>
      </c>
      <c r="G22">
        <f t="shared" si="3"/>
        <v>3802.5891946992865</v>
      </c>
      <c r="H22">
        <f t="shared" si="4"/>
        <v>3802.5891946992865</v>
      </c>
    </row>
    <row r="23" spans="1:8" x14ac:dyDescent="0.2">
      <c r="A23" s="42">
        <f>CPT2_2!A11</f>
        <v>1.6</v>
      </c>
      <c r="B23" s="89">
        <f>CPT1_1!E11</f>
        <v>1.85</v>
      </c>
      <c r="C23" s="89">
        <f>CPT2_2!E11</f>
        <v>1.85</v>
      </c>
      <c r="E23" s="89">
        <f t="shared" si="1"/>
        <v>0.18858307849133538</v>
      </c>
      <c r="F23" s="89">
        <f t="shared" si="2"/>
        <v>0.18858307849133538</v>
      </c>
      <c r="G23">
        <f t="shared" si="3"/>
        <v>3802.5891946992865</v>
      </c>
      <c r="H23">
        <f t="shared" si="4"/>
        <v>3802.5891946992865</v>
      </c>
    </row>
    <row r="24" spans="1:8" x14ac:dyDescent="0.2">
      <c r="A24" s="42">
        <f>CPT2_2!A12</f>
        <v>1.8</v>
      </c>
      <c r="B24" s="89">
        <f>CPT1_1!E12</f>
        <v>0.85</v>
      </c>
      <c r="C24" s="89">
        <f>CPT2_2!E12</f>
        <v>1.85</v>
      </c>
      <c r="E24" s="89">
        <f t="shared" si="1"/>
        <v>8.6646279306829763E-2</v>
      </c>
      <c r="F24" s="89">
        <f t="shared" si="2"/>
        <v>0.18858307849133538</v>
      </c>
      <c r="G24">
        <f t="shared" si="3"/>
        <v>1747.1355759429152</v>
      </c>
      <c r="H24">
        <f t="shared" si="4"/>
        <v>3802.5891946992865</v>
      </c>
    </row>
    <row r="25" spans="1:8" x14ac:dyDescent="0.2">
      <c r="A25" s="42" t="str">
        <f>CPT2_2!A13</f>
        <v>      2,00</v>
      </c>
      <c r="B25" s="89">
        <f>CPT1_1!E13</f>
        <v>0.96</v>
      </c>
      <c r="C25" s="89">
        <f>CPT2_2!E13</f>
        <v>1.85</v>
      </c>
      <c r="E25" s="89">
        <f t="shared" si="1"/>
        <v>9.7859327217125369E-2</v>
      </c>
      <c r="F25" s="89">
        <f t="shared" si="2"/>
        <v>0.18858307849133538</v>
      </c>
      <c r="G25">
        <f t="shared" si="3"/>
        <v>1973.235474006116</v>
      </c>
      <c r="H25">
        <f t="shared" si="4"/>
        <v>3802.5891946992865</v>
      </c>
    </row>
    <row r="26" spans="1:8" x14ac:dyDescent="0.2">
      <c r="A26" s="42">
        <f>CPT2_2!A14</f>
        <v>2.2000000000000002</v>
      </c>
      <c r="B26" s="89">
        <f>CPT1_1!E14</f>
        <v>0.87</v>
      </c>
      <c r="C26" s="89">
        <f>CPT2_2!E14</f>
        <v>1.85</v>
      </c>
      <c r="E26" s="89">
        <f t="shared" si="1"/>
        <v>8.8685015290519878E-2</v>
      </c>
      <c r="F26" s="89">
        <f t="shared" si="2"/>
        <v>0.18858307849133538</v>
      </c>
      <c r="G26">
        <f t="shared" si="3"/>
        <v>1788.2446483180429</v>
      </c>
      <c r="H26">
        <f t="shared" si="4"/>
        <v>3802.5891946992865</v>
      </c>
    </row>
    <row r="27" spans="1:8" x14ac:dyDescent="0.2">
      <c r="A27" s="42">
        <f>CPT2_2!A15</f>
        <v>2.4</v>
      </c>
      <c r="B27" s="89">
        <f>CPT1_1!E15</f>
        <v>0.82</v>
      </c>
      <c r="C27" s="89">
        <f>CPT2_2!E15</f>
        <v>1.85</v>
      </c>
      <c r="E27" s="89">
        <f t="shared" si="1"/>
        <v>8.358817533129459E-2</v>
      </c>
      <c r="F27" s="89">
        <f t="shared" si="2"/>
        <v>0.18858307849133538</v>
      </c>
      <c r="G27">
        <f t="shared" si="3"/>
        <v>1685.4719673802242</v>
      </c>
      <c r="H27">
        <f t="shared" si="4"/>
        <v>3802.5891946992865</v>
      </c>
    </row>
    <row r="28" spans="1:8" x14ac:dyDescent="0.2">
      <c r="A28" s="42">
        <f>CPT2_2!A16</f>
        <v>2.6</v>
      </c>
      <c r="B28" s="89">
        <f>CPT1_1!E16</f>
        <v>0.8</v>
      </c>
      <c r="C28" s="89">
        <f>CPT2_2!E16</f>
        <v>1.85</v>
      </c>
      <c r="E28" s="89">
        <f t="shared" si="1"/>
        <v>8.1549439347604488E-2</v>
      </c>
      <c r="F28" s="89">
        <f t="shared" si="2"/>
        <v>0.18858307849133538</v>
      </c>
      <c r="G28">
        <f t="shared" si="3"/>
        <v>1644.3628950050968</v>
      </c>
      <c r="H28">
        <f t="shared" si="4"/>
        <v>3802.5891946992865</v>
      </c>
    </row>
    <row r="29" spans="1:8" x14ac:dyDescent="0.2">
      <c r="A29" s="90">
        <f>CPT2_2!A17</f>
        <v>2.8</v>
      </c>
      <c r="B29" s="91">
        <f>CPT1_1!E17</f>
        <v>0.86</v>
      </c>
      <c r="C29" s="91">
        <f>CPT2_2!E17</f>
        <v>1.85</v>
      </c>
      <c r="D29" s="92"/>
      <c r="E29" s="91">
        <f t="shared" si="1"/>
        <v>8.766564729867482E-2</v>
      </c>
      <c r="F29" s="91">
        <f t="shared" si="2"/>
        <v>0.18858307849133538</v>
      </c>
      <c r="G29" s="92">
        <f t="shared" si="3"/>
        <v>1767.6901121304791</v>
      </c>
      <c r="H29" s="92">
        <f t="shared" si="4"/>
        <v>3802.5891946992865</v>
      </c>
    </row>
    <row r="30" spans="1:8" x14ac:dyDescent="0.2">
      <c r="A30" s="42" t="str">
        <f>CPT2_2!A18</f>
        <v>      3,00</v>
      </c>
      <c r="B30" s="89">
        <f>CPT1_1!E18</f>
        <v>0.89</v>
      </c>
      <c r="C30" s="89">
        <f>CPT2_2!E18</f>
        <v>1.85</v>
      </c>
      <c r="E30" s="89">
        <f t="shared" si="1"/>
        <v>9.0723751274209993E-2</v>
      </c>
      <c r="F30" s="89">
        <f t="shared" si="2"/>
        <v>0.18858307849133538</v>
      </c>
      <c r="G30">
        <f>E30*$D$4^2</f>
        <v>3071.5433231396537</v>
      </c>
      <c r="H30">
        <f>F30*$D$4^2</f>
        <v>6384.6687054026506</v>
      </c>
    </row>
    <row r="31" spans="1:8" x14ac:dyDescent="0.2">
      <c r="A31" s="42">
        <f>CPT2_2!A19</f>
        <v>3.2</v>
      </c>
      <c r="B31" s="89">
        <f>CPT1_1!E19</f>
        <v>0.9</v>
      </c>
      <c r="C31" s="89">
        <f>CPT2_2!E19</f>
        <v>1.85</v>
      </c>
      <c r="E31" s="89">
        <f t="shared" si="1"/>
        <v>9.1743119266055037E-2</v>
      </c>
      <c r="F31" s="89">
        <f t="shared" si="2"/>
        <v>0.18858307849133538</v>
      </c>
      <c r="G31">
        <f t="shared" ref="G31:G60" si="5">E31*$D$4^2</f>
        <v>3106.0550458715593</v>
      </c>
      <c r="H31">
        <f t="shared" ref="H31:H60" si="6">F31*$D$4^2</f>
        <v>6384.6687054026506</v>
      </c>
    </row>
    <row r="32" spans="1:8" x14ac:dyDescent="0.2">
      <c r="A32" s="42">
        <f>CPT2_2!A20</f>
        <v>3.4</v>
      </c>
      <c r="B32" s="89">
        <f>CPT1_1!E20</f>
        <v>0.92</v>
      </c>
      <c r="C32" s="89">
        <f>CPT2_2!E20</f>
        <v>1.85</v>
      </c>
      <c r="E32" s="89">
        <f t="shared" si="1"/>
        <v>9.3781855249745152E-2</v>
      </c>
      <c r="F32" s="89">
        <f t="shared" si="2"/>
        <v>0.18858307849133538</v>
      </c>
      <c r="G32">
        <f t="shared" si="5"/>
        <v>3175.0784913353718</v>
      </c>
      <c r="H32">
        <f t="shared" si="6"/>
        <v>6384.6687054026506</v>
      </c>
    </row>
    <row r="33" spans="1:8" x14ac:dyDescent="0.2">
      <c r="A33" s="42">
        <f>CPT2_2!A21</f>
        <v>3.6</v>
      </c>
      <c r="B33" s="89">
        <f>CPT1_1!E21</f>
        <v>0.89</v>
      </c>
      <c r="C33" s="89">
        <f>CPT2_2!E21</f>
        <v>1.85</v>
      </c>
      <c r="E33" s="89">
        <f t="shared" si="1"/>
        <v>9.0723751274209993E-2</v>
      </c>
      <c r="F33" s="89">
        <f t="shared" si="2"/>
        <v>0.18858307849133538</v>
      </c>
      <c r="G33">
        <f t="shared" si="5"/>
        <v>3071.5433231396537</v>
      </c>
      <c r="H33">
        <f t="shared" si="6"/>
        <v>6384.6687054026506</v>
      </c>
    </row>
    <row r="34" spans="1:8" x14ac:dyDescent="0.2">
      <c r="A34" s="42">
        <f>CPT2_2!A22</f>
        <v>3.8</v>
      </c>
      <c r="B34" s="89">
        <f>CPT1_1!E22</f>
        <v>0.88</v>
      </c>
      <c r="C34" s="89">
        <f>CPT2_2!E22</f>
        <v>1.85</v>
      </c>
      <c r="E34" s="89">
        <f t="shared" si="1"/>
        <v>8.9704383282364936E-2</v>
      </c>
      <c r="F34" s="89">
        <f t="shared" si="2"/>
        <v>0.18858307849133538</v>
      </c>
      <c r="G34">
        <f t="shared" si="5"/>
        <v>3037.0316004077472</v>
      </c>
      <c r="H34">
        <f t="shared" si="6"/>
        <v>6384.6687054026506</v>
      </c>
    </row>
    <row r="35" spans="1:8" x14ac:dyDescent="0.2">
      <c r="A35" s="42" t="str">
        <f>CPT2_2!A23</f>
        <v>      4,00</v>
      </c>
      <c r="B35" s="89">
        <f>CPT1_1!E23</f>
        <v>0.89</v>
      </c>
      <c r="C35" s="89">
        <f>CPT2_2!E23</f>
        <v>1.85</v>
      </c>
      <c r="E35" s="89">
        <f t="shared" si="1"/>
        <v>9.0723751274209993E-2</v>
      </c>
      <c r="F35" s="89">
        <f t="shared" si="2"/>
        <v>0.18858307849133538</v>
      </c>
      <c r="G35">
        <f t="shared" si="5"/>
        <v>3071.5433231396537</v>
      </c>
      <c r="H35">
        <f t="shared" si="6"/>
        <v>6384.6687054026506</v>
      </c>
    </row>
    <row r="36" spans="1:8" x14ac:dyDescent="0.2">
      <c r="A36" s="42">
        <f>CPT2_2!A24</f>
        <v>4.2</v>
      </c>
      <c r="B36" s="89">
        <f>CPT1_1!E24</f>
        <v>0.86</v>
      </c>
      <c r="C36" s="89">
        <f>CPT2_2!E24</f>
        <v>1.85</v>
      </c>
      <c r="E36" s="89">
        <f t="shared" si="1"/>
        <v>8.766564729867482E-2</v>
      </c>
      <c r="F36" s="89">
        <f t="shared" si="2"/>
        <v>0.18858307849133538</v>
      </c>
      <c r="G36">
        <f t="shared" si="5"/>
        <v>2968.0081549439346</v>
      </c>
      <c r="H36">
        <f t="shared" si="6"/>
        <v>6384.6687054026506</v>
      </c>
    </row>
    <row r="37" spans="1:8" x14ac:dyDescent="0.2">
      <c r="A37" s="42">
        <f>CPT2_2!A25</f>
        <v>4.4000000000000004</v>
      </c>
      <c r="B37" s="89">
        <f>CPT1_1!E25</f>
        <v>0.87</v>
      </c>
      <c r="C37" s="89">
        <f>CPT2_2!E25</f>
        <v>1.85</v>
      </c>
      <c r="E37" s="89">
        <f t="shared" si="1"/>
        <v>8.8685015290519878E-2</v>
      </c>
      <c r="F37" s="89">
        <f t="shared" si="2"/>
        <v>0.18858307849133538</v>
      </c>
      <c r="G37">
        <f t="shared" si="5"/>
        <v>3002.5198776758411</v>
      </c>
      <c r="H37">
        <f t="shared" si="6"/>
        <v>6384.6687054026506</v>
      </c>
    </row>
    <row r="38" spans="1:8" x14ac:dyDescent="0.2">
      <c r="A38" s="42">
        <f>CPT2_2!A26</f>
        <v>4.5999999999999996</v>
      </c>
      <c r="B38" s="89">
        <f>CPT1_1!E26</f>
        <v>0.87</v>
      </c>
      <c r="C38" s="89">
        <f>CPT2_2!E26</f>
        <v>1.85</v>
      </c>
      <c r="E38" s="89">
        <f t="shared" si="1"/>
        <v>8.8685015290519878E-2</v>
      </c>
      <c r="F38" s="89">
        <f t="shared" si="2"/>
        <v>0.18858307849133538</v>
      </c>
      <c r="G38">
        <f t="shared" si="5"/>
        <v>3002.5198776758411</v>
      </c>
      <c r="H38">
        <f t="shared" si="6"/>
        <v>6384.6687054026506</v>
      </c>
    </row>
    <row r="39" spans="1:8" x14ac:dyDescent="0.2">
      <c r="A39" s="42">
        <f>CPT2_2!A27</f>
        <v>4.8</v>
      </c>
      <c r="B39" s="89">
        <f>CPT1_1!E27</f>
        <v>0.87</v>
      </c>
      <c r="C39" s="89">
        <f>CPT2_2!E27</f>
        <v>1.85</v>
      </c>
      <c r="E39" s="89">
        <f t="shared" si="1"/>
        <v>8.8685015290519878E-2</v>
      </c>
      <c r="F39" s="89">
        <f t="shared" si="2"/>
        <v>0.18858307849133538</v>
      </c>
      <c r="G39">
        <f t="shared" si="5"/>
        <v>3002.5198776758411</v>
      </c>
      <c r="H39">
        <f t="shared" si="6"/>
        <v>6384.6687054026506</v>
      </c>
    </row>
    <row r="40" spans="1:8" x14ac:dyDescent="0.2">
      <c r="A40" s="42" t="str">
        <f>CPT2_2!A28</f>
        <v>      5,00</v>
      </c>
      <c r="B40" s="89">
        <f>CPT1_1!E28</f>
        <v>0.95</v>
      </c>
      <c r="C40" s="89">
        <f>CPT2_2!E28</f>
        <v>1.85</v>
      </c>
      <c r="E40" s="89">
        <f t="shared" si="1"/>
        <v>9.6839959225280312E-2</v>
      </c>
      <c r="F40" s="89">
        <f t="shared" si="2"/>
        <v>0.18858307849133538</v>
      </c>
      <c r="G40">
        <f t="shared" si="5"/>
        <v>3278.6136595310904</v>
      </c>
      <c r="H40">
        <f t="shared" si="6"/>
        <v>6384.6687054026506</v>
      </c>
    </row>
    <row r="41" spans="1:8" x14ac:dyDescent="0.2">
      <c r="A41" s="42">
        <f>CPT2_2!A29</f>
        <v>5.2</v>
      </c>
      <c r="B41" s="89">
        <f>CPT1_1!E29</f>
        <v>0.9</v>
      </c>
      <c r="C41" s="89">
        <f>CPT2_2!E29</f>
        <v>1.85</v>
      </c>
      <c r="E41" s="89">
        <f t="shared" si="1"/>
        <v>9.1743119266055037E-2</v>
      </c>
      <c r="F41" s="89">
        <f t="shared" si="2"/>
        <v>0.18858307849133538</v>
      </c>
      <c r="G41">
        <f t="shared" si="5"/>
        <v>3106.0550458715593</v>
      </c>
      <c r="H41">
        <f t="shared" si="6"/>
        <v>6384.6687054026506</v>
      </c>
    </row>
    <row r="42" spans="1:8" x14ac:dyDescent="0.2">
      <c r="A42" s="42">
        <f>CPT2_2!A30</f>
        <v>5.4</v>
      </c>
      <c r="B42" s="89">
        <f>CPT1_1!E30</f>
        <v>0.91</v>
      </c>
      <c r="C42" s="89">
        <f>CPT2_2!E30</f>
        <v>1.85</v>
      </c>
      <c r="E42" s="89">
        <f t="shared" si="1"/>
        <v>9.2762487257900095E-2</v>
      </c>
      <c r="F42" s="89">
        <f t="shared" si="2"/>
        <v>0.18858307849133538</v>
      </c>
      <c r="G42">
        <f t="shared" si="5"/>
        <v>3140.5667686034658</v>
      </c>
      <c r="H42">
        <f t="shared" si="6"/>
        <v>6384.6687054026506</v>
      </c>
    </row>
    <row r="43" spans="1:8" x14ac:dyDescent="0.2">
      <c r="A43" s="42">
        <f>CPT2_2!A31</f>
        <v>5.6</v>
      </c>
      <c r="B43" s="89">
        <f>CPT1_1!E31</f>
        <v>0.9</v>
      </c>
      <c r="C43" s="89">
        <f>CPT2_2!E31</f>
        <v>1.85</v>
      </c>
      <c r="E43" s="89">
        <f t="shared" si="1"/>
        <v>9.1743119266055037E-2</v>
      </c>
      <c r="F43" s="89">
        <f t="shared" si="2"/>
        <v>0.18858307849133538</v>
      </c>
      <c r="G43">
        <f t="shared" si="5"/>
        <v>3106.0550458715593</v>
      </c>
      <c r="H43">
        <f t="shared" si="6"/>
        <v>6384.6687054026506</v>
      </c>
    </row>
    <row r="44" spans="1:8" x14ac:dyDescent="0.2">
      <c r="A44" s="42">
        <f>CPT2_2!A32</f>
        <v>5.8</v>
      </c>
      <c r="B44" s="89">
        <f>CPT1_1!E32</f>
        <v>0.88</v>
      </c>
      <c r="C44" s="89">
        <f>CPT2_2!E32</f>
        <v>1.85</v>
      </c>
      <c r="E44" s="89">
        <f t="shared" si="1"/>
        <v>8.9704383282364936E-2</v>
      </c>
      <c r="F44" s="89">
        <f t="shared" si="2"/>
        <v>0.18858307849133538</v>
      </c>
      <c r="G44">
        <f t="shared" si="5"/>
        <v>3037.0316004077472</v>
      </c>
      <c r="H44">
        <f t="shared" si="6"/>
        <v>6384.6687054026506</v>
      </c>
    </row>
    <row r="45" spans="1:8" x14ac:dyDescent="0.2">
      <c r="A45" s="42" t="str">
        <f>CPT2_2!A33</f>
        <v>      6,00</v>
      </c>
      <c r="B45" s="89">
        <f>CPT1_1!E33</f>
        <v>0.88</v>
      </c>
      <c r="C45" s="89">
        <f>CPT2_2!E33</f>
        <v>1.85</v>
      </c>
      <c r="E45" s="89">
        <f t="shared" si="1"/>
        <v>8.9704383282364936E-2</v>
      </c>
      <c r="F45" s="89">
        <f t="shared" si="2"/>
        <v>0.18858307849133538</v>
      </c>
      <c r="G45">
        <f t="shared" si="5"/>
        <v>3037.0316004077472</v>
      </c>
      <c r="H45">
        <f t="shared" si="6"/>
        <v>6384.6687054026506</v>
      </c>
    </row>
    <row r="46" spans="1:8" x14ac:dyDescent="0.2">
      <c r="A46" s="42">
        <f>CPT2_2!A34</f>
        <v>6.2</v>
      </c>
      <c r="B46" s="89">
        <f>CPT1_1!E34</f>
        <v>0.89</v>
      </c>
      <c r="C46" s="89">
        <f>CPT2_2!E34</f>
        <v>1.85</v>
      </c>
      <c r="E46" s="89">
        <f t="shared" si="1"/>
        <v>9.0723751274209993E-2</v>
      </c>
      <c r="F46" s="89">
        <f t="shared" si="2"/>
        <v>0.18858307849133538</v>
      </c>
      <c r="G46">
        <f t="shared" si="5"/>
        <v>3071.5433231396537</v>
      </c>
      <c r="H46">
        <f t="shared" si="6"/>
        <v>6384.6687054026506</v>
      </c>
    </row>
    <row r="47" spans="1:8" x14ac:dyDescent="0.2">
      <c r="A47" s="42">
        <f>CPT2_2!A35</f>
        <v>6.4</v>
      </c>
      <c r="B47" s="89">
        <f>CPT1_1!E35</f>
        <v>0.9</v>
      </c>
      <c r="C47" s="89">
        <f>CPT2_2!E35</f>
        <v>1.85</v>
      </c>
      <c r="E47" s="89">
        <f t="shared" si="1"/>
        <v>9.1743119266055037E-2</v>
      </c>
      <c r="F47" s="89">
        <f t="shared" si="2"/>
        <v>0.18858307849133538</v>
      </c>
      <c r="G47">
        <f t="shared" si="5"/>
        <v>3106.0550458715593</v>
      </c>
      <c r="H47">
        <f t="shared" si="6"/>
        <v>6384.6687054026506</v>
      </c>
    </row>
    <row r="48" spans="1:8" x14ac:dyDescent="0.2">
      <c r="A48" s="42">
        <f>CPT2_2!A36</f>
        <v>6.6</v>
      </c>
      <c r="B48" s="89">
        <f>CPT1_1!E36</f>
        <v>0.88</v>
      </c>
      <c r="C48" s="89">
        <f>CPT2_2!E36</f>
        <v>1.85</v>
      </c>
      <c r="E48" s="89">
        <f t="shared" si="1"/>
        <v>8.9704383282364936E-2</v>
      </c>
      <c r="F48" s="89">
        <f t="shared" si="2"/>
        <v>0.18858307849133538</v>
      </c>
      <c r="G48">
        <f t="shared" si="5"/>
        <v>3037.0316004077472</v>
      </c>
      <c r="H48">
        <f t="shared" si="6"/>
        <v>6384.6687054026506</v>
      </c>
    </row>
    <row r="49" spans="1:8" x14ac:dyDescent="0.2">
      <c r="A49" s="42">
        <f>CPT2_2!A37</f>
        <v>6.8</v>
      </c>
      <c r="B49" s="89">
        <f>CPT1_1!E37</f>
        <v>0.87</v>
      </c>
      <c r="C49" s="89">
        <f>CPT2_2!E37</f>
        <v>1.85</v>
      </c>
      <c r="E49" s="89">
        <f t="shared" si="1"/>
        <v>8.8685015290519878E-2</v>
      </c>
      <c r="F49" s="89">
        <f t="shared" si="2"/>
        <v>0.18858307849133538</v>
      </c>
      <c r="G49">
        <f t="shared" si="5"/>
        <v>3002.5198776758411</v>
      </c>
      <c r="H49">
        <f t="shared" si="6"/>
        <v>6384.6687054026506</v>
      </c>
    </row>
    <row r="50" spans="1:8" x14ac:dyDescent="0.2">
      <c r="A50" s="42" t="str">
        <f>CPT2_2!A38</f>
        <v>      7,00</v>
      </c>
      <c r="B50" s="89">
        <f>CPT1_1!E38</f>
        <v>0.93</v>
      </c>
      <c r="C50" s="89">
        <f>CPT2_2!E38</f>
        <v>1.85</v>
      </c>
      <c r="E50" s="89">
        <f t="shared" si="1"/>
        <v>9.480122324159021E-2</v>
      </c>
      <c r="F50" s="89">
        <f t="shared" si="2"/>
        <v>0.18858307849133538</v>
      </c>
      <c r="G50">
        <f t="shared" si="5"/>
        <v>3209.5902140672783</v>
      </c>
      <c r="H50">
        <f t="shared" si="6"/>
        <v>6384.6687054026506</v>
      </c>
    </row>
    <row r="51" spans="1:8" x14ac:dyDescent="0.2">
      <c r="A51" s="42">
        <f>CPT2_2!A39</f>
        <v>7.2</v>
      </c>
      <c r="B51" s="89">
        <f>CPT1_1!E39</f>
        <v>0.9</v>
      </c>
      <c r="C51" s="89">
        <f>CPT2_2!E39</f>
        <v>1.85</v>
      </c>
      <c r="E51" s="89">
        <f t="shared" si="1"/>
        <v>9.1743119266055037E-2</v>
      </c>
      <c r="F51" s="89">
        <f t="shared" si="2"/>
        <v>0.18858307849133538</v>
      </c>
      <c r="G51">
        <f t="shared" si="5"/>
        <v>3106.0550458715593</v>
      </c>
      <c r="H51">
        <f t="shared" si="6"/>
        <v>6384.6687054026506</v>
      </c>
    </row>
    <row r="52" spans="1:8" x14ac:dyDescent="0.2">
      <c r="A52" s="42">
        <f>CPT2_2!A40</f>
        <v>7.4</v>
      </c>
      <c r="B52" s="89">
        <f>CPT1_1!E40</f>
        <v>0.9</v>
      </c>
      <c r="C52" s="89">
        <f>CPT2_2!E40</f>
        <v>1.85</v>
      </c>
      <c r="E52" s="89">
        <f t="shared" si="1"/>
        <v>9.1743119266055037E-2</v>
      </c>
      <c r="F52" s="89">
        <f t="shared" si="2"/>
        <v>0.18858307849133538</v>
      </c>
      <c r="G52">
        <f t="shared" si="5"/>
        <v>3106.0550458715593</v>
      </c>
      <c r="H52">
        <f t="shared" si="6"/>
        <v>6384.6687054026506</v>
      </c>
    </row>
    <row r="53" spans="1:8" x14ac:dyDescent="0.2">
      <c r="A53" s="42">
        <f>CPT2_2!A41</f>
        <v>7.6</v>
      </c>
      <c r="B53" s="89">
        <f>CPT1_1!E41</f>
        <v>0.89</v>
      </c>
      <c r="C53" s="89">
        <f>CPT2_2!E41</f>
        <v>1.85</v>
      </c>
      <c r="E53" s="89">
        <f t="shared" si="1"/>
        <v>9.0723751274209993E-2</v>
      </c>
      <c r="F53" s="89">
        <f t="shared" si="2"/>
        <v>0.18858307849133538</v>
      </c>
      <c r="G53">
        <f t="shared" si="5"/>
        <v>3071.5433231396537</v>
      </c>
      <c r="H53">
        <f t="shared" si="6"/>
        <v>6384.6687054026506</v>
      </c>
    </row>
    <row r="54" spans="1:8" x14ac:dyDescent="0.2">
      <c r="A54" s="42">
        <f>CPT2_2!A42</f>
        <v>7.8</v>
      </c>
      <c r="B54" s="89">
        <f>CPT1_1!E42</f>
        <v>0.91</v>
      </c>
      <c r="C54" s="89">
        <f>CPT2_2!E42</f>
        <v>1.85</v>
      </c>
      <c r="E54" s="89">
        <f t="shared" si="1"/>
        <v>9.2762487257900095E-2</v>
      </c>
      <c r="F54" s="89">
        <f t="shared" si="2"/>
        <v>0.18858307849133538</v>
      </c>
      <c r="G54">
        <f t="shared" si="5"/>
        <v>3140.5667686034658</v>
      </c>
      <c r="H54">
        <f t="shared" si="6"/>
        <v>6384.6687054026506</v>
      </c>
    </row>
    <row r="55" spans="1:8" x14ac:dyDescent="0.2">
      <c r="A55" s="42" t="str">
        <f>CPT2_2!A43</f>
        <v>      8,00</v>
      </c>
      <c r="B55" s="89">
        <f>CPT1_1!E43</f>
        <v>0.89</v>
      </c>
      <c r="C55" s="89">
        <f>CPT2_2!E43</f>
        <v>1.85</v>
      </c>
      <c r="E55" s="89">
        <f t="shared" si="1"/>
        <v>9.0723751274209993E-2</v>
      </c>
      <c r="F55" s="89">
        <f t="shared" si="2"/>
        <v>0.18858307849133538</v>
      </c>
      <c r="G55">
        <f t="shared" si="5"/>
        <v>3071.5433231396537</v>
      </c>
      <c r="H55">
        <f t="shared" si="6"/>
        <v>6384.6687054026506</v>
      </c>
    </row>
    <row r="56" spans="1:8" x14ac:dyDescent="0.2">
      <c r="A56" s="42">
        <f>CPT2_2!A44</f>
        <v>8.1999999999999993</v>
      </c>
      <c r="B56" s="89">
        <f>CPT1_1!E44</f>
        <v>0.92</v>
      </c>
      <c r="C56" s="89">
        <f>CPT2_2!E44</f>
        <v>1.85</v>
      </c>
      <c r="E56" s="89">
        <f t="shared" si="1"/>
        <v>9.3781855249745152E-2</v>
      </c>
      <c r="F56" s="89">
        <f t="shared" si="2"/>
        <v>0.18858307849133538</v>
      </c>
      <c r="G56">
        <f t="shared" si="5"/>
        <v>3175.0784913353718</v>
      </c>
      <c r="H56">
        <f t="shared" si="6"/>
        <v>6384.6687054026506</v>
      </c>
    </row>
    <row r="57" spans="1:8" x14ac:dyDescent="0.2">
      <c r="A57" s="42">
        <f>CPT2_2!A45</f>
        <v>8.4</v>
      </c>
      <c r="B57" s="89">
        <f>CPT1_1!E45</f>
        <v>0.93</v>
      </c>
      <c r="C57" s="89">
        <f>CPT2_2!E45</f>
        <v>1.85</v>
      </c>
      <c r="E57" s="89">
        <f t="shared" si="1"/>
        <v>9.480122324159021E-2</v>
      </c>
      <c r="F57" s="89">
        <f t="shared" si="2"/>
        <v>0.18858307849133538</v>
      </c>
      <c r="G57">
        <f t="shared" si="5"/>
        <v>3209.5902140672783</v>
      </c>
      <c r="H57">
        <f t="shared" si="6"/>
        <v>6384.6687054026506</v>
      </c>
    </row>
    <row r="58" spans="1:8" x14ac:dyDescent="0.2">
      <c r="A58" s="42">
        <f>CPT2_2!A46</f>
        <v>8.6</v>
      </c>
      <c r="B58" s="89">
        <f>CPT1_1!E46</f>
        <v>0.93</v>
      </c>
      <c r="C58" s="89">
        <f>CPT2_2!E46</f>
        <v>1.85</v>
      </c>
      <c r="E58" s="89">
        <f t="shared" si="1"/>
        <v>9.480122324159021E-2</v>
      </c>
      <c r="F58" s="89">
        <f t="shared" si="2"/>
        <v>0.18858307849133538</v>
      </c>
      <c r="G58">
        <f t="shared" si="5"/>
        <v>3209.5902140672783</v>
      </c>
      <c r="H58">
        <f t="shared" si="6"/>
        <v>6384.6687054026506</v>
      </c>
    </row>
    <row r="59" spans="1:8" x14ac:dyDescent="0.2">
      <c r="A59" s="42">
        <f>CPT2_2!A47</f>
        <v>8.8000000000000007</v>
      </c>
      <c r="B59" s="89">
        <f>CPT1_1!E47</f>
        <v>0.94</v>
      </c>
      <c r="C59" s="89">
        <f>CPT2_2!E47</f>
        <v>1.85</v>
      </c>
      <c r="E59" s="89">
        <f t="shared" si="1"/>
        <v>9.5820591233435254E-2</v>
      </c>
      <c r="F59" s="89">
        <f t="shared" si="2"/>
        <v>0.18858307849133538</v>
      </c>
      <c r="G59">
        <f t="shared" si="5"/>
        <v>3244.1019367991839</v>
      </c>
      <c r="H59">
        <f t="shared" si="6"/>
        <v>6384.6687054026506</v>
      </c>
    </row>
    <row r="60" spans="1:8" x14ac:dyDescent="0.2">
      <c r="A60" s="42" t="str">
        <f>CPT2_2!A48</f>
        <v>      9,00</v>
      </c>
      <c r="B60" s="89">
        <f>CPT1_1!E48</f>
        <v>0.92</v>
      </c>
      <c r="C60" s="89">
        <f>CPT2_2!E48</f>
        <v>1.85</v>
      </c>
      <c r="E60" s="89">
        <f t="shared" si="1"/>
        <v>9.3781855249745152E-2</v>
      </c>
      <c r="F60" s="89">
        <f t="shared" si="2"/>
        <v>0.18858307849133538</v>
      </c>
      <c r="G60">
        <f t="shared" si="5"/>
        <v>3175.0784913353718</v>
      </c>
      <c r="H60">
        <f t="shared" si="6"/>
        <v>6384.6687054026506</v>
      </c>
    </row>
    <row r="61" spans="1:8" x14ac:dyDescent="0.2">
      <c r="A61" s="90">
        <f>CPT2_2!A49</f>
        <v>9.1999999999999993</v>
      </c>
      <c r="B61" s="91">
        <f>CPT1_1!E49</f>
        <v>0.94</v>
      </c>
      <c r="C61" s="91">
        <f>CPT2_2!E49</f>
        <v>1.85</v>
      </c>
      <c r="D61" s="92"/>
      <c r="E61" s="91">
        <f t="shared" si="1"/>
        <v>9.5820591233435254E-2</v>
      </c>
      <c r="F61" s="91">
        <f t="shared" si="2"/>
        <v>0.18858307849133538</v>
      </c>
    </row>
    <row r="62" spans="1:8" x14ac:dyDescent="0.2">
      <c r="A62" s="42">
        <f>CPT2_2!A50</f>
        <v>9.4</v>
      </c>
      <c r="B62" s="89">
        <f>CPT1_1!E50</f>
        <v>0.95</v>
      </c>
      <c r="C62" s="89">
        <f>CPT2_2!E50</f>
        <v>1.85</v>
      </c>
      <c r="E62" s="89">
        <f t="shared" si="1"/>
        <v>9.6839959225280312E-2</v>
      </c>
      <c r="F62" s="89">
        <f t="shared" si="2"/>
        <v>0.18858307849133538</v>
      </c>
    </row>
    <row r="63" spans="1:8" x14ac:dyDescent="0.2">
      <c r="A63" s="42">
        <f>CPT2_2!A51</f>
        <v>9.6</v>
      </c>
      <c r="B63" s="89">
        <f>CPT1_1!E51</f>
        <v>0.95</v>
      </c>
      <c r="C63" s="89">
        <f>CPT2_2!E51</f>
        <v>1.85</v>
      </c>
      <c r="E63" s="89">
        <f t="shared" si="1"/>
        <v>9.6839959225280312E-2</v>
      </c>
      <c r="F63" s="89">
        <f t="shared" si="2"/>
        <v>0.18858307849133538</v>
      </c>
    </row>
    <row r="64" spans="1:8" x14ac:dyDescent="0.2">
      <c r="A64" s="42">
        <f>CPT2_2!A52</f>
        <v>9.8000000000000007</v>
      </c>
      <c r="B64" s="89"/>
      <c r="C64" s="89">
        <f>CPT2_2!E52</f>
        <v>1.85</v>
      </c>
      <c r="E64" s="89"/>
      <c r="F64" s="89">
        <f t="shared" si="2"/>
        <v>0.18858307849133538</v>
      </c>
    </row>
    <row r="65" spans="1:6" x14ac:dyDescent="0.2">
      <c r="A65" s="42" t="str">
        <f>CPT2_2!A53</f>
        <v>    10,00</v>
      </c>
      <c r="B65" s="89"/>
      <c r="C65" s="89">
        <f>CPT2_2!E53</f>
        <v>1.85</v>
      </c>
      <c r="E65" s="89"/>
      <c r="F65" s="89">
        <f t="shared" si="2"/>
        <v>0.18858307849133538</v>
      </c>
    </row>
    <row r="66" spans="1:6" x14ac:dyDescent="0.2">
      <c r="B66" s="89"/>
      <c r="C66" s="89"/>
    </row>
    <row r="67" spans="1:6" x14ac:dyDescent="0.2">
      <c r="B67" s="89"/>
      <c r="C67" s="89"/>
    </row>
    <row r="68" spans="1:6" x14ac:dyDescent="0.2">
      <c r="B68" s="89"/>
      <c r="C68" s="89"/>
    </row>
    <row r="69" spans="1:6" x14ac:dyDescent="0.2">
      <c r="B69" s="89"/>
      <c r="C69" s="89"/>
    </row>
    <row r="70" spans="1:6" x14ac:dyDescent="0.2">
      <c r="B70" s="89"/>
      <c r="C70" s="89"/>
    </row>
    <row r="71" spans="1:6" x14ac:dyDescent="0.2">
      <c r="B71" s="89"/>
      <c r="C71" s="89"/>
    </row>
    <row r="72" spans="1:6" x14ac:dyDescent="0.2">
      <c r="B72" s="89"/>
      <c r="C72" s="89"/>
    </row>
    <row r="73" spans="1:6" x14ac:dyDescent="0.2">
      <c r="B73" s="89"/>
      <c r="C73" s="89"/>
    </row>
    <row r="74" spans="1:6" x14ac:dyDescent="0.2">
      <c r="B74" s="89"/>
      <c r="C74" s="89"/>
    </row>
    <row r="75" spans="1:6" x14ac:dyDescent="0.2">
      <c r="B75" s="89"/>
      <c r="C75" s="89"/>
    </row>
    <row r="76" spans="1:6" x14ac:dyDescent="0.2">
      <c r="B76" s="89"/>
      <c r="C76" s="89"/>
    </row>
    <row r="77" spans="1:6" x14ac:dyDescent="0.2">
      <c r="B77" s="89"/>
      <c r="C77" s="89"/>
    </row>
    <row r="78" spans="1:6" x14ac:dyDescent="0.2">
      <c r="B78" s="89"/>
      <c r="C78" s="89"/>
    </row>
    <row r="79" spans="1:6" x14ac:dyDescent="0.2">
      <c r="B79" s="89"/>
      <c r="C79" s="89"/>
    </row>
    <row r="80" spans="1:6" x14ac:dyDescent="0.2">
      <c r="B80" s="89"/>
      <c r="C80" s="89"/>
    </row>
    <row r="81" spans="2:3" x14ac:dyDescent="0.2">
      <c r="B81" s="89"/>
      <c r="C81" s="89"/>
    </row>
    <row r="82" spans="2:3" x14ac:dyDescent="0.2">
      <c r="B82" s="89"/>
      <c r="C82" s="89"/>
    </row>
    <row r="83" spans="2:3" x14ac:dyDescent="0.2">
      <c r="B83" s="89"/>
      <c r="C83" s="89"/>
    </row>
    <row r="84" spans="2:3" x14ac:dyDescent="0.2">
      <c r="B84" s="89"/>
      <c r="C84" s="89"/>
    </row>
    <row r="85" spans="2:3" x14ac:dyDescent="0.2">
      <c r="B85" s="89"/>
      <c r="C85" s="89"/>
    </row>
    <row r="86" spans="2:3" x14ac:dyDescent="0.2">
      <c r="B86" s="89"/>
      <c r="C86" s="89"/>
    </row>
    <row r="87" spans="2:3" x14ac:dyDescent="0.2">
      <c r="B87" s="89"/>
      <c r="C87" s="89"/>
    </row>
    <row r="88" spans="2:3" x14ac:dyDescent="0.2">
      <c r="B88" s="89"/>
      <c r="C88" s="89"/>
    </row>
    <row r="89" spans="2:3" x14ac:dyDescent="0.2">
      <c r="B89" s="89"/>
      <c r="C89" s="89"/>
    </row>
    <row r="90" spans="2:3" x14ac:dyDescent="0.2">
      <c r="B90" s="89"/>
      <c r="C90" s="89"/>
    </row>
    <row r="91" spans="2:3" x14ac:dyDescent="0.2">
      <c r="B91" s="89"/>
      <c r="C91" s="89"/>
    </row>
    <row r="92" spans="2:3" x14ac:dyDescent="0.2">
      <c r="B92" s="89"/>
      <c r="C92" s="89"/>
    </row>
    <row r="93" spans="2:3" x14ac:dyDescent="0.2">
      <c r="B93" s="89"/>
      <c r="C93" s="89"/>
    </row>
    <row r="94" spans="2:3" x14ac:dyDescent="0.2">
      <c r="B94" s="89"/>
      <c r="C94" s="89"/>
    </row>
    <row r="95" spans="2:3" x14ac:dyDescent="0.2">
      <c r="B95" s="89"/>
      <c r="C95" s="89"/>
    </row>
    <row r="96" spans="2:3" x14ac:dyDescent="0.2">
      <c r="B96" s="89"/>
      <c r="C96" s="89"/>
    </row>
    <row r="97" spans="2:3" x14ac:dyDescent="0.2">
      <c r="B97" s="89"/>
      <c r="C97" s="89"/>
    </row>
    <row r="98" spans="2:3" x14ac:dyDescent="0.2">
      <c r="B98" s="89"/>
      <c r="C98" s="89"/>
    </row>
    <row r="99" spans="2:3" x14ac:dyDescent="0.2">
      <c r="B99" s="89"/>
      <c r="C99" s="89"/>
    </row>
    <row r="100" spans="2:3" x14ac:dyDescent="0.2">
      <c r="B100" s="89"/>
      <c r="C100" s="89"/>
    </row>
    <row r="101" spans="2:3" x14ac:dyDescent="0.2">
      <c r="B101" s="89"/>
      <c r="C101" s="89"/>
    </row>
    <row r="102" spans="2:3" x14ac:dyDescent="0.2">
      <c r="B102" s="89"/>
      <c r="C102" s="89"/>
    </row>
    <row r="103" spans="2:3" x14ac:dyDescent="0.2">
      <c r="B103" s="89"/>
      <c r="C103" s="89"/>
    </row>
    <row r="104" spans="2:3" x14ac:dyDescent="0.2">
      <c r="B104" s="89"/>
      <c r="C104" s="89"/>
    </row>
    <row r="105" spans="2:3" x14ac:dyDescent="0.2">
      <c r="B105" s="89"/>
      <c r="C105" s="89"/>
    </row>
    <row r="106" spans="2:3" x14ac:dyDescent="0.2">
      <c r="B106" s="89"/>
      <c r="C106" s="89"/>
    </row>
    <row r="107" spans="2:3" x14ac:dyDescent="0.2">
      <c r="B107" s="89"/>
      <c r="C107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CPT1</vt:lpstr>
      <vt:lpstr>CPT2</vt:lpstr>
      <vt:lpstr>CPT1_1</vt:lpstr>
      <vt:lpstr>CPT2_2</vt:lpstr>
      <vt:lpstr>Vs30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domenico gaudioso</cp:lastModifiedBy>
  <dcterms:created xsi:type="dcterms:W3CDTF">2018-05-18T15:43:12Z</dcterms:created>
  <dcterms:modified xsi:type="dcterms:W3CDTF">2018-05-20T15:26:11Z</dcterms:modified>
</cp:coreProperties>
</file>