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3.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domy7\Desktop\Magistrale\Magistrale\PONTI\calcolo travi\calcolo travi\v140\"/>
    </mc:Choice>
  </mc:AlternateContent>
  <xr:revisionPtr revIDLastSave="0" documentId="13_ncr:1_{C6B0E87D-BBCC-4DBB-862F-6152891BBB94}" xr6:coauthVersionLast="45" xr6:coauthVersionMax="45" xr10:uidLastSave="{00000000-0000-0000-0000-000000000000}"/>
  <bookViews>
    <workbookView xWindow="-120" yWindow="-120" windowWidth="20730" windowHeight="11160" firstSheet="2" activeTab="2" xr2:uid="{00000000-000D-0000-FFFF-FFFF00000000}"/>
  </bookViews>
  <sheets>
    <sheet name="Materiali" sheetId="2" r:id="rId1"/>
    <sheet name="Caratteristiche trave V140" sheetId="3" r:id="rId2"/>
    <sheet name="fase 0 " sheetId="1" r:id="rId3"/>
    <sheet name="fase 1 " sheetId="4" r:id="rId4"/>
    <sheet name="fase 2 " sheetId="5" r:id="rId5"/>
    <sheet name="Perdite di tiro " sheetId="7" r:id="rId6"/>
    <sheet name="fase 3" sheetId="6" r:id="rId7"/>
    <sheet name="dominio" sheetId="8" r:id="rId8"/>
    <sheet name="SLU" sheetId="9" r:id="rId9"/>
    <sheet name="verifica connettori" sheetId="10" r:id="rId10"/>
  </sheets>
  <externalReferences>
    <externalReference r:id="rId11"/>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J9" i="9" l="1"/>
  <c r="AJ11" i="9" s="1"/>
  <c r="AJ6" i="9"/>
  <c r="AJ5" i="9"/>
  <c r="AC12" i="9"/>
  <c r="AC17" i="9"/>
  <c r="AC7" i="9"/>
  <c r="T21" i="9"/>
  <c r="T11" i="9"/>
  <c r="AJ18" i="9" s="1"/>
  <c r="T14" i="9"/>
  <c r="AJ13" i="9" l="1"/>
  <c r="AO13" i="9"/>
  <c r="AO14" i="9" s="1"/>
  <c r="AP14" i="9" s="1"/>
  <c r="AJ20" i="9" l="1"/>
  <c r="AJ19" i="9"/>
  <c r="AJ21" i="9" s="1"/>
  <c r="AC22" i="9"/>
  <c r="T15" i="9"/>
  <c r="AC13" i="9"/>
  <c r="AC14" i="9" s="1"/>
  <c r="T13" i="9"/>
  <c r="T9" i="9"/>
  <c r="AC18" i="9" l="1"/>
  <c r="T16" i="9"/>
  <c r="AJ22" i="9"/>
  <c r="AK22" i="9" s="1"/>
  <c r="AJ12" i="9"/>
  <c r="AJ14" i="9" s="1"/>
  <c r="AK14" i="9" s="1"/>
  <c r="N3" i="8" l="1"/>
  <c r="L3" i="8"/>
  <c r="D53" i="3"/>
  <c r="M5" i="9"/>
  <c r="M13" i="9"/>
  <c r="M14" i="9" s="1"/>
  <c r="M15" i="9" s="1"/>
  <c r="M16" i="9" s="1"/>
  <c r="M17" i="9" s="1"/>
  <c r="B4" i="10"/>
  <c r="B2" i="10"/>
  <c r="M18" i="9" l="1"/>
  <c r="B2" i="6"/>
  <c r="B2" i="1"/>
  <c r="M19" i="9" l="1"/>
  <c r="O4" i="2"/>
  <c r="T17" i="9" l="1"/>
  <c r="T18" i="9" s="1"/>
  <c r="B50" i="7"/>
  <c r="B49" i="7"/>
  <c r="B48" i="7"/>
  <c r="AC19" i="9" l="1"/>
  <c r="T24" i="9"/>
  <c r="T23" i="9"/>
  <c r="T22" i="9"/>
  <c r="T25" i="9" s="1"/>
  <c r="T26" i="9" s="1"/>
  <c r="U26" i="9" s="1"/>
  <c r="T19" i="9"/>
  <c r="AC23" i="9" s="1"/>
  <c r="AC9" i="9"/>
  <c r="V18" i="9"/>
  <c r="B3" i="1"/>
  <c r="B3" i="7"/>
  <c r="B6" i="7"/>
  <c r="B2" i="7"/>
  <c r="AC20" i="9" l="1"/>
  <c r="AD20" i="9" s="1"/>
  <c r="AC15" i="9"/>
  <c r="AD15" i="9" s="1"/>
  <c r="AC10" i="9"/>
  <c r="AC24" i="9" s="1"/>
  <c r="AC25" i="9" s="1"/>
  <c r="AD25" i="9" s="1"/>
  <c r="B4" i="4"/>
  <c r="B13" i="3" l="1"/>
  <c r="B53" i="7" s="1"/>
  <c r="B24" i="3"/>
  <c r="B48" i="3" s="1"/>
  <c r="A51" i="3"/>
  <c r="C52" i="3"/>
  <c r="C51" i="3"/>
  <c r="B10" i="10" l="1"/>
  <c r="B12" i="10"/>
  <c r="B8" i="10"/>
  <c r="J26" i="2" l="1"/>
  <c r="G26" i="2"/>
  <c r="B71" i="7" l="1"/>
  <c r="B32" i="3" l="1"/>
  <c r="B39" i="3" s="1"/>
  <c r="B68" i="7" s="1"/>
  <c r="B33" i="3"/>
  <c r="B35" i="3" s="1"/>
  <c r="B34" i="3"/>
  <c r="B42" i="3"/>
  <c r="B44" i="3" s="1"/>
  <c r="B45" i="3"/>
  <c r="B46" i="3"/>
  <c r="B67" i="7" s="1"/>
  <c r="B118" i="7" s="1"/>
  <c r="B47" i="3"/>
  <c r="B64" i="7"/>
  <c r="B69" i="7"/>
  <c r="B9" i="7"/>
  <c r="Q11" i="7"/>
  <c r="Q27" i="7"/>
  <c r="Q26" i="7"/>
  <c r="Q25" i="7"/>
  <c r="Q21" i="7"/>
  <c r="Q20" i="7"/>
  <c r="Q7" i="7"/>
  <c r="Q47" i="7"/>
  <c r="B83" i="7"/>
  <c r="B18" i="7"/>
  <c r="B17" i="7"/>
  <c r="B16" i="7"/>
  <c r="B12" i="7"/>
  <c r="B11" i="7"/>
  <c r="B13" i="7" l="1"/>
  <c r="B19" i="7" s="1"/>
  <c r="B20" i="7" s="1"/>
  <c r="Q22" i="7"/>
  <c r="Q24" i="7" s="1"/>
  <c r="B82" i="7"/>
  <c r="Q28" i="7"/>
  <c r="Q29" i="7" s="1"/>
  <c r="B15" i="7" l="1"/>
  <c r="B21" i="7" s="1"/>
  <c r="B22" i="7" s="1"/>
  <c r="B35" i="7"/>
  <c r="B37" i="7"/>
  <c r="Q30" i="7"/>
  <c r="Q31" i="7" s="1"/>
  <c r="Q44" i="7"/>
  <c r="Q46" i="7"/>
  <c r="Q48" i="7" s="1"/>
  <c r="Q49" i="7" l="1"/>
  <c r="B97" i="7" l="1"/>
  <c r="G46" i="5"/>
  <c r="C29" i="6" s="1"/>
  <c r="E29" i="6" s="1"/>
  <c r="B3" i="5"/>
  <c r="B4" i="5" l="1"/>
  <c r="B105" i="7" s="1"/>
  <c r="K4" i="2" l="1"/>
  <c r="K5" i="2" s="1"/>
  <c r="K6" i="2" l="1"/>
  <c r="K10" i="2" s="1"/>
  <c r="B11" i="10" s="1"/>
  <c r="B13" i="10" s="1"/>
  <c r="Q10" i="7"/>
  <c r="B10" i="5"/>
  <c r="B8" i="5"/>
  <c r="D49" i="5" s="1"/>
  <c r="G49" i="5" s="1"/>
  <c r="C32" i="6" s="1"/>
  <c r="E32" i="6" s="1"/>
  <c r="B9" i="5"/>
  <c r="D52" i="5" s="1"/>
  <c r="K7" i="2"/>
  <c r="B5" i="4"/>
  <c r="B6" i="6" s="1"/>
  <c r="D33" i="6" s="1"/>
  <c r="D34" i="6" s="1"/>
  <c r="Q6" i="1"/>
  <c r="B33" i="4" s="1"/>
  <c r="Q3" i="1"/>
  <c r="B30" i="4" s="1"/>
  <c r="B8" i="6" l="1"/>
  <c r="B9" i="6"/>
  <c r="B7" i="6"/>
  <c r="D35" i="6" s="1"/>
  <c r="J30" i="4"/>
  <c r="O30" i="4" s="1"/>
  <c r="C50" i="5" s="1"/>
  <c r="J33" i="4"/>
  <c r="O33" i="4" s="1"/>
  <c r="C53" i="5" s="1"/>
  <c r="G53" i="5" s="1"/>
  <c r="C36" i="6" s="1"/>
  <c r="E36" i="6" s="1"/>
  <c r="Q45" i="7"/>
  <c r="Q43" i="7"/>
  <c r="Q50" i="7" s="1"/>
  <c r="Q34" i="7"/>
  <c r="D50" i="5"/>
  <c r="K9" i="2"/>
  <c r="K8" i="2"/>
  <c r="B20" i="3"/>
  <c r="B62" i="7" s="1"/>
  <c r="B21" i="3"/>
  <c r="B18" i="3"/>
  <c r="B7" i="3"/>
  <c r="B4" i="7" s="1"/>
  <c r="B10" i="3"/>
  <c r="B9" i="3"/>
  <c r="B5" i="7" s="1"/>
  <c r="B33" i="2"/>
  <c r="B27" i="2"/>
  <c r="B52" i="7" s="1"/>
  <c r="B19" i="2"/>
  <c r="B13" i="2"/>
  <c r="B14" i="2" s="1"/>
  <c r="B4" i="2"/>
  <c r="B5" i="2" s="1"/>
  <c r="B14" i="10" l="1"/>
  <c r="C14" i="10" s="1"/>
  <c r="B65" i="7"/>
  <c r="B25" i="3"/>
  <c r="B54" i="7" s="1"/>
  <c r="B34" i="2"/>
  <c r="B8" i="7"/>
  <c r="G50" i="5"/>
  <c r="C33" i="6" s="1"/>
  <c r="E33" i="6" s="1"/>
  <c r="B7" i="2"/>
  <c r="Q38" i="7"/>
  <c r="Q37" i="7"/>
  <c r="Q41" i="7" s="1"/>
  <c r="Q35" i="7"/>
  <c r="Q39" i="7" s="1"/>
  <c r="Q36" i="7"/>
  <c r="Q40" i="7" s="1"/>
  <c r="B98" i="7"/>
  <c r="B99" i="7" s="1"/>
  <c r="B16" i="2"/>
  <c r="B18" i="2" s="1"/>
  <c r="B8" i="3"/>
  <c r="B19" i="3"/>
  <c r="J6" i="1"/>
  <c r="N6" i="1" s="1"/>
  <c r="R6" i="1" s="1"/>
  <c r="C33" i="4" s="1"/>
  <c r="G33" i="4" s="1"/>
  <c r="J5" i="1"/>
  <c r="N5" i="1" s="1"/>
  <c r="R5" i="1" s="1"/>
  <c r="C32" i="4" s="1"/>
  <c r="G32" i="4" s="1"/>
  <c r="D51" i="5"/>
  <c r="B11" i="3"/>
  <c r="B22" i="3"/>
  <c r="B8" i="4" s="1"/>
  <c r="J32" i="4" s="1"/>
  <c r="B20" i="2"/>
  <c r="B22" i="2" s="1"/>
  <c r="B6" i="2"/>
  <c r="B10" i="2" s="1"/>
  <c r="B38" i="3" s="1"/>
  <c r="B56" i="2"/>
  <c r="B55" i="2"/>
  <c r="B57" i="2"/>
  <c r="B8" i="2"/>
  <c r="B29" i="2"/>
  <c r="B9" i="4" l="1"/>
  <c r="B32" i="2"/>
  <c r="B51" i="7"/>
  <c r="M20" i="9"/>
  <c r="N20" i="9" s="1"/>
  <c r="B100" i="7"/>
  <c r="B101" i="7" s="1"/>
  <c r="B15" i="2"/>
  <c r="B17" i="2"/>
  <c r="B12" i="5"/>
  <c r="B13" i="5" s="1"/>
  <c r="B14" i="5" s="1"/>
  <c r="B36" i="7"/>
  <c r="B38" i="7"/>
  <c r="B39" i="7" s="1"/>
  <c r="B40" i="7" s="1"/>
  <c r="B25" i="7"/>
  <c r="B34" i="7"/>
  <c r="B70" i="7"/>
  <c r="B6" i="5"/>
  <c r="D47" i="5" s="1"/>
  <c r="B4" i="6"/>
  <c r="D30" i="6" s="1"/>
  <c r="B5" i="6"/>
  <c r="D31" i="6" s="1"/>
  <c r="B7" i="5"/>
  <c r="D48" i="5" s="1"/>
  <c r="I5" i="1"/>
  <c r="K33" i="4"/>
  <c r="P33" i="4"/>
  <c r="B53" i="5" s="1"/>
  <c r="B36" i="6" s="1"/>
  <c r="J4" i="1"/>
  <c r="N4" i="1" s="1"/>
  <c r="R4" i="1" s="1"/>
  <c r="C31" i="4" s="1"/>
  <c r="G31" i="4" s="1"/>
  <c r="J3" i="1"/>
  <c r="N3" i="1" s="1"/>
  <c r="R3" i="1" s="1"/>
  <c r="C30" i="4" s="1"/>
  <c r="G30" i="4" s="1"/>
  <c r="B23" i="3"/>
  <c r="K32" i="4"/>
  <c r="P32" i="4"/>
  <c r="B52" i="5" s="1"/>
  <c r="B35" i="6" s="1"/>
  <c r="B9" i="2"/>
  <c r="B103" i="7" l="1"/>
  <c r="B41" i="7"/>
  <c r="B80" i="7" s="1"/>
  <c r="B28" i="7"/>
  <c r="B32" i="7" s="1"/>
  <c r="B26" i="7"/>
  <c r="B30" i="7" s="1"/>
  <c r="B29" i="7"/>
  <c r="B27" i="7"/>
  <c r="B106" i="7" s="1"/>
  <c r="B7" i="4"/>
  <c r="J31" i="4" s="1"/>
  <c r="I4" i="1"/>
  <c r="K30" i="4"/>
  <c r="P30" i="4"/>
  <c r="B50" i="5" s="1"/>
  <c r="K31" i="4"/>
  <c r="P31" i="4"/>
  <c r="B51" i="5" s="1"/>
  <c r="B34" i="6" s="1"/>
  <c r="B102" i="7" l="1"/>
  <c r="B107" i="7"/>
  <c r="B111" i="7" s="1"/>
  <c r="B112" i="7" s="1"/>
  <c r="B21" i="5" s="1"/>
  <c r="B31" i="7"/>
  <c r="B84" i="7"/>
  <c r="B85" i="7" s="1"/>
  <c r="B49" i="5"/>
  <c r="B32" i="6" s="1"/>
  <c r="B33" i="6"/>
  <c r="B48" i="5"/>
  <c r="B46" i="5" l="1"/>
  <c r="B29" i="6" s="1"/>
  <c r="B31" i="6"/>
  <c r="B47" i="5"/>
  <c r="B30" i="6" s="1"/>
  <c r="C53" i="3" l="1"/>
  <c r="B55" i="3" s="1"/>
  <c r="B57" i="3" s="1"/>
  <c r="B14" i="3"/>
  <c r="B40" i="3" s="1"/>
  <c r="B41" i="3" s="1"/>
  <c r="B6" i="1" l="1"/>
  <c r="B22" i="5"/>
  <c r="B18" i="5"/>
  <c r="B19" i="5"/>
  <c r="D19" i="5" s="1"/>
  <c r="B26" i="5"/>
  <c r="B24" i="5"/>
  <c r="B16" i="5"/>
  <c r="B25" i="5"/>
  <c r="B23" i="5"/>
  <c r="B15" i="5"/>
  <c r="B17" i="5"/>
  <c r="B17" i="3"/>
  <c r="F6" i="1" l="1"/>
  <c r="B58" i="7"/>
  <c r="B57" i="7" s="1"/>
  <c r="B59" i="7" s="1"/>
  <c r="B78" i="7" s="1"/>
  <c r="E48" i="5"/>
  <c r="D16" i="5"/>
  <c r="F52" i="5"/>
  <c r="D25" i="5"/>
  <c r="F51" i="5"/>
  <c r="D24" i="5"/>
  <c r="D26" i="5"/>
  <c r="B8" i="1"/>
  <c r="B63" i="7"/>
  <c r="D18" i="5"/>
  <c r="E52" i="5"/>
  <c r="F48" i="5"/>
  <c r="D23" i="5"/>
  <c r="D17" i="5"/>
  <c r="E51" i="5"/>
  <c r="D15" i="5"/>
  <c r="E47" i="5"/>
  <c r="F47" i="5"/>
  <c r="D22" i="5"/>
  <c r="B75" i="7" l="1"/>
  <c r="B76" i="7" s="1"/>
  <c r="B88" i="7" s="1"/>
  <c r="B90" i="7" s="1"/>
  <c r="G47" i="5"/>
  <c r="B29" i="5" s="1"/>
  <c r="G48" i="5"/>
  <c r="B92" i="7" l="1"/>
  <c r="B94" i="7" s="1"/>
  <c r="B13" i="4" s="1"/>
  <c r="C30" i="6"/>
  <c r="E30" i="6" s="1"/>
  <c r="B12" i="6" s="1"/>
  <c r="D12" i="6" s="1"/>
  <c r="G12" i="6" s="1"/>
  <c r="C31" i="6"/>
  <c r="E31" i="6" s="1"/>
  <c r="B14" i="6" s="1"/>
  <c r="B31" i="5"/>
  <c r="D29" i="5"/>
  <c r="B10" i="1"/>
  <c r="B12" i="1" s="1"/>
  <c r="B89" i="7"/>
  <c r="B93" i="7" l="1"/>
  <c r="E29" i="5"/>
  <c r="F29" i="5"/>
  <c r="G29" i="5"/>
  <c r="B18" i="1"/>
  <c r="B21" i="1"/>
  <c r="B14" i="1"/>
  <c r="M4" i="1"/>
  <c r="Q4" i="1" s="1"/>
  <c r="B31" i="4" s="1"/>
  <c r="M5" i="1"/>
  <c r="Q5" i="1" s="1"/>
  <c r="B32" i="4" s="1"/>
  <c r="B16" i="1"/>
  <c r="D31" i="5"/>
  <c r="G31" i="5" s="1"/>
  <c r="F12" i="6"/>
  <c r="E12" i="6"/>
  <c r="B14" i="4"/>
  <c r="B16" i="4"/>
  <c r="D16" i="4" s="1"/>
  <c r="B15" i="4"/>
  <c r="D14" i="6"/>
  <c r="B18" i="4" l="1"/>
  <c r="D14" i="1"/>
  <c r="F32" i="4"/>
  <c r="O32" i="4" s="1"/>
  <c r="C52" i="5" s="1"/>
  <c r="G52" i="5" s="1"/>
  <c r="D15" i="4"/>
  <c r="B25" i="4"/>
  <c r="G21" i="1"/>
  <c r="F21" i="1"/>
  <c r="F14" i="6"/>
  <c r="E14" i="6"/>
  <c r="F31" i="5"/>
  <c r="E31" i="5"/>
  <c r="F31" i="4"/>
  <c r="O31" i="4" s="1"/>
  <c r="C51" i="5" s="1"/>
  <c r="G51" i="5" s="1"/>
  <c r="D14" i="4"/>
  <c r="D18" i="1"/>
  <c r="F18" i="1" s="1"/>
  <c r="B22" i="4"/>
  <c r="G14" i="6"/>
  <c r="B20" i="4"/>
  <c r="D16" i="1"/>
  <c r="F16" i="1" s="1"/>
  <c r="G18" i="1" l="1"/>
  <c r="C34" i="6"/>
  <c r="E34" i="6" s="1"/>
  <c r="B16" i="6" s="1"/>
  <c r="B33" i="5"/>
  <c r="B35" i="5"/>
  <c r="C35" i="6"/>
  <c r="E35" i="6" s="1"/>
  <c r="B18" i="6" s="1"/>
  <c r="E25" i="4"/>
  <c r="G25" i="4"/>
  <c r="B38" i="5"/>
  <c r="D20" i="4"/>
  <c r="G20" i="4" s="1"/>
  <c r="E14" i="1"/>
  <c r="F14" i="1"/>
  <c r="G14" i="1"/>
  <c r="D22" i="4"/>
  <c r="G22" i="4" s="1"/>
  <c r="D18" i="4"/>
  <c r="G16" i="1"/>
  <c r="E38" i="5" l="1"/>
  <c r="G38" i="5"/>
  <c r="B21" i="6"/>
  <c r="D35" i="5"/>
  <c r="G35" i="5" s="1"/>
  <c r="E18" i="4"/>
  <c r="F18" i="4"/>
  <c r="D33" i="5"/>
  <c r="G33" i="5" s="1"/>
  <c r="G18" i="4"/>
  <c r="F22" i="4"/>
  <c r="E22" i="4"/>
  <c r="D18" i="6"/>
  <c r="G18" i="6" s="1"/>
  <c r="F20" i="4"/>
  <c r="E20" i="4"/>
  <c r="D16" i="6"/>
  <c r="E18" i="6" l="1"/>
  <c r="F18" i="6"/>
  <c r="E35" i="5"/>
  <c r="F35" i="5"/>
  <c r="B24" i="6"/>
  <c r="E21" i="6"/>
  <c r="G21" i="6"/>
  <c r="F16" i="6"/>
  <c r="E16" i="6"/>
  <c r="G16" i="6"/>
  <c r="E33" i="5"/>
  <c r="F33" i="5"/>
  <c r="E24" i="6" l="1"/>
  <c r="G24" i="6"/>
</calcChain>
</file>

<file path=xl/sharedStrings.xml><?xml version="1.0" encoding="utf-8"?>
<sst xmlns="http://schemas.openxmlformats.org/spreadsheetml/2006/main" count="1094" uniqueCount="555">
  <si>
    <t>KN/m</t>
  </si>
  <si>
    <t>L</t>
  </si>
  <si>
    <t>m</t>
  </si>
  <si>
    <t>KNm</t>
  </si>
  <si>
    <r>
      <t>N/mm</t>
    </r>
    <r>
      <rPr>
        <vertAlign val="superscript"/>
        <sz val="11"/>
        <color theme="1"/>
        <rFont val="Calibri"/>
        <family val="2"/>
        <scheme val="minor"/>
      </rPr>
      <t>2</t>
    </r>
  </si>
  <si>
    <t>mm</t>
  </si>
  <si>
    <t>KN</t>
  </si>
  <si>
    <r>
      <t>mm</t>
    </r>
    <r>
      <rPr>
        <vertAlign val="superscript"/>
        <sz val="11"/>
        <color theme="1"/>
        <rFont val="Calibri"/>
        <family val="2"/>
        <scheme val="minor"/>
      </rPr>
      <t>2</t>
    </r>
  </si>
  <si>
    <t>ϭc,max</t>
  </si>
  <si>
    <t>tensione massima comp. Del cls</t>
  </si>
  <si>
    <t>ϭs,max</t>
  </si>
  <si>
    <t>TENSIONE LIMITE IN ESERCIZIO</t>
  </si>
  <si>
    <t xml:space="preserve">tensione limite acciaio armatura pre -tesa </t>
  </si>
  <si>
    <t>Rara</t>
  </si>
  <si>
    <t>Quasi permanente</t>
  </si>
  <si>
    <t>Tensione massima armatura ordinaria</t>
  </si>
  <si>
    <t>Resistenza a trazione cls</t>
  </si>
  <si>
    <t>Resistenza a trazione per flessione</t>
  </si>
  <si>
    <t>Resistenza a trazione prima delle fessure</t>
  </si>
  <si>
    <r>
      <t>R</t>
    </r>
    <r>
      <rPr>
        <vertAlign val="subscript"/>
        <sz val="11"/>
        <color theme="1"/>
        <rFont val="Calibri"/>
        <family val="2"/>
        <scheme val="minor"/>
      </rPr>
      <t>ck</t>
    </r>
  </si>
  <si>
    <r>
      <t>f</t>
    </r>
    <r>
      <rPr>
        <vertAlign val="subscript"/>
        <sz val="11"/>
        <color theme="1"/>
        <rFont val="Calibri"/>
        <family val="2"/>
        <scheme val="minor"/>
      </rPr>
      <t>ck</t>
    </r>
  </si>
  <si>
    <r>
      <t>f</t>
    </r>
    <r>
      <rPr>
        <vertAlign val="subscript"/>
        <sz val="11"/>
        <color theme="1"/>
        <rFont val="Calibri"/>
        <family val="2"/>
        <scheme val="minor"/>
      </rPr>
      <t>cm</t>
    </r>
  </si>
  <si>
    <r>
      <t>f</t>
    </r>
    <r>
      <rPr>
        <vertAlign val="subscript"/>
        <sz val="11"/>
        <color theme="1"/>
        <rFont val="Calibri"/>
        <family val="2"/>
        <scheme val="minor"/>
      </rPr>
      <t>ctm</t>
    </r>
  </si>
  <si>
    <r>
      <t>f</t>
    </r>
    <r>
      <rPr>
        <vertAlign val="subscript"/>
        <sz val="11"/>
        <color theme="1"/>
        <rFont val="Calibri"/>
        <family val="2"/>
        <scheme val="minor"/>
      </rPr>
      <t>cfm</t>
    </r>
  </si>
  <si>
    <r>
      <t>ϭ</t>
    </r>
    <r>
      <rPr>
        <vertAlign val="subscript"/>
        <sz val="11"/>
        <color theme="1"/>
        <rFont val="Calibri"/>
        <family val="2"/>
        <scheme val="minor"/>
      </rPr>
      <t>ct</t>
    </r>
  </si>
  <si>
    <t>Calcestruzzo travi  C45/55</t>
  </si>
  <si>
    <r>
      <t>E</t>
    </r>
    <r>
      <rPr>
        <vertAlign val="subscript"/>
        <sz val="11"/>
        <color theme="1"/>
        <rFont val="Calibri"/>
        <family val="2"/>
        <scheme val="minor"/>
      </rPr>
      <t>cm</t>
    </r>
  </si>
  <si>
    <t>Caratteristiche cls al trasferimento della precompressione</t>
  </si>
  <si>
    <t>t</t>
  </si>
  <si>
    <t>giorni</t>
  </si>
  <si>
    <t>momento di trasferimento della precompressione</t>
  </si>
  <si>
    <r>
      <t>f</t>
    </r>
    <r>
      <rPr>
        <vertAlign val="subscript"/>
        <sz val="11"/>
        <color theme="1"/>
        <rFont val="Calibri"/>
        <family val="2"/>
        <scheme val="minor"/>
      </rPr>
      <t>cm</t>
    </r>
    <r>
      <rPr>
        <sz val="11"/>
        <color theme="1"/>
        <rFont val="Calibri"/>
        <family val="2"/>
        <scheme val="minor"/>
      </rPr>
      <t>(t)</t>
    </r>
  </si>
  <si>
    <r>
      <rPr>
        <sz val="11"/>
        <color theme="1"/>
        <rFont val="Calibri"/>
        <family val="2"/>
        <scheme val="minor"/>
      </rPr>
      <t>β</t>
    </r>
    <r>
      <rPr>
        <vertAlign val="subscript"/>
        <sz val="11"/>
        <color theme="1"/>
        <rFont val="Calibri"/>
        <family val="2"/>
        <scheme val="minor"/>
      </rPr>
      <t>cc</t>
    </r>
  </si>
  <si>
    <r>
      <t>f</t>
    </r>
    <r>
      <rPr>
        <vertAlign val="subscript"/>
        <sz val="11"/>
        <color theme="1"/>
        <rFont val="Calibri"/>
        <family val="2"/>
        <scheme val="minor"/>
      </rPr>
      <t>ck</t>
    </r>
    <r>
      <rPr>
        <sz val="11"/>
        <color theme="1"/>
        <rFont val="Calibri"/>
        <family val="2"/>
        <scheme val="minor"/>
      </rPr>
      <t>(t)</t>
    </r>
  </si>
  <si>
    <t>0.7 fck(t)</t>
  </si>
  <si>
    <t>0.6 fck(t)</t>
  </si>
  <si>
    <t>s</t>
  </si>
  <si>
    <r>
      <t>f</t>
    </r>
    <r>
      <rPr>
        <vertAlign val="subscript"/>
        <sz val="11"/>
        <color theme="1"/>
        <rFont val="Calibri"/>
        <family val="2"/>
        <scheme val="minor"/>
      </rPr>
      <t>ctm</t>
    </r>
    <r>
      <rPr>
        <sz val="11"/>
        <color theme="1"/>
        <rFont val="Calibri"/>
        <family val="2"/>
        <scheme val="minor"/>
      </rPr>
      <t>(t)</t>
    </r>
  </si>
  <si>
    <t>k</t>
  </si>
  <si>
    <r>
      <t>f</t>
    </r>
    <r>
      <rPr>
        <vertAlign val="subscript"/>
        <sz val="11"/>
        <color theme="1"/>
        <rFont val="Calibri"/>
        <family val="2"/>
        <scheme val="minor"/>
      </rPr>
      <t>ctm</t>
    </r>
    <r>
      <rPr>
        <sz val="11"/>
        <color theme="1"/>
        <rFont val="Calibri"/>
        <family val="2"/>
        <scheme val="minor"/>
      </rPr>
      <t>(t) k</t>
    </r>
  </si>
  <si>
    <t>valore limite della tensione di esercizio a cadute avvenute  della precompressione ( p. 4.1.8.1.4 )</t>
  </si>
  <si>
    <t>valore limite della tensione all'atto della precompressione ( p. 4.1.8.1.3 )</t>
  </si>
  <si>
    <t>valore di riduzione della resistenza a trazione del cls per le verifiche del conglomerato</t>
  </si>
  <si>
    <t>α</t>
  </si>
  <si>
    <t>coefficiente d'invecchiamento del calcestruzzo</t>
  </si>
  <si>
    <t>Limiti tensioni massime iniziali all'atto della tesaturaE</t>
  </si>
  <si>
    <t>ϭs,pi = 0.9 fpk</t>
  </si>
  <si>
    <t>ϭs,pi = 0.8 fp0k</t>
  </si>
  <si>
    <t>* si prende la condizione più restrittiva</t>
  </si>
  <si>
    <t>trefolo a sette fili ( classe 2 )</t>
  </si>
  <si>
    <t>Tensione massima compressione cls</t>
  </si>
  <si>
    <t>Caratteristeche dei materiali</t>
  </si>
  <si>
    <r>
      <t>f</t>
    </r>
    <r>
      <rPr>
        <vertAlign val="subscript"/>
        <sz val="11"/>
        <color theme="1"/>
        <rFont val="Calibri"/>
        <family val="2"/>
        <scheme val="minor"/>
      </rPr>
      <t>pk</t>
    </r>
  </si>
  <si>
    <r>
      <t>f</t>
    </r>
    <r>
      <rPr>
        <vertAlign val="subscript"/>
        <sz val="11"/>
        <color theme="1"/>
        <rFont val="Calibri"/>
        <family val="2"/>
        <scheme val="minor"/>
      </rPr>
      <t>p01,k</t>
    </r>
  </si>
  <si>
    <r>
      <t>E</t>
    </r>
    <r>
      <rPr>
        <vertAlign val="subscript"/>
        <sz val="11"/>
        <color theme="1"/>
        <rFont val="Calibri"/>
        <family val="2"/>
        <scheme val="minor"/>
      </rPr>
      <t>p</t>
    </r>
  </si>
  <si>
    <r>
      <t>A</t>
    </r>
    <r>
      <rPr>
        <vertAlign val="subscript"/>
        <sz val="11"/>
        <color theme="1"/>
        <rFont val="Calibri"/>
        <family val="2"/>
        <scheme val="minor"/>
      </rPr>
      <t>nom</t>
    </r>
  </si>
  <si>
    <t>Area nominale</t>
  </si>
  <si>
    <r>
      <rPr>
        <sz val="11"/>
        <color theme="1"/>
        <rFont val="Calibri"/>
        <family val="2"/>
      </rPr>
      <t>Φ</t>
    </r>
    <r>
      <rPr>
        <vertAlign val="subscript"/>
        <sz val="11"/>
        <color theme="1"/>
        <rFont val="Calibri"/>
        <family val="2"/>
      </rPr>
      <t>n</t>
    </r>
  </si>
  <si>
    <t>Diametro nominale</t>
  </si>
  <si>
    <t>Modulo elastico</t>
  </si>
  <si>
    <t>Caratteristiche trave</t>
  </si>
  <si>
    <t>n</t>
  </si>
  <si>
    <t>Caratteristiche statiche sezione solo calcestruzzo</t>
  </si>
  <si>
    <t xml:space="preserve"> </t>
  </si>
  <si>
    <t>Area totale trefoli</t>
  </si>
  <si>
    <t>mm4</t>
  </si>
  <si>
    <t>Momento d'inerzia baricentrico in direzione x</t>
  </si>
  <si>
    <t>Momento d'inerzia baricentrico in direzione y</t>
  </si>
  <si>
    <t>xG</t>
  </si>
  <si>
    <t>yG</t>
  </si>
  <si>
    <t>H - yG</t>
  </si>
  <si>
    <t>Armatura sezione</t>
  </si>
  <si>
    <t>Caratteristiche sezione omogenizzata interamente reagente</t>
  </si>
  <si>
    <r>
      <t>H</t>
    </r>
    <r>
      <rPr>
        <vertAlign val="subscript"/>
        <sz val="11"/>
        <color theme="1"/>
        <rFont val="Calibri"/>
        <family val="2"/>
        <scheme val="minor"/>
      </rPr>
      <t>sez</t>
    </r>
  </si>
  <si>
    <r>
      <t>A</t>
    </r>
    <r>
      <rPr>
        <vertAlign val="subscript"/>
        <sz val="11"/>
        <color theme="1"/>
        <rFont val="Calibri"/>
        <family val="2"/>
        <scheme val="minor"/>
      </rPr>
      <t>cls</t>
    </r>
  </si>
  <si>
    <r>
      <t>I</t>
    </r>
    <r>
      <rPr>
        <vertAlign val="subscript"/>
        <sz val="11"/>
        <color theme="1"/>
        <rFont val="Calibri"/>
        <family val="2"/>
        <scheme val="minor"/>
      </rPr>
      <t>xg</t>
    </r>
  </si>
  <si>
    <r>
      <t>I</t>
    </r>
    <r>
      <rPr>
        <vertAlign val="subscript"/>
        <sz val="11"/>
        <color theme="1"/>
        <rFont val="Calibri"/>
        <family val="2"/>
        <scheme val="minor"/>
      </rPr>
      <t>yg</t>
    </r>
  </si>
  <si>
    <r>
      <t>n</t>
    </r>
    <r>
      <rPr>
        <vertAlign val="subscript"/>
        <sz val="11"/>
        <color theme="1"/>
        <rFont val="Calibri"/>
        <family val="2"/>
        <scheme val="minor"/>
      </rPr>
      <t>tref</t>
    </r>
  </si>
  <si>
    <r>
      <t>A</t>
    </r>
    <r>
      <rPr>
        <vertAlign val="subscript"/>
        <sz val="11"/>
        <color theme="1"/>
        <rFont val="Calibri"/>
        <family val="2"/>
        <scheme val="minor"/>
      </rPr>
      <t>tref</t>
    </r>
  </si>
  <si>
    <r>
      <t>A</t>
    </r>
    <r>
      <rPr>
        <vertAlign val="subscript"/>
        <sz val="11"/>
        <color theme="1"/>
        <rFont val="Calibri"/>
        <family val="2"/>
        <scheme val="minor"/>
      </rPr>
      <t>tot</t>
    </r>
  </si>
  <si>
    <t>coefficiente omogenizzazione</t>
  </si>
  <si>
    <r>
      <t>mm</t>
    </r>
    <r>
      <rPr>
        <vertAlign val="superscript"/>
        <sz val="11"/>
        <color theme="1"/>
        <rFont val="Calibri"/>
        <family val="2"/>
        <scheme val="minor"/>
      </rPr>
      <t>4</t>
    </r>
  </si>
  <si>
    <r>
      <t>Area totale = A</t>
    </r>
    <r>
      <rPr>
        <vertAlign val="subscript"/>
        <sz val="11"/>
        <color theme="1"/>
        <rFont val="Calibri"/>
        <family val="2"/>
        <scheme val="minor"/>
      </rPr>
      <t xml:space="preserve">cls </t>
    </r>
    <r>
      <rPr>
        <sz val="11"/>
        <color theme="1"/>
        <rFont val="Calibri"/>
        <family val="2"/>
        <scheme val="minor"/>
      </rPr>
      <t>+ n*A</t>
    </r>
    <r>
      <rPr>
        <vertAlign val="subscript"/>
        <sz val="11"/>
        <color theme="1"/>
        <rFont val="Calibri"/>
        <family val="2"/>
        <scheme val="minor"/>
      </rPr>
      <t>tref</t>
    </r>
  </si>
  <si>
    <r>
      <t>W</t>
    </r>
    <r>
      <rPr>
        <vertAlign val="subscript"/>
        <sz val="11"/>
        <color theme="1"/>
        <rFont val="Calibri"/>
        <family val="2"/>
        <scheme val="minor"/>
      </rPr>
      <t>x</t>
    </r>
  </si>
  <si>
    <r>
      <t>mm</t>
    </r>
    <r>
      <rPr>
        <vertAlign val="superscript"/>
        <sz val="11"/>
        <color theme="1"/>
        <rFont val="Calibri"/>
        <family val="2"/>
        <scheme val="minor"/>
      </rPr>
      <t>3</t>
    </r>
  </si>
  <si>
    <t>Modulo di resistenza elastico</t>
  </si>
  <si>
    <t>e</t>
  </si>
  <si>
    <t>eccentricità tra il punto di applicazione del tiro e il baricentro della sezione</t>
  </si>
  <si>
    <r>
      <t>y</t>
    </r>
    <r>
      <rPr>
        <vertAlign val="subscript"/>
        <sz val="11"/>
        <color theme="1"/>
        <rFont val="Calibri"/>
        <family val="2"/>
        <scheme val="minor"/>
      </rPr>
      <t>p</t>
    </r>
  </si>
  <si>
    <t>punto di applicazione dello sforzo normale</t>
  </si>
  <si>
    <t>Luce trave</t>
  </si>
  <si>
    <t>Momento massimo dovuto al peso proprio della trave</t>
  </si>
  <si>
    <t>Tiro iniziale</t>
  </si>
  <si>
    <r>
      <t>G1</t>
    </r>
    <r>
      <rPr>
        <vertAlign val="subscript"/>
        <sz val="11"/>
        <color theme="1"/>
        <rFont val="Calibri"/>
        <family val="2"/>
        <scheme val="minor"/>
      </rPr>
      <t>(trave+ traversi)</t>
    </r>
  </si>
  <si>
    <r>
      <t>N</t>
    </r>
    <r>
      <rPr>
        <vertAlign val="subscript"/>
        <sz val="11"/>
        <color theme="1"/>
        <rFont val="Calibri"/>
        <family val="2"/>
        <scheme val="minor"/>
      </rPr>
      <t>p</t>
    </r>
    <r>
      <rPr>
        <vertAlign val="superscript"/>
        <sz val="11"/>
        <color theme="1"/>
        <rFont val="Calibri"/>
        <family val="2"/>
        <scheme val="minor"/>
      </rPr>
      <t>0</t>
    </r>
  </si>
  <si>
    <t>ϭpi</t>
  </si>
  <si>
    <t xml:space="preserve"> Tensione trefoli</t>
  </si>
  <si>
    <t>Tesnsione cls a livello del cavo al tiro</t>
  </si>
  <si>
    <t>ϭcc</t>
  </si>
  <si>
    <t>Perdite di tensione istantane</t>
  </si>
  <si>
    <t>ΔNi</t>
  </si>
  <si>
    <r>
      <t>N</t>
    </r>
    <r>
      <rPr>
        <vertAlign val="subscript"/>
        <sz val="11"/>
        <color theme="1"/>
        <rFont val="Calibri"/>
        <family val="2"/>
        <scheme val="minor"/>
      </rPr>
      <t>p</t>
    </r>
    <r>
      <rPr>
        <vertAlign val="superscript"/>
        <sz val="11"/>
        <color theme="1"/>
        <rFont val="Calibri"/>
        <family val="2"/>
        <scheme val="minor"/>
      </rPr>
      <t>0</t>
    </r>
    <r>
      <rPr>
        <sz val="11"/>
        <color theme="1"/>
        <rFont val="Calibri"/>
        <family val="2"/>
        <scheme val="minor"/>
      </rPr>
      <t xml:space="preserve"> - Δni</t>
    </r>
  </si>
  <si>
    <t>Precompressione dopo le perdite di tensione dovute alla deformazione istantanea del cls</t>
  </si>
  <si>
    <r>
      <t>Mg</t>
    </r>
    <r>
      <rPr>
        <vertAlign val="superscript"/>
        <sz val="11"/>
        <color theme="1"/>
        <rFont val="Calibri"/>
        <family val="2"/>
        <scheme val="minor"/>
      </rPr>
      <t>+</t>
    </r>
  </si>
  <si>
    <t>Tesnsione cls a lembo superiore</t>
  </si>
  <si>
    <r>
      <t>W</t>
    </r>
    <r>
      <rPr>
        <vertAlign val="subscript"/>
        <sz val="11"/>
        <color theme="1"/>
        <rFont val="Calibri"/>
        <family val="2"/>
        <scheme val="minor"/>
      </rPr>
      <t>x</t>
    </r>
    <r>
      <rPr>
        <sz val="11"/>
        <color theme="1"/>
        <rFont val="Calibri"/>
        <family val="2"/>
        <scheme val="minor"/>
      </rPr>
      <t>, inf</t>
    </r>
  </si>
  <si>
    <r>
      <t>W</t>
    </r>
    <r>
      <rPr>
        <vertAlign val="subscript"/>
        <sz val="11"/>
        <color theme="1"/>
        <rFont val="Calibri"/>
        <family val="2"/>
        <scheme val="minor"/>
      </rPr>
      <t>x</t>
    </r>
    <r>
      <rPr>
        <sz val="11"/>
        <color theme="1"/>
        <rFont val="Calibri"/>
        <family val="2"/>
        <scheme val="minor"/>
      </rPr>
      <t>, sup</t>
    </r>
  </si>
  <si>
    <t>Tesnsione cls a lembo inferiore</t>
  </si>
  <si>
    <t>ϭcc,inf</t>
  </si>
  <si>
    <t>ϭcc,sup</t>
  </si>
  <si>
    <t>Y</t>
  </si>
  <si>
    <t>X</t>
  </si>
  <si>
    <t>Peso Proprio fase 0</t>
  </si>
  <si>
    <t>Precompressione  fase 0</t>
  </si>
  <si>
    <t>ϭ &lt; 0.7 fctk (t)</t>
  </si>
  <si>
    <t>ϭs &lt; min ( 0.9 fpk, 0.8 fp0k)</t>
  </si>
  <si>
    <t xml:space="preserve">Tensione cls a livello del cavo </t>
  </si>
  <si>
    <t xml:space="preserve">Tensione cls nel cavo </t>
  </si>
  <si>
    <t>Tensioni del cavo dopo le cadute di tensione dovute al peso proprio</t>
  </si>
  <si>
    <r>
      <t>ϭcc</t>
    </r>
    <r>
      <rPr>
        <vertAlign val="superscript"/>
        <sz val="11"/>
        <color theme="1"/>
        <rFont val="Calibri"/>
        <family val="2"/>
        <scheme val="minor"/>
      </rPr>
      <t>0</t>
    </r>
  </si>
  <si>
    <r>
      <t>ϭsp</t>
    </r>
    <r>
      <rPr>
        <vertAlign val="superscript"/>
        <sz val="11"/>
        <color theme="1"/>
        <rFont val="Calibri"/>
        <family val="2"/>
        <scheme val="minor"/>
      </rPr>
      <t>0</t>
    </r>
  </si>
  <si>
    <t>GETTO IN OPERA DELLA SOLETTA : fase 1</t>
  </si>
  <si>
    <t>(Sezione resistente  formata dalla sola trave, soletta considerata solo come carico )</t>
  </si>
  <si>
    <t>Sollecitazioni al getto della soletta</t>
  </si>
  <si>
    <t>momento massimo sollecitante dovuto al solo peso proprio della soletta</t>
  </si>
  <si>
    <r>
      <t>M</t>
    </r>
    <r>
      <rPr>
        <vertAlign val="subscript"/>
        <sz val="11"/>
        <color theme="1"/>
        <rFont val="Calibri"/>
        <family val="2"/>
        <scheme val="minor"/>
      </rPr>
      <t>max</t>
    </r>
  </si>
  <si>
    <r>
      <t>G</t>
    </r>
    <r>
      <rPr>
        <vertAlign val="subscript"/>
        <sz val="11"/>
        <color theme="1"/>
        <rFont val="Calibri"/>
        <family val="2"/>
        <scheme val="minor"/>
      </rPr>
      <t>soletta</t>
    </r>
  </si>
  <si>
    <r>
      <t>Variazioni di tensione dovute a M</t>
    </r>
    <r>
      <rPr>
        <vertAlign val="subscript"/>
        <sz val="11"/>
        <color theme="1"/>
        <rFont val="Calibri"/>
        <family val="2"/>
        <scheme val="minor"/>
      </rPr>
      <t>max</t>
    </r>
  </si>
  <si>
    <t>Variazione di tensione nel cls al lembo superiore</t>
  </si>
  <si>
    <t>Variazione di tensione nel cls al lembo inferiore</t>
  </si>
  <si>
    <t>variazione di tensione nel cls al livello del baricentro dei cavi</t>
  </si>
  <si>
    <t>A favore di sicurezza si è considerato che il getto della soletta avvenga dopo molto tempo rispetto al tiro delle travi in precompresso, in modo da poter considerare, in questa fase tutte le perdite di tensione lente riguardo la precompressione.</t>
  </si>
  <si>
    <r>
      <t>Δϭcc</t>
    </r>
    <r>
      <rPr>
        <vertAlign val="superscript"/>
        <sz val="11"/>
        <color theme="1"/>
        <rFont val="Calibri"/>
        <family val="2"/>
      </rPr>
      <t>1</t>
    </r>
  </si>
  <si>
    <r>
      <t>Δϭc</t>
    </r>
    <r>
      <rPr>
        <vertAlign val="superscript"/>
        <sz val="11"/>
        <color theme="1"/>
        <rFont val="Calibri"/>
        <family val="2"/>
      </rPr>
      <t>1</t>
    </r>
  </si>
  <si>
    <t>Variazioni di tensione dovute alle perdite di precompressione</t>
  </si>
  <si>
    <t>ΔNt</t>
  </si>
  <si>
    <t>Perdita totale di precompressione</t>
  </si>
  <si>
    <t>Tensione cls lembo superiore</t>
  </si>
  <si>
    <r>
      <t>Δϭcs</t>
    </r>
    <r>
      <rPr>
        <vertAlign val="superscript"/>
        <sz val="11"/>
        <color theme="1"/>
        <rFont val="Calibri"/>
        <family val="2"/>
      </rPr>
      <t>1</t>
    </r>
  </si>
  <si>
    <r>
      <t>Δϭci</t>
    </r>
    <r>
      <rPr>
        <vertAlign val="superscript"/>
        <sz val="11"/>
        <color theme="1"/>
        <rFont val="Calibri"/>
        <family val="2"/>
      </rPr>
      <t>1</t>
    </r>
  </si>
  <si>
    <t>Tensione cls lembo inferiore</t>
  </si>
  <si>
    <t>ϭci1</t>
  </si>
  <si>
    <t>ϭcs1</t>
  </si>
  <si>
    <t>Tensione cls al livello del cavo</t>
  </si>
  <si>
    <t>ϭct1</t>
  </si>
  <si>
    <t>Tensione nel cavo</t>
  </si>
  <si>
    <t>Tensione nel cavo dopo le perdite in fase 1 e le cadute di tensione al peso della soletta</t>
  </si>
  <si>
    <t>ϭsp1</t>
  </si>
  <si>
    <t>Tensioni cls fase 0</t>
  </si>
  <si>
    <t>Perdite  fase 1</t>
  </si>
  <si>
    <t>Peso soletta fase 1</t>
  </si>
  <si>
    <t>Calcestruzzo soletta  C35/45</t>
  </si>
  <si>
    <t>SOLETTA COLLABORANTE : fase 2</t>
  </si>
  <si>
    <t>Caratteristiche soletta</t>
  </si>
  <si>
    <t>B</t>
  </si>
  <si>
    <t>larghezza soletta</t>
  </si>
  <si>
    <t>spessore soletta</t>
  </si>
  <si>
    <t>As,sup</t>
  </si>
  <si>
    <t>As,inf</t>
  </si>
  <si>
    <t>Φ</t>
  </si>
  <si>
    <t>diametro armature soletta</t>
  </si>
  <si>
    <t>area armatura superiore</t>
  </si>
  <si>
    <t>area armatura inferiore</t>
  </si>
  <si>
    <t>Caratteristiche sezione omogenizzata</t>
  </si>
  <si>
    <t>n2</t>
  </si>
  <si>
    <t>coefficiente omogenizzazione (rapporto tra i due moduli elastici, soletta e CAP)</t>
  </si>
  <si>
    <r>
      <t>A</t>
    </r>
    <r>
      <rPr>
        <vertAlign val="subscript"/>
        <sz val="11"/>
        <color theme="1"/>
        <rFont val="Calibri"/>
        <family val="2"/>
        <scheme val="minor"/>
      </rPr>
      <t>soletta</t>
    </r>
  </si>
  <si>
    <t>Area cls soletta</t>
  </si>
  <si>
    <t>Acls</t>
  </si>
  <si>
    <t>Area cls soletta + trave</t>
  </si>
  <si>
    <t>coefficiente omogenizzazione (rapporto tra i due moduli elastici, trefolo e CAP)</t>
  </si>
  <si>
    <t>Hsez</t>
  </si>
  <si>
    <t>H- yG</t>
  </si>
  <si>
    <r>
      <t>J</t>
    </r>
    <r>
      <rPr>
        <vertAlign val="subscript"/>
        <sz val="11"/>
        <color theme="1"/>
        <rFont val="Calibri"/>
        <family val="2"/>
        <scheme val="minor"/>
      </rPr>
      <t>XG</t>
    </r>
  </si>
  <si>
    <r>
      <t>J</t>
    </r>
    <r>
      <rPr>
        <vertAlign val="subscript"/>
        <sz val="11"/>
        <color theme="1"/>
        <rFont val="Calibri"/>
        <family val="2"/>
        <scheme val="minor"/>
      </rPr>
      <t>YG</t>
    </r>
  </si>
  <si>
    <r>
      <t>A</t>
    </r>
    <r>
      <rPr>
        <vertAlign val="subscript"/>
        <sz val="11"/>
        <color theme="1"/>
        <rFont val="Calibri"/>
        <family val="2"/>
        <scheme val="minor"/>
      </rPr>
      <t>tr</t>
    </r>
  </si>
  <si>
    <t>eccentricità tra il punto di applicazione della precompressione e il baricentro</t>
  </si>
  <si>
    <t>Momento d'inerzia in direzione X</t>
  </si>
  <si>
    <t>Momento d'inerzia in direzione Y</t>
  </si>
  <si>
    <t>Baricentro sezione partendo dal basso</t>
  </si>
  <si>
    <t>Altezza totale della sezione</t>
  </si>
  <si>
    <t>Area totale sezione Atot = Acp + n2*Ac +n*Atr</t>
  </si>
  <si>
    <t>Area trefolo</t>
  </si>
  <si>
    <t>posizione lembo superiore soletta rispetto albaricentro</t>
  </si>
  <si>
    <t>Htrav -yG</t>
  </si>
  <si>
    <t>posizione lembo inferiore soletta rispetto albaricentro</t>
  </si>
  <si>
    <t>g2 trave interna</t>
  </si>
  <si>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2</t>
    </r>
  </si>
  <si>
    <t>Calcolo sollecitazione</t>
  </si>
  <si>
    <t>Momento massimo in mezzeria della trave più caricata</t>
  </si>
  <si>
    <t>Variazioni di tensione dovute a Mmax</t>
  </si>
  <si>
    <r>
      <t>Δ</t>
    </r>
    <r>
      <rPr>
        <sz val="11"/>
        <color theme="1"/>
        <rFont val="Calibri"/>
        <family val="2"/>
      </rPr>
      <t>ϭ</t>
    </r>
    <r>
      <rPr>
        <sz val="11"/>
        <color theme="1"/>
        <rFont val="Calibri"/>
        <family val="2"/>
        <scheme val="minor"/>
      </rPr>
      <t>cs,soletta</t>
    </r>
  </si>
  <si>
    <r>
      <t>Δ</t>
    </r>
    <r>
      <rPr>
        <sz val="11"/>
        <color theme="1"/>
        <rFont val="Calibri"/>
        <family val="2"/>
      </rPr>
      <t>ϭ</t>
    </r>
    <r>
      <rPr>
        <sz val="11"/>
        <color theme="1"/>
        <rFont val="Calibri"/>
        <family val="2"/>
        <scheme val="minor"/>
      </rPr>
      <t>ci,soletta</t>
    </r>
  </si>
  <si>
    <t>tensione al lembo superiore della soletta</t>
  </si>
  <si>
    <r>
      <t>Δ</t>
    </r>
    <r>
      <rPr>
        <sz val="11"/>
        <color theme="1"/>
        <rFont val="Calibri"/>
        <family val="2"/>
      </rPr>
      <t>ϭ</t>
    </r>
    <r>
      <rPr>
        <sz val="11"/>
        <color theme="1"/>
        <rFont val="Calibri"/>
        <family val="2"/>
        <scheme val="minor"/>
      </rPr>
      <t>cs,trave</t>
    </r>
  </si>
  <si>
    <t>tensione al lembo inferiore della soletta</t>
  </si>
  <si>
    <t>tensione al lembo superiore della trave</t>
  </si>
  <si>
    <r>
      <t>Δ</t>
    </r>
    <r>
      <rPr>
        <sz val="11"/>
        <color theme="1"/>
        <rFont val="Calibri"/>
        <family val="2"/>
      </rPr>
      <t>ϭ</t>
    </r>
    <r>
      <rPr>
        <sz val="11"/>
        <color theme="1"/>
        <rFont val="Calibri"/>
        <family val="2"/>
        <scheme val="minor"/>
      </rPr>
      <t>ci,trave</t>
    </r>
  </si>
  <si>
    <t>tensione al lembo inferiore della trave</t>
  </si>
  <si>
    <r>
      <t>Δ</t>
    </r>
    <r>
      <rPr>
        <sz val="11"/>
        <color theme="1"/>
        <rFont val="Calibri"/>
        <family val="2"/>
      </rPr>
      <t>ϭ</t>
    </r>
    <r>
      <rPr>
        <sz val="11"/>
        <color theme="1"/>
        <rFont val="Calibri"/>
        <family val="2"/>
        <scheme val="minor"/>
      </rPr>
      <t>cp,trave</t>
    </r>
  </si>
  <si>
    <t>tensione del cls al trefolo</t>
  </si>
  <si>
    <t>Punto</t>
  </si>
  <si>
    <t>y</t>
  </si>
  <si>
    <t>FASE 1</t>
  </si>
  <si>
    <t>ϭ</t>
  </si>
  <si>
    <r>
      <t>Δ</t>
    </r>
    <r>
      <rPr>
        <sz val="11"/>
        <color theme="1"/>
        <rFont val="Calibri"/>
        <family val="2"/>
      </rPr>
      <t>ϭ</t>
    </r>
    <r>
      <rPr>
        <sz val="11"/>
        <color theme="1"/>
        <rFont val="Calibri"/>
        <family val="2"/>
        <scheme val="minor"/>
      </rPr>
      <t>cs,soletta,ritiro</t>
    </r>
  </si>
  <si>
    <t xml:space="preserve"> tensione da ritiro soletta</t>
  </si>
  <si>
    <t>Nritiro</t>
  </si>
  <si>
    <t>Mritiro</t>
  </si>
  <si>
    <t>RITIRO</t>
  </si>
  <si>
    <t>G2 -Fase 2</t>
  </si>
  <si>
    <t>perdite</t>
  </si>
  <si>
    <r>
      <t>Δ</t>
    </r>
    <r>
      <rPr>
        <sz val="11"/>
        <color theme="1"/>
        <rFont val="Calibri"/>
        <family val="2"/>
      </rPr>
      <t>ϭ</t>
    </r>
    <r>
      <rPr>
        <sz val="11"/>
        <color theme="1"/>
        <rFont val="Calibri"/>
        <family val="2"/>
        <scheme val="minor"/>
      </rPr>
      <t>cp</t>
    </r>
  </si>
  <si>
    <t>variazione tensione al lembo superiore della soletta</t>
  </si>
  <si>
    <t>variazione tensione al lembo superiore della trave</t>
  </si>
  <si>
    <t>variazione tensione al lembo inferiore della trave</t>
  </si>
  <si>
    <t>variazione tensione del cls al trefolo</t>
  </si>
  <si>
    <t>ϭtot</t>
  </si>
  <si>
    <t>Tensioni totali cls lembo sinferiore soletta</t>
  </si>
  <si>
    <t>Tensioni totali cls lembo superiore soletta</t>
  </si>
  <si>
    <t>Tensioni totali cls lembo superiore trave</t>
  </si>
  <si>
    <t>Tensioni totali cls lembo inferiore trave</t>
  </si>
  <si>
    <t>Tensioni totali cls nel cav0</t>
  </si>
  <si>
    <t>ϭcs2,soletta</t>
  </si>
  <si>
    <t>ϭci3,soletta</t>
  </si>
  <si>
    <t>ϭcs2,trave</t>
  </si>
  <si>
    <t>ϭci2,trave</t>
  </si>
  <si>
    <t>ϭsp2</t>
  </si>
  <si>
    <t>D/C</t>
  </si>
  <si>
    <t>Tensione nel cavo dopo le perdite in fase 1 e le cadute di tensione al peso dei carichi g2</t>
  </si>
  <si>
    <t>SOLETTA COLLABORANTE &amp; CARICHI MOBILI : fase 3</t>
  </si>
  <si>
    <t>Mmax</t>
  </si>
  <si>
    <r>
      <t>Δ</t>
    </r>
    <r>
      <rPr>
        <sz val="11"/>
        <color theme="1"/>
        <rFont val="Calibri"/>
        <family val="2"/>
      </rPr>
      <t>ϭ</t>
    </r>
    <r>
      <rPr>
        <sz val="11"/>
        <color theme="1"/>
        <rFont val="Calibri"/>
        <family val="2"/>
        <scheme val="minor"/>
      </rPr>
      <t>csp</t>
    </r>
  </si>
  <si>
    <t>FASE 2</t>
  </si>
  <si>
    <t>Q -Fase 3</t>
  </si>
  <si>
    <t>Tensioni totali cls nel cavo dopo le perdite</t>
  </si>
  <si>
    <t>Tensioni totali cls nel cavo</t>
  </si>
  <si>
    <t>ϭsp3</t>
  </si>
  <si>
    <t>ϭci3,trave</t>
  </si>
  <si>
    <t>ϭcs3,trave</t>
  </si>
  <si>
    <t>ϭcs3,soletta</t>
  </si>
  <si>
    <r>
      <t>Δ</t>
    </r>
    <r>
      <rPr>
        <sz val="11"/>
        <color theme="1"/>
        <rFont val="Calibri"/>
        <family val="2"/>
      </rPr>
      <t>ϭ</t>
    </r>
    <r>
      <rPr>
        <sz val="11"/>
        <color theme="1"/>
        <rFont val="Calibri"/>
        <family val="2"/>
        <scheme val="minor"/>
      </rPr>
      <t>csp3</t>
    </r>
  </si>
  <si>
    <t>PERDITE TRAVE V140</t>
  </si>
  <si>
    <t>Ac</t>
  </si>
  <si>
    <t>P</t>
  </si>
  <si>
    <r>
      <t>y</t>
    </r>
    <r>
      <rPr>
        <vertAlign val="subscript"/>
        <sz val="11"/>
        <color theme="1"/>
        <rFont val="Calibri"/>
        <family val="2"/>
        <scheme val="minor"/>
      </rPr>
      <t>G</t>
    </r>
  </si>
  <si>
    <t>Jx</t>
  </si>
  <si>
    <r>
      <t>m</t>
    </r>
    <r>
      <rPr>
        <vertAlign val="superscript"/>
        <sz val="11"/>
        <color theme="1"/>
        <rFont val="Calibri"/>
        <family val="2"/>
        <scheme val="minor"/>
      </rPr>
      <t>4</t>
    </r>
  </si>
  <si>
    <t>CALCESTRUZZO C45/55</t>
  </si>
  <si>
    <t>fck</t>
  </si>
  <si>
    <t>Rck</t>
  </si>
  <si>
    <t>VISCOSITA - RITIRO</t>
  </si>
  <si>
    <r>
      <t>m</t>
    </r>
    <r>
      <rPr>
        <vertAlign val="superscript"/>
        <sz val="11"/>
        <color theme="1"/>
        <rFont val="Calibri"/>
        <family val="2"/>
        <scheme val="minor"/>
      </rPr>
      <t>2</t>
    </r>
  </si>
  <si>
    <t>u</t>
  </si>
  <si>
    <r>
      <t>h</t>
    </r>
    <r>
      <rPr>
        <vertAlign val="subscript"/>
        <sz val="11"/>
        <color theme="1"/>
        <rFont val="Calibri"/>
        <family val="2"/>
        <scheme val="minor"/>
      </rPr>
      <t>0</t>
    </r>
  </si>
  <si>
    <t>RH</t>
  </si>
  <si>
    <t>%</t>
  </si>
  <si>
    <r>
      <t>ϕ</t>
    </r>
    <r>
      <rPr>
        <vertAlign val="subscript"/>
        <sz val="11"/>
        <color theme="1"/>
        <rFont val="Calibri"/>
        <family val="2"/>
      </rPr>
      <t>RH</t>
    </r>
  </si>
  <si>
    <t>-</t>
  </si>
  <si>
    <r>
      <t>β(f</t>
    </r>
    <r>
      <rPr>
        <vertAlign val="subscript"/>
        <sz val="11"/>
        <color theme="1"/>
        <rFont val="Calibri"/>
        <family val="2"/>
      </rPr>
      <t>cm</t>
    </r>
    <r>
      <rPr>
        <sz val="11"/>
        <color theme="1"/>
        <rFont val="Calibri"/>
        <family val="2"/>
      </rPr>
      <t>)</t>
    </r>
  </si>
  <si>
    <r>
      <t>β</t>
    </r>
    <r>
      <rPr>
        <vertAlign val="subscript"/>
        <sz val="11"/>
        <color theme="1"/>
        <rFont val="Calibri"/>
        <family val="2"/>
        <scheme val="minor"/>
      </rPr>
      <t>0</t>
    </r>
  </si>
  <si>
    <t>(t-t0)</t>
  </si>
  <si>
    <r>
      <t>β</t>
    </r>
    <r>
      <rPr>
        <vertAlign val="subscript"/>
        <sz val="11"/>
        <color theme="1"/>
        <rFont val="Calibri"/>
        <family val="2"/>
      </rPr>
      <t>H</t>
    </r>
  </si>
  <si>
    <t>β(t-t0)</t>
  </si>
  <si>
    <r>
      <t>ϕ</t>
    </r>
    <r>
      <rPr>
        <vertAlign val="subscript"/>
        <sz val="11"/>
        <color theme="1"/>
        <rFont val="Calibri"/>
        <family val="2"/>
        <scheme val="minor"/>
      </rPr>
      <t>0</t>
    </r>
  </si>
  <si>
    <r>
      <t>ϕ</t>
    </r>
    <r>
      <rPr>
        <vertAlign val="subscript"/>
        <sz val="11"/>
        <color theme="1"/>
        <rFont val="Calibri"/>
        <family val="2"/>
        <scheme val="minor"/>
      </rPr>
      <t>visc.</t>
    </r>
  </si>
  <si>
    <r>
      <rPr>
        <sz val="11"/>
        <color theme="1"/>
        <rFont val="Calibri"/>
        <family val="2"/>
      </rPr>
      <t>Ψ</t>
    </r>
    <r>
      <rPr>
        <vertAlign val="subscript"/>
        <sz val="11"/>
        <color theme="1"/>
        <rFont val="Calibri"/>
        <family val="2"/>
      </rPr>
      <t>p</t>
    </r>
  </si>
  <si>
    <r>
      <t>Ψ</t>
    </r>
    <r>
      <rPr>
        <vertAlign val="subscript"/>
        <sz val="11"/>
        <color theme="1"/>
        <rFont val="Calibri"/>
        <family val="2"/>
      </rPr>
      <t>visc.</t>
    </r>
  </si>
  <si>
    <r>
      <t>E</t>
    </r>
    <r>
      <rPr>
        <vertAlign val="subscript"/>
        <sz val="11"/>
        <color theme="1"/>
        <rFont val="Calibri"/>
        <family val="2"/>
      </rPr>
      <t>cm,cls</t>
    </r>
  </si>
  <si>
    <r>
      <t>E</t>
    </r>
    <r>
      <rPr>
        <vertAlign val="subscript"/>
        <sz val="11"/>
        <color theme="1"/>
        <rFont val="Calibri"/>
        <family val="2"/>
      </rPr>
      <t>Ritiro</t>
    </r>
  </si>
  <si>
    <r>
      <t>E</t>
    </r>
    <r>
      <rPr>
        <vertAlign val="subscript"/>
        <sz val="11"/>
        <color theme="1"/>
        <rFont val="Calibri"/>
        <family val="2"/>
      </rPr>
      <t>visc.</t>
    </r>
  </si>
  <si>
    <r>
      <t>E</t>
    </r>
    <r>
      <rPr>
        <vertAlign val="subscript"/>
        <sz val="11"/>
        <color theme="1"/>
        <rFont val="Calibri"/>
        <family val="2"/>
      </rPr>
      <t>cm,fissurato</t>
    </r>
  </si>
  <si>
    <r>
      <t>N/mm</t>
    </r>
    <r>
      <rPr>
        <vertAlign val="superscript"/>
        <sz val="11"/>
        <color theme="1"/>
        <rFont val="Calibri"/>
        <family val="2"/>
        <scheme val="minor"/>
      </rPr>
      <t>3</t>
    </r>
    <r>
      <rPr>
        <sz val="11"/>
        <color theme="1"/>
        <rFont val="Calibri"/>
        <family val="2"/>
        <scheme val="minor"/>
      </rPr>
      <t/>
    </r>
  </si>
  <si>
    <r>
      <t>n</t>
    </r>
    <r>
      <rPr>
        <vertAlign val="subscript"/>
        <sz val="11"/>
        <color theme="1"/>
        <rFont val="Calibri"/>
        <family val="2"/>
      </rPr>
      <t>0</t>
    </r>
  </si>
  <si>
    <r>
      <t>n</t>
    </r>
    <r>
      <rPr>
        <vertAlign val="subscript"/>
        <sz val="11"/>
        <color theme="1"/>
        <rFont val="Calibri"/>
        <family val="2"/>
      </rPr>
      <t>Ritiro</t>
    </r>
  </si>
  <si>
    <r>
      <t>n</t>
    </r>
    <r>
      <rPr>
        <vertAlign val="subscript"/>
        <sz val="11"/>
        <color theme="1"/>
        <rFont val="Calibri"/>
        <family val="2"/>
      </rPr>
      <t>Visc.</t>
    </r>
  </si>
  <si>
    <r>
      <t>n</t>
    </r>
    <r>
      <rPr>
        <vertAlign val="subscript"/>
        <sz val="11"/>
        <color theme="1"/>
        <rFont val="Calibri"/>
        <family val="2"/>
      </rPr>
      <t>fissurato</t>
    </r>
  </si>
  <si>
    <t>Area sezione</t>
  </si>
  <si>
    <t>Perimetro disposto al atmosfera</t>
  </si>
  <si>
    <t>baricentro sezione cls in assenza di ferri</t>
  </si>
  <si>
    <t>Momento d'inerzia sezione</t>
  </si>
  <si>
    <t>Resistenza caratteristica cilindrica a compressione</t>
  </si>
  <si>
    <t>Resistenza caratteristica cubica a compressione</t>
  </si>
  <si>
    <t>DimArea sezioneensione equivalente per</t>
  </si>
  <si>
    <t>Dimensione equivalente per</t>
  </si>
  <si>
    <t>Umidità relativa</t>
  </si>
  <si>
    <t>Coeff. Ridutt. Per ritiro</t>
  </si>
  <si>
    <t>Modulo elastico cls a breve termine</t>
  </si>
  <si>
    <t>Modulo elastico cls a ritiro</t>
  </si>
  <si>
    <t>Modulo elastico cls viscoo</t>
  </si>
  <si>
    <t>Modulo elastico cls fissurato</t>
  </si>
  <si>
    <t>DEFORMAZIONE PER RITIRO</t>
  </si>
  <si>
    <r>
      <t>ε</t>
    </r>
    <r>
      <rPr>
        <vertAlign val="subscript"/>
        <sz val="11"/>
        <color theme="1"/>
        <rFont val="Calibri"/>
        <family val="2"/>
      </rPr>
      <t>ca,ꚙ</t>
    </r>
  </si>
  <si>
    <t>Ritiro per autogeno</t>
  </si>
  <si>
    <r>
      <t>β</t>
    </r>
    <r>
      <rPr>
        <vertAlign val="subscript"/>
        <sz val="11"/>
        <color theme="1"/>
        <rFont val="Calibri"/>
        <family val="2"/>
        <scheme val="minor"/>
      </rPr>
      <t>ds</t>
    </r>
  </si>
  <si>
    <r>
      <t>ε</t>
    </r>
    <r>
      <rPr>
        <vertAlign val="subscript"/>
        <sz val="11"/>
        <color theme="1"/>
        <rFont val="Calibri"/>
        <family val="2"/>
      </rPr>
      <t>c0</t>
    </r>
  </si>
  <si>
    <r>
      <t>K</t>
    </r>
    <r>
      <rPr>
        <vertAlign val="subscript"/>
        <sz val="11"/>
        <color theme="1"/>
        <rFont val="Calibri"/>
        <family val="2"/>
      </rPr>
      <t>h</t>
    </r>
  </si>
  <si>
    <r>
      <t>ε</t>
    </r>
    <r>
      <rPr>
        <vertAlign val="subscript"/>
        <sz val="11"/>
        <color theme="1"/>
        <rFont val="Calibri"/>
        <family val="2"/>
      </rPr>
      <t>cd,ꚙ</t>
    </r>
  </si>
  <si>
    <r>
      <t>ε</t>
    </r>
    <r>
      <rPr>
        <vertAlign val="subscript"/>
        <sz val="11"/>
        <color theme="1"/>
        <rFont val="Calibri"/>
        <family val="2"/>
      </rPr>
      <t>cd</t>
    </r>
  </si>
  <si>
    <t>Ritiro per esseccamento</t>
  </si>
  <si>
    <r>
      <t>ε</t>
    </r>
    <r>
      <rPr>
        <vertAlign val="subscript"/>
        <sz val="11"/>
        <color theme="1"/>
        <rFont val="Calibri"/>
        <family val="2"/>
      </rPr>
      <t>cs</t>
    </r>
  </si>
  <si>
    <t>Ritiro totale</t>
  </si>
  <si>
    <t>h0</t>
  </si>
  <si>
    <t>Kh</t>
  </si>
  <si>
    <t>Altezza equivalente</t>
  </si>
  <si>
    <t>Coefficiente viscoso</t>
  </si>
  <si>
    <t>Coefficiente di correzione per viscosità</t>
  </si>
  <si>
    <t>Rilassamento del trefolo</t>
  </si>
  <si>
    <t>Caratteristiche trefolo</t>
  </si>
  <si>
    <t>Diametro trefolo</t>
  </si>
  <si>
    <t>At</t>
  </si>
  <si>
    <t>Area nominale trefolo</t>
  </si>
  <si>
    <t>Tensione ultima trefolo</t>
  </si>
  <si>
    <r>
      <t>f</t>
    </r>
    <r>
      <rPr>
        <vertAlign val="subscript"/>
        <sz val="11"/>
        <color theme="1"/>
        <rFont val="Calibri"/>
        <family val="2"/>
        <scheme val="minor"/>
      </rPr>
      <t>p01k</t>
    </r>
  </si>
  <si>
    <t>Tensione trefolo per un allungamento del 0.1%</t>
  </si>
  <si>
    <t>Modulo elastico trefolo</t>
  </si>
  <si>
    <r>
      <t>n</t>
    </r>
    <r>
      <rPr>
        <vertAlign val="subscript"/>
        <sz val="11"/>
        <color theme="1"/>
        <rFont val="Calibri"/>
        <family val="2"/>
        <scheme val="minor"/>
      </rPr>
      <t>t</t>
    </r>
  </si>
  <si>
    <t>Numero trefolo per sezione</t>
  </si>
  <si>
    <t>Posizione del centro geometrico trefoli</t>
  </si>
  <si>
    <t xml:space="preserve">trefolo </t>
  </si>
  <si>
    <t>Classe 2</t>
  </si>
  <si>
    <r>
      <rPr>
        <sz val="11"/>
        <color theme="1"/>
        <rFont val="Calibri"/>
        <family val="2"/>
      </rPr>
      <t>ρ</t>
    </r>
    <r>
      <rPr>
        <vertAlign val="subscript"/>
        <sz val="11"/>
        <color theme="1"/>
        <rFont val="Calibri"/>
        <family val="2"/>
      </rPr>
      <t>1000</t>
    </r>
  </si>
  <si>
    <t>Perdita per rilassamento in percentuale</t>
  </si>
  <si>
    <t>μ</t>
  </si>
  <si>
    <r>
      <t>σ</t>
    </r>
    <r>
      <rPr>
        <vertAlign val="subscript"/>
        <sz val="11"/>
        <color theme="1"/>
        <rFont val="Calibri"/>
        <family val="2"/>
        <scheme val="minor"/>
      </rPr>
      <t>pi</t>
    </r>
    <r>
      <rPr>
        <sz val="11"/>
        <color theme="1"/>
        <rFont val="Calibri"/>
        <family val="2"/>
        <scheme val="minor"/>
      </rPr>
      <t>/f</t>
    </r>
    <r>
      <rPr>
        <vertAlign val="subscript"/>
        <sz val="11"/>
        <color theme="1"/>
        <rFont val="Calibri"/>
        <family val="2"/>
        <scheme val="minor"/>
      </rPr>
      <t>pk</t>
    </r>
  </si>
  <si>
    <r>
      <t>σ</t>
    </r>
    <r>
      <rPr>
        <vertAlign val="subscript"/>
        <sz val="11"/>
        <color theme="1"/>
        <rFont val="Calibri"/>
        <family val="2"/>
        <scheme val="minor"/>
      </rPr>
      <t>pi</t>
    </r>
  </si>
  <si>
    <t>Tensione iniziale trefolo</t>
  </si>
  <si>
    <r>
      <t>∆σ</t>
    </r>
    <r>
      <rPr>
        <vertAlign val="subscript"/>
        <sz val="11"/>
        <color theme="1"/>
        <rFont val="Calibri"/>
        <family val="2"/>
      </rPr>
      <t>pr</t>
    </r>
  </si>
  <si>
    <t>Perdita di tensione per rilassamento</t>
  </si>
  <si>
    <t>ore</t>
  </si>
  <si>
    <t>Tempo di carico</t>
  </si>
  <si>
    <t>sezione omogenizzata a breve termine</t>
  </si>
  <si>
    <t>Yg</t>
  </si>
  <si>
    <t xml:space="preserve"> sezione omogenizzata con soletta</t>
  </si>
  <si>
    <t>ns</t>
  </si>
  <si>
    <t>calcolo perdite in termini di tensioni</t>
  </si>
  <si>
    <t>Perdite iniziali</t>
  </si>
  <si>
    <t>perdita elastica</t>
  </si>
  <si>
    <r>
      <rPr>
        <sz val="11"/>
        <color theme="1"/>
        <rFont val="Calibri"/>
        <family val="2"/>
      </rPr>
      <t>ε</t>
    </r>
    <r>
      <rPr>
        <vertAlign val="subscript"/>
        <sz val="11"/>
        <color theme="1"/>
        <rFont val="Calibri"/>
        <family val="2"/>
      </rPr>
      <t>ci</t>
    </r>
  </si>
  <si>
    <t>Accorciamento nel cls. Al lembo inferiore divuto da tiro</t>
  </si>
  <si>
    <r>
      <t>∆σ</t>
    </r>
    <r>
      <rPr>
        <vertAlign val="subscript"/>
        <sz val="11"/>
        <color theme="1"/>
        <rFont val="Calibri"/>
        <family val="2"/>
      </rPr>
      <t>sp,ist.</t>
    </r>
  </si>
  <si>
    <t>Perdita di tensione iniziale</t>
  </si>
  <si>
    <t>perdita per rilassamento</t>
  </si>
  <si>
    <r>
      <t>∆σ</t>
    </r>
    <r>
      <rPr>
        <vertAlign val="subscript"/>
        <sz val="11"/>
        <color theme="1"/>
        <rFont val="Calibri"/>
        <family val="2"/>
      </rPr>
      <t>sp,rilass.</t>
    </r>
  </si>
  <si>
    <t>perdita per ritiro</t>
  </si>
  <si>
    <r>
      <t>∆σ</t>
    </r>
    <r>
      <rPr>
        <vertAlign val="subscript"/>
        <sz val="11"/>
        <color theme="1"/>
        <rFont val="Calibri"/>
        <family val="2"/>
      </rPr>
      <t>sp,ritiro</t>
    </r>
  </si>
  <si>
    <t>Perdita di tensione per ritiro</t>
  </si>
  <si>
    <t>perdita per viscosità</t>
  </si>
  <si>
    <t>M</t>
  </si>
  <si>
    <t>kNm</t>
  </si>
  <si>
    <t>Momento dovuto dal peso delle travi e soletta</t>
  </si>
  <si>
    <t>Momento dovuto dai traversi</t>
  </si>
  <si>
    <r>
      <t>ε</t>
    </r>
    <r>
      <rPr>
        <vertAlign val="subscript"/>
        <sz val="11"/>
        <color theme="1"/>
        <rFont val="Calibri"/>
        <family val="2"/>
      </rPr>
      <t>v</t>
    </r>
  </si>
  <si>
    <t>accorciamento nel cls. In corrisponndenz del centro delle armature</t>
  </si>
  <si>
    <r>
      <t>∆σ</t>
    </r>
    <r>
      <rPr>
        <vertAlign val="subscript"/>
        <sz val="11"/>
        <color theme="1"/>
        <rFont val="Calibri"/>
        <family val="2"/>
      </rPr>
      <t>sp,visc.</t>
    </r>
  </si>
  <si>
    <t>Perdita di tiro per viscosita</t>
  </si>
  <si>
    <t>Perdite in fase 0</t>
  </si>
  <si>
    <r>
      <t>∆σ</t>
    </r>
    <r>
      <rPr>
        <vertAlign val="subscript"/>
        <sz val="11"/>
        <color theme="1"/>
        <rFont val="Calibri"/>
        <family val="2"/>
      </rPr>
      <t>0</t>
    </r>
  </si>
  <si>
    <t>Perdita di tiro in fase 0</t>
  </si>
  <si>
    <r>
      <t>σ</t>
    </r>
    <r>
      <rPr>
        <vertAlign val="subscript"/>
        <sz val="11"/>
        <color theme="1"/>
        <rFont val="Calibri"/>
        <family val="2"/>
      </rPr>
      <t>sp,0</t>
    </r>
  </si>
  <si>
    <t>tensione finale fase 0</t>
  </si>
  <si>
    <r>
      <t>∆N</t>
    </r>
    <r>
      <rPr>
        <vertAlign val="subscript"/>
        <sz val="11"/>
        <color theme="1"/>
        <rFont val="Calibri"/>
        <family val="2"/>
      </rPr>
      <t>0</t>
    </r>
  </si>
  <si>
    <t>kN</t>
  </si>
  <si>
    <t>Perdite in fase 1</t>
  </si>
  <si>
    <r>
      <t>∆σ</t>
    </r>
    <r>
      <rPr>
        <vertAlign val="subscript"/>
        <sz val="11"/>
        <color theme="1"/>
        <rFont val="Calibri"/>
        <family val="2"/>
      </rPr>
      <t>1</t>
    </r>
  </si>
  <si>
    <t>Perdita di tiro in fase 1</t>
  </si>
  <si>
    <t>tensione finale fase 1</t>
  </si>
  <si>
    <r>
      <t>∆N</t>
    </r>
    <r>
      <rPr>
        <vertAlign val="subscript"/>
        <sz val="11"/>
        <color theme="1"/>
        <rFont val="Calibri"/>
        <family val="2"/>
      </rPr>
      <t>1</t>
    </r>
  </si>
  <si>
    <t>Calcolo delle perdite in fase 2</t>
  </si>
  <si>
    <t>effetto differenziale di ritiro</t>
  </si>
  <si>
    <r>
      <t>ε</t>
    </r>
    <r>
      <rPr>
        <vertAlign val="subscript"/>
        <sz val="11"/>
        <color theme="1"/>
        <rFont val="Calibri"/>
        <family val="2"/>
      </rPr>
      <t>cs(tr-soletta)</t>
    </r>
  </si>
  <si>
    <t>estensione dovuto dal ritiro nella soletta</t>
  </si>
  <si>
    <r>
      <t>∆σ</t>
    </r>
    <r>
      <rPr>
        <vertAlign val="subscript"/>
        <sz val="11"/>
        <color theme="1"/>
        <rFont val="Calibri"/>
        <family val="2"/>
      </rPr>
      <t>cs (soletta)</t>
    </r>
  </si>
  <si>
    <t>Ntot</t>
  </si>
  <si>
    <t>Sforzo di compressione nella trave</t>
  </si>
  <si>
    <t>Momento flettente trave</t>
  </si>
  <si>
    <r>
      <t>∆σ</t>
    </r>
    <r>
      <rPr>
        <vertAlign val="subscript"/>
        <sz val="11"/>
        <color theme="1"/>
        <rFont val="Calibri"/>
        <family val="2"/>
      </rPr>
      <t>trave sup.</t>
    </r>
  </si>
  <si>
    <t>Tensione sul lembo superiore trave</t>
  </si>
  <si>
    <r>
      <t>∆σ</t>
    </r>
    <r>
      <rPr>
        <vertAlign val="subscript"/>
        <sz val="11"/>
        <color theme="1"/>
        <rFont val="Calibri"/>
        <family val="2"/>
      </rPr>
      <t>trave inf.</t>
    </r>
  </si>
  <si>
    <t>Tensione sul lembo inferiore trave</t>
  </si>
  <si>
    <r>
      <t>∆σ</t>
    </r>
    <r>
      <rPr>
        <vertAlign val="subscript"/>
        <sz val="11"/>
        <color theme="1"/>
        <rFont val="Calibri"/>
        <family val="2"/>
      </rPr>
      <t>trave barre.</t>
    </r>
  </si>
  <si>
    <t>Tensione sui trefoli</t>
  </si>
  <si>
    <t>Perdita di tiro per viscosita G2</t>
  </si>
  <si>
    <t>Perdita totale in fase 2</t>
  </si>
  <si>
    <r>
      <t>∆σ</t>
    </r>
    <r>
      <rPr>
        <vertAlign val="subscript"/>
        <sz val="11"/>
        <color theme="1"/>
        <rFont val="Calibri"/>
        <family val="2"/>
      </rPr>
      <t>tot. 2</t>
    </r>
  </si>
  <si>
    <t>Perdita in fase 3</t>
  </si>
  <si>
    <t>Carichi mobili</t>
  </si>
  <si>
    <t>Q1k</t>
  </si>
  <si>
    <t>q1k</t>
  </si>
  <si>
    <r>
      <t>kN/m</t>
    </r>
    <r>
      <rPr>
        <vertAlign val="superscript"/>
        <sz val="11"/>
        <color theme="1"/>
        <rFont val="Calibri"/>
        <family val="2"/>
        <scheme val="minor"/>
      </rPr>
      <t>2</t>
    </r>
  </si>
  <si>
    <t>Mtot</t>
  </si>
  <si>
    <r>
      <t>∆σ</t>
    </r>
    <r>
      <rPr>
        <vertAlign val="subscript"/>
        <sz val="11"/>
        <color theme="1"/>
        <rFont val="Calibri"/>
        <family val="2"/>
      </rPr>
      <t>3</t>
    </r>
  </si>
  <si>
    <t>VALUTAZIONE EFFETTI VISCOSITA - RITIRO</t>
  </si>
  <si>
    <t xml:space="preserve">MATERIALI SOLETTA </t>
  </si>
  <si>
    <t>CALCESTRUZZO C35/45</t>
  </si>
  <si>
    <t>Cesp.</t>
  </si>
  <si>
    <t>XS1</t>
  </si>
  <si>
    <t>Classe di esposizione</t>
  </si>
  <si>
    <t>DATI GEOMETRICI SOLETTA</t>
  </si>
  <si>
    <t>L1</t>
  </si>
  <si>
    <t>sbalzo soletta</t>
  </si>
  <si>
    <t>L2</t>
  </si>
  <si>
    <t>interasse travi</t>
  </si>
  <si>
    <t>Ltot</t>
  </si>
  <si>
    <t>larghezza totale soletta</t>
  </si>
  <si>
    <t>Ss</t>
  </si>
  <si>
    <t>spessore soletta strutturale</t>
  </si>
  <si>
    <r>
      <t>Ssp</t>
    </r>
    <r>
      <rPr>
        <vertAlign val="subscript"/>
        <sz val="11"/>
        <color theme="1"/>
        <rFont val="Calibri"/>
        <family val="2"/>
        <scheme val="minor"/>
      </rPr>
      <t>max</t>
    </r>
  </si>
  <si>
    <t>spessore max. soletta di pendenza</t>
  </si>
  <si>
    <r>
      <t>Ssp</t>
    </r>
    <r>
      <rPr>
        <vertAlign val="subscript"/>
        <sz val="11"/>
        <color theme="1"/>
        <rFont val="Calibri"/>
        <family val="2"/>
        <scheme val="minor"/>
      </rPr>
      <t>min</t>
    </r>
  </si>
  <si>
    <t>spessore min. soletta di pendenza</t>
  </si>
  <si>
    <t>Coefficiente di omogenizzazione iniziale</t>
  </si>
  <si>
    <t>Coefficiente di omogenizzazione per ritiro</t>
  </si>
  <si>
    <t>Coefficiente di omogenizzazione per viscosità</t>
  </si>
  <si>
    <t>Coefficiente di omogenizzazione per fissurazione</t>
  </si>
  <si>
    <t>Carico tandem</t>
  </si>
  <si>
    <t>Carico destribuito</t>
  </si>
  <si>
    <t>Perdita di tensione nei cavi</t>
  </si>
  <si>
    <t>Caratteristiche sezione omogenizzata interamente reagente con soletta</t>
  </si>
  <si>
    <t>area ferri laterali</t>
  </si>
  <si>
    <t>ferri superiori</t>
  </si>
  <si>
    <t>M [KNm]</t>
  </si>
  <si>
    <t>N [KN]</t>
  </si>
  <si>
    <t>Diagramma con barre laterali e sup</t>
  </si>
  <si>
    <t>SOLLECITAZIONI SLU</t>
  </si>
  <si>
    <t xml:space="preserve">N </t>
  </si>
  <si>
    <t>VERIFICA A TAGLIO</t>
  </si>
  <si>
    <t>h</t>
  </si>
  <si>
    <t>passo</t>
  </si>
  <si>
    <t>θ</t>
  </si>
  <si>
    <r>
      <t>V</t>
    </r>
    <r>
      <rPr>
        <vertAlign val="subscript"/>
        <sz val="11"/>
        <color theme="1"/>
        <rFont val="Calibri"/>
        <family val="2"/>
        <scheme val="minor"/>
      </rPr>
      <t>Rsd</t>
    </r>
  </si>
  <si>
    <r>
      <t>V</t>
    </r>
    <r>
      <rPr>
        <vertAlign val="subscript"/>
        <sz val="11"/>
        <color theme="1"/>
        <rFont val="Calibri"/>
        <family val="2"/>
        <scheme val="minor"/>
      </rPr>
      <t>Rcd</t>
    </r>
  </si>
  <si>
    <r>
      <t>V</t>
    </r>
    <r>
      <rPr>
        <vertAlign val="subscript"/>
        <sz val="11"/>
        <color theme="1"/>
        <rFont val="Calibri"/>
        <family val="2"/>
        <scheme val="minor"/>
      </rPr>
      <t>Rd</t>
    </r>
  </si>
  <si>
    <t>[rad]</t>
  </si>
  <si>
    <t>[gradi]</t>
  </si>
  <si>
    <t xml:space="preserve">b </t>
  </si>
  <si>
    <t>fyk</t>
  </si>
  <si>
    <t>fyd</t>
  </si>
  <si>
    <t>Armatura ordinaria B450C</t>
  </si>
  <si>
    <t>Staffe e reggistaffe</t>
  </si>
  <si>
    <r>
      <t>f</t>
    </r>
    <r>
      <rPr>
        <vertAlign val="subscript"/>
        <sz val="11"/>
        <color theme="1"/>
        <rFont val="Calibri"/>
        <family val="2"/>
        <scheme val="minor"/>
      </rPr>
      <t>cd</t>
    </r>
  </si>
  <si>
    <r>
      <t>V</t>
    </r>
    <r>
      <rPr>
        <vertAlign val="subscript"/>
        <sz val="11"/>
        <color theme="1"/>
        <rFont val="Calibri"/>
        <family val="2"/>
        <scheme val="minor"/>
      </rPr>
      <t>ED,tot</t>
    </r>
  </si>
  <si>
    <r>
      <t>V</t>
    </r>
    <r>
      <rPr>
        <vertAlign val="subscript"/>
        <sz val="11"/>
        <color theme="1"/>
        <rFont val="Calibri"/>
        <family val="2"/>
        <scheme val="minor"/>
      </rPr>
      <t>ED,anima</t>
    </r>
  </si>
  <si>
    <t>Calcolo resistenza a taglio dell'ala</t>
  </si>
  <si>
    <t>Taglio resistente armatura d'anima</t>
  </si>
  <si>
    <t>taglio resistente biella compressa</t>
  </si>
  <si>
    <r>
      <t>Angolo per cui V</t>
    </r>
    <r>
      <rPr>
        <vertAlign val="subscript"/>
        <sz val="11"/>
        <color theme="1"/>
        <rFont val="Calibri"/>
        <family val="2"/>
        <scheme val="minor"/>
      </rPr>
      <t>Rsd</t>
    </r>
    <r>
      <rPr>
        <sz val="11"/>
        <color theme="1"/>
        <rFont val="Calibri"/>
        <family val="2"/>
        <scheme val="minor"/>
      </rPr>
      <t xml:space="preserve"> = V</t>
    </r>
    <r>
      <rPr>
        <vertAlign val="subscript"/>
        <sz val="11"/>
        <color theme="1"/>
        <rFont val="Calibri"/>
        <family val="2"/>
        <scheme val="minor"/>
      </rPr>
      <t>Rcd</t>
    </r>
  </si>
  <si>
    <t>Angolo minimo da norma</t>
  </si>
  <si>
    <t>DOMINIO SEZIONE IN MEZZERIA</t>
  </si>
  <si>
    <r>
      <t>N</t>
    </r>
    <r>
      <rPr>
        <vertAlign val="subscript"/>
        <sz val="11"/>
        <color theme="1"/>
        <rFont val="Calibri"/>
        <family val="2"/>
        <scheme val="minor"/>
      </rPr>
      <t>u,tot</t>
    </r>
  </si>
  <si>
    <t xml:space="preserve">Sforzo normale ultimo della soletta </t>
  </si>
  <si>
    <r>
      <t>n</t>
    </r>
    <r>
      <rPr>
        <vertAlign val="subscript"/>
        <sz val="11"/>
        <color theme="1"/>
        <rFont val="Calibri"/>
        <family val="2"/>
        <scheme val="minor"/>
      </rPr>
      <t>c</t>
    </r>
  </si>
  <si>
    <r>
      <t>b</t>
    </r>
    <r>
      <rPr>
        <vertAlign val="subscript"/>
        <sz val="11"/>
        <color theme="1"/>
        <rFont val="Calibri"/>
        <family val="2"/>
        <scheme val="minor"/>
      </rPr>
      <t>c</t>
    </r>
  </si>
  <si>
    <t>braccia connettore</t>
  </si>
  <si>
    <r>
      <t>Φ</t>
    </r>
    <r>
      <rPr>
        <vertAlign val="subscript"/>
        <sz val="11"/>
        <color theme="1"/>
        <rFont val="Calibri"/>
        <family val="2"/>
      </rPr>
      <t>c</t>
    </r>
  </si>
  <si>
    <t>Diametro del connettore</t>
  </si>
  <si>
    <r>
      <t>h</t>
    </r>
    <r>
      <rPr>
        <vertAlign val="subscript"/>
        <sz val="11"/>
        <color theme="1"/>
        <rFont val="Calibri"/>
        <family val="2"/>
      </rPr>
      <t>c</t>
    </r>
  </si>
  <si>
    <t>Altezza del connettore</t>
  </si>
  <si>
    <r>
      <t>γ</t>
    </r>
    <r>
      <rPr>
        <vertAlign val="subscript"/>
        <sz val="11"/>
        <color theme="1"/>
        <rFont val="Calibri"/>
        <family val="2"/>
      </rPr>
      <t>v</t>
    </r>
  </si>
  <si>
    <t>Coefficiente di sicurezza</t>
  </si>
  <si>
    <r>
      <t>N</t>
    </r>
    <r>
      <rPr>
        <vertAlign val="subscript"/>
        <sz val="11"/>
        <color theme="1"/>
        <rFont val="Calibri"/>
        <family val="2"/>
      </rPr>
      <t>uc</t>
    </r>
  </si>
  <si>
    <r>
      <t>P</t>
    </r>
    <r>
      <rPr>
        <vertAlign val="subscript"/>
        <sz val="11"/>
        <color theme="1"/>
        <rFont val="Calibri"/>
        <family val="2"/>
      </rPr>
      <t>Rd,cls</t>
    </r>
  </si>
  <si>
    <r>
      <t>P</t>
    </r>
    <r>
      <rPr>
        <vertAlign val="subscript"/>
        <sz val="11"/>
        <color theme="1"/>
        <rFont val="Calibri"/>
        <family val="2"/>
      </rPr>
      <t>Rd,s</t>
    </r>
  </si>
  <si>
    <t>fuk</t>
  </si>
  <si>
    <t>Numero dei connettori presenti nella trave nelle 2 file</t>
  </si>
  <si>
    <t>passo connettori</t>
  </si>
  <si>
    <r>
      <t>P</t>
    </r>
    <r>
      <rPr>
        <vertAlign val="subscript"/>
        <sz val="11"/>
        <color theme="1"/>
        <rFont val="Calibri"/>
        <family val="2"/>
      </rPr>
      <t>Rd</t>
    </r>
  </si>
  <si>
    <t>Taglio sollecitante</t>
  </si>
  <si>
    <t>resistenza connettore parte cls</t>
  </si>
  <si>
    <t>resistenza connettore lato acciaio</t>
  </si>
  <si>
    <t>minimo tra le resistenze del connettore</t>
  </si>
  <si>
    <t>Posizione trefoli</t>
  </si>
  <si>
    <t>y [mm]</t>
  </si>
  <si>
    <r>
      <t>A [mm</t>
    </r>
    <r>
      <rPr>
        <vertAlign val="superscript"/>
        <sz val="11"/>
        <color theme="1"/>
        <rFont val="Calibri"/>
        <family val="2"/>
        <scheme val="minor"/>
      </rPr>
      <t>2</t>
    </r>
    <r>
      <rPr>
        <sz val="11"/>
        <color theme="1"/>
        <rFont val="Calibri"/>
        <family val="2"/>
        <scheme val="minor"/>
      </rPr>
      <t>]</t>
    </r>
  </si>
  <si>
    <t>Posizione sforzo</t>
  </si>
  <si>
    <t>Np</t>
  </si>
  <si>
    <r>
      <t>e</t>
    </r>
    <r>
      <rPr>
        <vertAlign val="subscript"/>
        <sz val="11"/>
        <color theme="1"/>
        <rFont val="Calibri"/>
        <family val="2"/>
        <scheme val="minor"/>
      </rPr>
      <t>max</t>
    </r>
  </si>
  <si>
    <t>Verifica</t>
  </si>
  <si>
    <t>Momento dovuto dai carichi mobili</t>
  </si>
  <si>
    <t>Altezza della sezione</t>
  </si>
  <si>
    <t>Area calcestruzzo della sezione</t>
  </si>
  <si>
    <t>posizione baricentro dal lembo inferiore</t>
  </si>
  <si>
    <t>posizione baricentro rispetto al lembo superiore</t>
  </si>
  <si>
    <t>numero trefoli utilizzati</t>
  </si>
  <si>
    <t>Peso Proprio trave + traversi  - fase 0</t>
  </si>
  <si>
    <t>Diagramma con soloarm inf</t>
  </si>
  <si>
    <t>Dominio 3D</t>
  </si>
  <si>
    <t>MxRd</t>
  </si>
  <si>
    <t>MyRd</t>
  </si>
  <si>
    <t>Nrd</t>
  </si>
  <si>
    <t>Ned</t>
  </si>
  <si>
    <t>ν</t>
  </si>
  <si>
    <t>VERIFICA A TORSIONE PURA</t>
  </si>
  <si>
    <t>Bsup</t>
  </si>
  <si>
    <t>T</t>
  </si>
  <si>
    <t>Binf</t>
  </si>
  <si>
    <t>VERIFICA TORSIONE CON TAGLIO E FLESSIONE PARETI LATERALI</t>
  </si>
  <si>
    <t>zsup</t>
  </si>
  <si>
    <t>PARAMETRI</t>
  </si>
  <si>
    <t>zinf</t>
  </si>
  <si>
    <t>A</t>
  </si>
  <si>
    <t>H</t>
  </si>
  <si>
    <t>altezza complessiva della sezione</t>
  </si>
  <si>
    <t>area racchiusa dalla linea medea della sezione</t>
  </si>
  <si>
    <r>
      <t>ts</t>
    </r>
    <r>
      <rPr>
        <vertAlign val="subscript"/>
        <sz val="11"/>
        <color theme="1"/>
        <rFont val="Calibri"/>
        <family val="2"/>
        <scheme val="minor"/>
      </rPr>
      <t>inf</t>
    </r>
  </si>
  <si>
    <t>spessore soletta inferiore</t>
  </si>
  <si>
    <t>perimetro medio del nucleo resistente della sezione</t>
  </si>
  <si>
    <t>Fti</t>
  </si>
  <si>
    <t>taglio da torsione</t>
  </si>
  <si>
    <t>Φl</t>
  </si>
  <si>
    <t>spessore medio della sezione aperta</t>
  </si>
  <si>
    <t>Vsdi</t>
  </si>
  <si>
    <t>Taglio totale (taglio puro + taglio da torsione )</t>
  </si>
  <si>
    <r>
      <t>n</t>
    </r>
    <r>
      <rPr>
        <vertAlign val="subscript"/>
        <sz val="11"/>
        <color theme="1"/>
        <rFont val="Calibri"/>
        <family val="2"/>
      </rPr>
      <t>Φl</t>
    </r>
    <r>
      <rPr>
        <sz val="11"/>
        <color theme="1"/>
        <rFont val="Calibri"/>
        <family val="2"/>
      </rPr>
      <t xml:space="preserve"> (soletta)</t>
    </r>
  </si>
  <si>
    <t>Verifica armatura longitudinale</t>
  </si>
  <si>
    <r>
      <t>n</t>
    </r>
    <r>
      <rPr>
        <vertAlign val="subscript"/>
        <sz val="11"/>
        <color theme="1"/>
        <rFont val="Calibri"/>
        <family val="2"/>
      </rPr>
      <t>Φl</t>
    </r>
    <r>
      <rPr>
        <sz val="11"/>
        <color theme="1"/>
        <rFont val="Calibri"/>
        <family val="2"/>
      </rPr>
      <t xml:space="preserve"> (trave )</t>
    </r>
  </si>
  <si>
    <t>sopra e sotto la soletta</t>
  </si>
  <si>
    <r>
      <t>n</t>
    </r>
    <r>
      <rPr>
        <vertAlign val="subscript"/>
        <sz val="11"/>
        <color theme="1"/>
        <rFont val="Calibri"/>
        <family val="2"/>
      </rPr>
      <t>Φl</t>
    </r>
    <r>
      <rPr>
        <sz val="11"/>
        <color theme="1"/>
        <rFont val="Calibri"/>
        <family val="2"/>
      </rPr>
      <t xml:space="preserve"> (parete)</t>
    </r>
  </si>
  <si>
    <r>
      <t>n</t>
    </r>
    <r>
      <rPr>
        <vertAlign val="subscript"/>
        <sz val="11"/>
        <color theme="1"/>
        <rFont val="Calibri"/>
        <family val="2"/>
      </rPr>
      <t>Φl</t>
    </r>
    <r>
      <rPr>
        <sz val="11"/>
        <color theme="1"/>
        <rFont val="Calibri"/>
        <family val="2"/>
      </rPr>
      <t xml:space="preserve"> (soletta inf)</t>
    </r>
  </si>
  <si>
    <t>Asl</t>
  </si>
  <si>
    <t>complessive nella trave</t>
  </si>
  <si>
    <t>Ast</t>
  </si>
  <si>
    <t>Ftrd</t>
  </si>
  <si>
    <t>passo Ast</t>
  </si>
  <si>
    <t>al</t>
  </si>
  <si>
    <t>Verifica taglio armatura longitudinale</t>
  </si>
  <si>
    <t>as</t>
  </si>
  <si>
    <t>Vsdi (inf)</t>
  </si>
  <si>
    <t>ctgθ</t>
  </si>
  <si>
    <t>Vrd</t>
  </si>
  <si>
    <t>RESISTENZE</t>
  </si>
  <si>
    <t>fcd'</t>
  </si>
  <si>
    <t>Verifica bielle compresse</t>
  </si>
  <si>
    <t>Trcd</t>
  </si>
  <si>
    <t>fcd2</t>
  </si>
  <si>
    <t>resistenza calcestruzzo fessurato</t>
  </si>
  <si>
    <t>Trsd</t>
  </si>
  <si>
    <r>
      <rPr>
        <sz val="11"/>
        <color theme="1"/>
        <rFont val="Calibri"/>
        <family val="2"/>
      </rPr>
      <t>ϭ</t>
    </r>
    <r>
      <rPr>
        <vertAlign val="subscript"/>
        <sz val="11"/>
        <color theme="1"/>
        <rFont val="Calibri"/>
        <family val="2"/>
        <scheme val="minor"/>
      </rPr>
      <t>RD</t>
    </r>
  </si>
  <si>
    <t>controllare</t>
  </si>
  <si>
    <t>Trld</t>
  </si>
  <si>
    <t>riferimento alle staffe trasversali</t>
  </si>
  <si>
    <r>
      <rPr>
        <sz val="11"/>
        <color theme="1"/>
        <rFont val="Calibri"/>
        <family val="2"/>
      </rPr>
      <t>ϭ</t>
    </r>
    <r>
      <rPr>
        <vertAlign val="subscript"/>
        <sz val="11"/>
        <color theme="1"/>
        <rFont val="Calibri"/>
        <family val="2"/>
        <scheme val="minor"/>
      </rPr>
      <t>SD</t>
    </r>
  </si>
  <si>
    <r>
      <t>T</t>
    </r>
    <r>
      <rPr>
        <vertAlign val="subscript"/>
        <sz val="11"/>
        <color theme="1"/>
        <rFont val="Calibri"/>
        <family val="2"/>
      </rPr>
      <t>Rd</t>
    </r>
  </si>
  <si>
    <t>riferimento all’armatura longitudinale</t>
  </si>
  <si>
    <t>nbracci</t>
  </si>
  <si>
    <t>riferimento all'armatura  longitudinale</t>
  </si>
  <si>
    <t>sforzi di compressione sono affidati alle bielle di calcestruzzo</t>
  </si>
  <si>
    <t>ferri di parete al lembo sup. e inf. della parete</t>
  </si>
  <si>
    <t>Area armatura lenta long.</t>
  </si>
  <si>
    <t>resistenza al taglio da torsione</t>
  </si>
  <si>
    <t>Verifica armatura trasversale</t>
  </si>
  <si>
    <t>VERIFICA TORSIONE E  TAGLIO  SOLETTE</t>
  </si>
  <si>
    <t>VERIFICA  SOLETTA INFERIORE</t>
  </si>
  <si>
    <t>VERIFICA  SUPERIORE</t>
  </si>
  <si>
    <t>Verifica connettori VH140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</si>
</sst>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0"/>
  </numFmts>
  <fonts count="11" x14ac:knownFonts="1">
    <font>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8"/>
      <name val="Calibri"/>
      <family val="2"/>
      <scheme val="minor"/>
    </font>
    <font>
      <sz val="11"/>
      <color theme="1"/>
      <name val="Calibri"/>
      <family val="2"/>
    </font>
    <font>
      <vertAlign val="subscript"/>
      <sz val="11"/>
      <color theme="1"/>
      <name val="Calibri"/>
      <family val="2"/>
    </font>
    <font>
      <vertAlign val="superscript"/>
      <sz val="11"/>
      <color theme="1"/>
      <name val="Calibri"/>
      <family val="2"/>
    </font>
    <font>
      <b/>
      <sz val="11"/>
      <color theme="1"/>
      <name val="Calibri"/>
      <family val="2"/>
      <scheme val="minor"/>
    </font>
    <font>
      <sz val="11"/>
      <color rgb="FF595959"/>
      <name val="Calibri"/>
      <family val="2"/>
      <scheme val="minor"/>
    </font>
    <font>
      <sz val="11"/>
      <name val="Calibri"/>
      <family val="2"/>
      <scheme val="minor"/>
    </font>
    <font>
      <b/>
      <sz val="1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66FF33"/>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5">
    <xf numFmtId="0" fontId="0" fillId="0" borderId="0" xfId="0"/>
    <xf numFmtId="0" fontId="0" fillId="0" borderId="0" xfId="0" applyAlignment="1">
      <alignment horizontal="center"/>
    </xf>
    <xf numFmtId="2" fontId="0" fillId="0" borderId="0" xfId="0" applyNumberFormat="1" applyAlignment="1">
      <alignment horizontal="center"/>
    </xf>
    <xf numFmtId="0" fontId="0" fillId="2" borderId="0" xfId="0" applyFill="1"/>
    <xf numFmtId="0" fontId="0" fillId="0" borderId="1" xfId="0" applyBorder="1" applyAlignment="1">
      <alignment horizontal="center"/>
    </xf>
    <xf numFmtId="0" fontId="0" fillId="0" borderId="0" xfId="0" applyFill="1" applyBorder="1" applyAlignment="1">
      <alignment horizontal="left"/>
    </xf>
    <xf numFmtId="0" fontId="0" fillId="0" borderId="1" xfId="0" applyFont="1" applyBorder="1" applyAlignment="1">
      <alignment horizontal="center"/>
    </xf>
    <xf numFmtId="0" fontId="0" fillId="2" borderId="0" xfId="0" applyFont="1" applyFill="1" applyBorder="1" applyAlignment="1">
      <alignment horizontal="left"/>
    </xf>
    <xf numFmtId="0" fontId="0" fillId="0" borderId="1" xfId="0" applyFont="1" applyFill="1" applyBorder="1" applyAlignment="1">
      <alignment horizontal="center"/>
    </xf>
    <xf numFmtId="2" fontId="0" fillId="0" borderId="1" xfId="0" applyNumberFormat="1" applyBorder="1" applyAlignment="1">
      <alignment horizontal="center"/>
    </xf>
    <xf numFmtId="0" fontId="0" fillId="0" borderId="0" xfId="0" applyAlignment="1"/>
    <xf numFmtId="0" fontId="0" fillId="0" borderId="1" xfId="0" applyFill="1"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164" fontId="0" fillId="0" borderId="0" xfId="0" applyNumberFormat="1"/>
    <xf numFmtId="0" fontId="0" fillId="0" borderId="0" xfId="0" applyAlignment="1">
      <alignment horizontal="left"/>
    </xf>
    <xf numFmtId="0" fontId="4" fillId="0" borderId="1" xfId="0" applyFont="1" applyBorder="1" applyAlignment="1">
      <alignment horizontal="center"/>
    </xf>
    <xf numFmtId="0" fontId="0" fillId="0" borderId="0" xfId="0" applyFill="1"/>
    <xf numFmtId="0" fontId="0" fillId="0" borderId="0" xfId="0" applyFill="1" applyAlignment="1"/>
    <xf numFmtId="164" fontId="0" fillId="0" borderId="0" xfId="0" applyNumberFormat="1" applyAlignment="1">
      <alignment horizontal="center"/>
    </xf>
    <xf numFmtId="165" fontId="0" fillId="0" borderId="1" xfId="0" quotePrefix="1" applyNumberFormat="1" applyBorder="1" applyAlignment="1">
      <alignment horizontal="center"/>
    </xf>
    <xf numFmtId="0" fontId="0" fillId="0" borderId="1" xfId="0" applyBorder="1"/>
    <xf numFmtId="165" fontId="0" fillId="0" borderId="1" xfId="0" applyNumberFormat="1"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2" fontId="0" fillId="0" borderId="1" xfId="0" applyNumberFormat="1" applyBorder="1"/>
    <xf numFmtId="0" fontId="0" fillId="0" borderId="1" xfId="0" applyBorder="1" applyAlignment="1">
      <alignment horizontal="center"/>
    </xf>
    <xf numFmtId="0" fontId="0" fillId="2" borderId="1" xfId="0" applyFill="1" applyBorder="1"/>
    <xf numFmtId="0" fontId="4" fillId="0" borderId="1" xfId="0" applyFont="1" applyBorder="1"/>
    <xf numFmtId="0" fontId="0" fillId="0" borderId="1" xfId="0" applyBorder="1" applyAlignment="1">
      <alignment horizontal="center"/>
    </xf>
    <xf numFmtId="0" fontId="0" fillId="0" borderId="0" xfId="0" applyAlignment="1">
      <alignment horizontal="center"/>
    </xf>
    <xf numFmtId="0" fontId="7" fillId="0" borderId="0" xfId="0" applyFont="1"/>
    <xf numFmtId="0" fontId="0" fillId="0" borderId="0" xfId="0" applyFill="1" applyBorder="1" applyAlignment="1">
      <alignment horizontal="center"/>
    </xf>
    <xf numFmtId="0" fontId="4" fillId="0" borderId="1" xfId="0" applyFont="1" applyFill="1" applyBorder="1" applyAlignment="1">
      <alignment horizontal="center"/>
    </xf>
    <xf numFmtId="2" fontId="0" fillId="0" borderId="0" xfId="0" applyNumberFormat="1" applyBorder="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applyFill="1" applyBorder="1"/>
    <xf numFmtId="0" fontId="0" fillId="2" borderId="3" xfId="0" applyFill="1" applyBorder="1"/>
    <xf numFmtId="0" fontId="0" fillId="0" borderId="1" xfId="0" applyBorder="1" applyAlignment="1">
      <alignment horizontal="center"/>
    </xf>
    <xf numFmtId="0" fontId="4" fillId="0" borderId="0" xfId="0" applyFont="1" applyBorder="1"/>
    <xf numFmtId="0" fontId="0" fillId="0" borderId="0" xfId="0" applyFont="1" applyBorder="1" applyAlignment="1">
      <alignment horizontal="center"/>
    </xf>
    <xf numFmtId="0" fontId="4" fillId="0" borderId="7" xfId="0" applyFont="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4" fillId="0" borderId="0" xfId="0" applyFont="1" applyBorder="1" applyAlignment="1">
      <alignment horizontal="center"/>
    </xf>
    <xf numFmtId="0" fontId="0" fillId="0" borderId="1" xfId="0" applyBorder="1" applyAlignment="1"/>
    <xf numFmtId="0" fontId="4" fillId="0" borderId="1" xfId="0" applyFont="1" applyFill="1" applyBorder="1"/>
    <xf numFmtId="0" fontId="8" fillId="0" borderId="1" xfId="0" applyFont="1" applyBorder="1" applyAlignment="1">
      <alignment horizontal="center" vertical="center" readingOrder="1"/>
    </xf>
    <xf numFmtId="0" fontId="4" fillId="0" borderId="0" xfId="0" applyFont="1" applyFill="1" applyBorder="1"/>
    <xf numFmtId="0" fontId="4" fillId="5" borderId="1" xfId="0" applyFont="1" applyFill="1" applyBorder="1"/>
    <xf numFmtId="0" fontId="0" fillId="5" borderId="1" xfId="0" applyFill="1" applyBorder="1"/>
    <xf numFmtId="0" fontId="0" fillId="0" borderId="1" xfId="0" applyFill="1" applyBorder="1"/>
    <xf numFmtId="0" fontId="0" fillId="0" borderId="0" xfId="0"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9" fillId="5" borderId="1" xfId="0" applyFont="1" applyFill="1" applyBorder="1" applyAlignment="1">
      <alignment horizontal="center"/>
    </xf>
    <xf numFmtId="166" fontId="9" fillId="0" borderId="1" xfId="0" applyNumberFormat="1" applyFont="1" applyBorder="1" applyAlignment="1">
      <alignment horizontal="center"/>
    </xf>
    <xf numFmtId="2" fontId="9" fillId="0" borderId="1" xfId="0" applyNumberFormat="1" applyFont="1" applyBorder="1" applyAlignment="1">
      <alignment horizontal="center"/>
    </xf>
    <xf numFmtId="2" fontId="0" fillId="5" borderId="1" xfId="0" applyNumberFormat="1" applyFill="1" applyBorder="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0" fontId="4" fillId="0" borderId="0" xfId="0" applyFont="1" applyAlignment="1">
      <alignment horizontal="center"/>
    </xf>
    <xf numFmtId="165" fontId="0" fillId="0" borderId="1" xfId="0" applyNumberFormat="1" applyFill="1" applyBorder="1" applyAlignment="1">
      <alignment horizontal="center"/>
    </xf>
    <xf numFmtId="164" fontId="0" fillId="0" borderId="1" xfId="0" applyNumberFormat="1" applyFill="1" applyBorder="1" applyAlignment="1">
      <alignment horizontal="center"/>
    </xf>
    <xf numFmtId="1" fontId="0" fillId="0" borderId="1" xfId="0" applyNumberFormat="1"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0" fillId="0" borderId="5" xfId="0" applyBorder="1" applyAlignment="1"/>
    <xf numFmtId="0" fontId="0" fillId="0" borderId="1" xfId="0" applyBorder="1" applyAlignment="1">
      <alignment horizontal="center"/>
    </xf>
    <xf numFmtId="0" fontId="0" fillId="0" borderId="0" xfId="0" applyAlignment="1">
      <alignment horizontal="center"/>
    </xf>
    <xf numFmtId="11" fontId="0" fillId="0" borderId="0" xfId="0" applyNumberFormat="1"/>
    <xf numFmtId="0" fontId="4" fillId="0" borderId="0" xfId="0" applyFont="1"/>
    <xf numFmtId="0" fontId="0" fillId="0" borderId="10" xfId="0" applyBorder="1" applyAlignment="1">
      <alignment horizontal="center"/>
    </xf>
    <xf numFmtId="1" fontId="0" fillId="0" borderId="11" xfId="0" applyNumberForma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1" fontId="0" fillId="6" borderId="1" xfId="0" applyNumberFormat="1" applyFill="1" applyBorder="1" applyAlignment="1">
      <alignment horizontal="center"/>
    </xf>
    <xf numFmtId="0" fontId="0" fillId="0" borderId="14" xfId="0" applyBorder="1" applyAlignment="1">
      <alignment horizontal="center"/>
    </xf>
    <xf numFmtId="1" fontId="0" fillId="0" borderId="13" xfId="0" applyNumberFormat="1" applyBorder="1" applyAlignment="1">
      <alignment horizontal="center"/>
    </xf>
    <xf numFmtId="1" fontId="0" fillId="0" borderId="1" xfId="0" applyNumberFormat="1" applyBorder="1" applyAlignment="1">
      <alignment horizontal="center"/>
    </xf>
    <xf numFmtId="0" fontId="4" fillId="0" borderId="13" xfId="0" applyFont="1" applyBorder="1" applyAlignment="1">
      <alignment horizontal="center"/>
    </xf>
    <xf numFmtId="0" fontId="0" fillId="7" borderId="1" xfId="0" applyFill="1" applyBorder="1" applyAlignment="1">
      <alignment horizontal="center"/>
    </xf>
    <xf numFmtId="0" fontId="4" fillId="0" borderId="13" xfId="0" applyFont="1" applyBorder="1" applyAlignment="1">
      <alignment vertical="center"/>
    </xf>
    <xf numFmtId="0" fontId="0" fillId="0" borderId="14" xfId="0" applyBorder="1" applyAlignment="1">
      <alignment horizontal="center" vertical="center"/>
    </xf>
    <xf numFmtId="1" fontId="0" fillId="0" borderId="1" xfId="0" applyNumberFormat="1" applyBorder="1" applyAlignment="1">
      <alignment horizontal="center" vertical="center"/>
    </xf>
    <xf numFmtId="0" fontId="4" fillId="0" borderId="1" xfId="0" applyFont="1" applyBorder="1" applyAlignment="1">
      <alignment vertical="center"/>
    </xf>
    <xf numFmtId="1" fontId="0" fillId="0" borderId="13" xfId="0" applyNumberFormat="1" applyBorder="1" applyAlignment="1">
      <alignment vertical="center"/>
    </xf>
    <xf numFmtId="2" fontId="0" fillId="0" borderId="1" xfId="0" applyNumberFormat="1" applyBorder="1" applyAlignment="1">
      <alignment horizontal="center" vertical="center"/>
    </xf>
    <xf numFmtId="1" fontId="0" fillId="0" borderId="1" xfId="0" applyNumberFormat="1" applyBorder="1" applyAlignment="1">
      <alignment vertical="center"/>
    </xf>
    <xf numFmtId="165" fontId="0" fillId="0" borderId="1" xfId="0" applyNumberFormat="1" applyBorder="1" applyAlignment="1">
      <alignment horizontal="center" vertical="center"/>
    </xf>
    <xf numFmtId="1" fontId="0" fillId="0" borderId="10" xfId="0" applyNumberFormat="1" applyBorder="1" applyAlignment="1">
      <alignment horizontal="center" vertical="center"/>
    </xf>
    <xf numFmtId="2" fontId="0" fillId="0" borderId="11" xfId="0" applyNumberFormat="1" applyBorder="1" applyAlignment="1">
      <alignment horizontal="center"/>
    </xf>
    <xf numFmtId="0" fontId="0" fillId="0" borderId="12" xfId="0" applyBorder="1" applyAlignment="1">
      <alignment horizontal="center" vertical="center"/>
    </xf>
    <xf numFmtId="0" fontId="4" fillId="0" borderId="16" xfId="0" applyFont="1" applyBorder="1" applyAlignment="1">
      <alignment horizontal="center"/>
    </xf>
    <xf numFmtId="164" fontId="0" fillId="0" borderId="17" xfId="0" applyNumberFormat="1" applyBorder="1" applyAlignment="1">
      <alignment horizontal="center"/>
    </xf>
    <xf numFmtId="0" fontId="0" fillId="0" borderId="18" xfId="0" applyBorder="1" applyAlignment="1">
      <alignment horizontal="center"/>
    </xf>
    <xf numFmtId="0" fontId="0" fillId="0" borderId="6" xfId="0" applyBorder="1" applyAlignment="1">
      <alignment horizontal="center" vertical="center"/>
    </xf>
    <xf numFmtId="0" fontId="0" fillId="8" borderId="5" xfId="0" applyFill="1" applyBorder="1" applyAlignment="1">
      <alignment horizontal="center"/>
    </xf>
    <xf numFmtId="1" fontId="0" fillId="0" borderId="19" xfId="0" applyNumberFormat="1" applyBorder="1" applyAlignment="1">
      <alignment vertical="center"/>
    </xf>
    <xf numFmtId="0" fontId="0" fillId="0" borderId="20" xfId="0" applyBorder="1" applyAlignment="1">
      <alignment horizontal="center" vertical="center"/>
    </xf>
    <xf numFmtId="0" fontId="4" fillId="0" borderId="16" xfId="0" applyFont="1" applyBorder="1" applyAlignment="1">
      <alignment vertical="center"/>
    </xf>
    <xf numFmtId="165" fontId="0" fillId="0" borderId="21" xfId="0" applyNumberFormat="1" applyBorder="1" applyAlignment="1">
      <alignment horizontal="center" vertical="center"/>
    </xf>
    <xf numFmtId="0" fontId="0" fillId="0" borderId="22" xfId="0" applyBorder="1" applyAlignment="1">
      <alignment horizontal="center" vertical="center"/>
    </xf>
    <xf numFmtId="0" fontId="4" fillId="0" borderId="23" xfId="0" applyFont="1" applyFill="1" applyBorder="1" applyAlignment="1">
      <alignment horizontal="center"/>
    </xf>
    <xf numFmtId="0" fontId="0" fillId="0" borderId="25" xfId="0" applyBorder="1" applyAlignment="1">
      <alignment horizontal="center"/>
    </xf>
    <xf numFmtId="165" fontId="0" fillId="0" borderId="24" xfId="0" applyNumberFormat="1" applyBorder="1" applyAlignment="1">
      <alignment horizontal="center"/>
    </xf>
    <xf numFmtId="0" fontId="4" fillId="0" borderId="1" xfId="0" applyFont="1" applyBorder="1" applyAlignment="1">
      <alignment horizontal="center" vertic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ont="1" applyFill="1" applyBorder="1" applyAlignment="1">
      <alignment horizontal="center" vertical="center"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7" xfId="0" applyFill="1" applyBorder="1" applyAlignment="1">
      <alignment horizontal="center"/>
    </xf>
    <xf numFmtId="0" fontId="0" fillId="3" borderId="1" xfId="0" applyFill="1" applyBorder="1" applyAlignment="1">
      <alignment horizontal="center" vertical="center" wrapText="1"/>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0" borderId="0" xfId="0" applyAlignment="1">
      <alignment horizontal="center" vertical="center" wrapText="1"/>
    </xf>
    <xf numFmtId="0" fontId="7" fillId="0" borderId="2" xfId="0" applyFont="1" applyBorder="1" applyAlignment="1">
      <alignment horizontal="center"/>
    </xf>
    <xf numFmtId="0" fontId="0" fillId="4" borderId="1" xfId="0" applyFill="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7" fillId="4" borderId="1" xfId="0" applyFont="1" applyFill="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xf>
    <xf numFmtId="0" fontId="0" fillId="4" borderId="9" xfId="0" applyFill="1" applyBorder="1" applyAlignment="1">
      <alignment horizontal="center"/>
    </xf>
    <xf numFmtId="0" fontId="0" fillId="4" borderId="8" xfId="0" applyFill="1" applyBorder="1" applyAlignment="1">
      <alignment horizontal="center"/>
    </xf>
    <xf numFmtId="0" fontId="0" fillId="4" borderId="15" xfId="0" applyFill="1" applyBorder="1" applyAlignment="1">
      <alignment horizontal="center"/>
    </xf>
    <xf numFmtId="0" fontId="0" fillId="4" borderId="1" xfId="0" applyFill="1" applyBorder="1" applyAlignment="1">
      <alignment horizontal="center" vertical="center" wrapText="1"/>
    </xf>
    <xf numFmtId="0" fontId="0" fillId="4" borderId="26" xfId="0" applyFill="1" applyBorder="1" applyAlignment="1">
      <alignment vertical="center" wrapText="1"/>
    </xf>
    <xf numFmtId="0" fontId="0" fillId="4" borderId="27" xfId="0" applyFill="1" applyBorder="1" applyAlignment="1">
      <alignment vertical="center" wrapText="1"/>
    </xf>
    <xf numFmtId="0" fontId="0" fillId="4" borderId="28" xfId="0" applyFill="1" applyBorder="1" applyAlignment="1">
      <alignment vertical="center" wrapText="1"/>
    </xf>
    <xf numFmtId="0" fontId="0" fillId="4" borderId="29" xfId="0" applyFill="1" applyBorder="1" applyAlignment="1">
      <alignment vertical="center" wrapText="1"/>
    </xf>
    <xf numFmtId="0" fontId="0" fillId="4" borderId="17" xfId="0" applyFill="1" applyBorder="1" applyAlignment="1">
      <alignment vertical="center" wrapText="1"/>
    </xf>
    <xf numFmtId="0" fontId="0" fillId="4" borderId="30" xfId="0" applyFill="1" applyBorder="1" applyAlignment="1">
      <alignment vertical="center" wrapText="1"/>
    </xf>
    <xf numFmtId="0" fontId="0" fillId="4" borderId="6" xfId="0" applyFill="1" applyBorder="1" applyAlignment="1">
      <alignment horizontal="center"/>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cellXfs>
  <cellStyles count="1">
    <cellStyle name="Normale" xfId="0" builtinId="0"/>
  </cellStyles>
  <dxfs count="21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'fase 0 '!$I$3:$I$6</c:f>
              <c:numCache>
                <c:formatCode>0.0</c:formatCode>
                <c:ptCount val="4"/>
                <c:pt idx="0" formatCode="General">
                  <c:v>0</c:v>
                </c:pt>
                <c:pt idx="1">
                  <c:v>6.0338326794167445</c:v>
                </c:pt>
                <c:pt idx="2">
                  <c:v>-5.6564050055866355</c:v>
                </c:pt>
                <c:pt idx="3" formatCode="General">
                  <c:v>0</c:v>
                </c:pt>
              </c:numCache>
            </c:numRef>
          </c:xVal>
          <c:yVal>
            <c:numRef>
              <c:f>'fase 0 '!$J$3:$J$6</c:f>
              <c:numCache>
                <c:formatCode>0.0</c:formatCode>
                <c:ptCount val="4"/>
                <c:pt idx="0" formatCode="General">
                  <c:v>722.6</c:v>
                </c:pt>
                <c:pt idx="1">
                  <c:v>722.6</c:v>
                </c:pt>
                <c:pt idx="2">
                  <c:v>-677.4</c:v>
                </c:pt>
                <c:pt idx="3" formatCode="General">
                  <c:v>-677.4</c:v>
                </c:pt>
              </c:numCache>
            </c:numRef>
          </c:yVal>
          <c:smooth val="0"/>
          <c:extLst>
            <c:ext xmlns:c16="http://schemas.microsoft.com/office/drawing/2014/chart" uri="{C3380CC4-5D6E-409C-BE32-E72D297353CC}">
              <c16:uniqueId val="{00000000-B848-4F59-B5C8-1A9E32564056}"/>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0"/>
                <c:order val="0"/>
                <c:tx>
                  <c:v>Fase 0 - G1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'fase 0'!#REF!</c15:sqref>
                        </c15:formulaRef>
                      </c:ext>
                    </c:extLst>
                  </c:numRef>
                </c:xVal>
                <c:yVal>
                  <c:numRef>
                    <c:extLst>
                      <c:ext uri="{02D57815-91ED-43cb-92C2-25804820EDAC}">
                        <c15:formulaRef>
                          <c15:sqref>'fase 0'!#REF!</c15:sqref>
                        </c15:formulaRef>
                      </c:ext>
                    </c:extLst>
                    <c:numCache>
                      <c:formatCode>General</c:formatCode>
                      <c:ptCount val="1"/>
                      <c:pt idx="0">
                        <c:v>1</c:v>
                      </c:pt>
                    </c:numCache>
                  </c:numRef>
                </c:yVal>
                <c:smooth val="0"/>
                <c:extLst>
                  <c:ext xmlns:c16="http://schemas.microsoft.com/office/drawing/2014/chart" uri="{C3380CC4-5D6E-409C-BE32-E72D297353CC}">
                    <c16:uniqueId val="{00000000-0B7A-4D83-9F42-E963250A0DEA}"/>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0 '!$M$3:$M$6</c:f>
              <c:numCache>
                <c:formatCode>0.0</c:formatCode>
                <c:ptCount val="4"/>
                <c:pt idx="0" formatCode="General">
                  <c:v>0</c:v>
                </c:pt>
                <c:pt idx="1">
                  <c:v>0.71886340120490111</c:v>
                </c:pt>
                <c:pt idx="2">
                  <c:v>23.218798686909444</c:v>
                </c:pt>
                <c:pt idx="3" formatCode="General">
                  <c:v>0</c:v>
                </c:pt>
              </c:numCache>
            </c:numRef>
          </c:xVal>
          <c:yVal>
            <c:numRef>
              <c:f>'fase 0 '!$N$3:$N$6</c:f>
              <c:numCache>
                <c:formatCode>0.0</c:formatCode>
                <c:ptCount val="4"/>
                <c:pt idx="0" formatCode="General">
                  <c:v>722.6</c:v>
                </c:pt>
                <c:pt idx="1">
                  <c:v>722.6</c:v>
                </c:pt>
                <c:pt idx="2">
                  <c:v>-677.4</c:v>
                </c:pt>
                <c:pt idx="3" formatCode="General">
                  <c:v>-677.4</c:v>
                </c:pt>
              </c:numCache>
            </c:numRef>
          </c:yVal>
          <c:smooth val="0"/>
          <c:extLst xmlns:c15="http://schemas.microsoft.com/office/drawing/2012/chart">
            <c:ext xmlns:c16="http://schemas.microsoft.com/office/drawing/2014/chart" uri="{C3380CC4-5D6E-409C-BE32-E72D297353CC}">
              <c16:uniqueId val="{00000001-3967-45C3-910E-38416945C204}"/>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cls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0 '!$Q$3:$Q$6</c:f>
              <c:numCache>
                <c:formatCode>0.0</c:formatCode>
                <c:ptCount val="4"/>
                <c:pt idx="0" formatCode="General">
                  <c:v>0</c:v>
                </c:pt>
                <c:pt idx="1">
                  <c:v>6.7526960806216456</c:v>
                </c:pt>
                <c:pt idx="2">
                  <c:v>17.56239368132281</c:v>
                </c:pt>
                <c:pt idx="3" formatCode="General">
                  <c:v>0</c:v>
                </c:pt>
              </c:numCache>
            </c:numRef>
          </c:xVal>
          <c:yVal>
            <c:numRef>
              <c:f>'fase 0 '!$R$3:$R$6</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0 - G1</c:v>
          </c:tx>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'!$B$30:$B$33</c:f>
              <c:numCache>
                <c:formatCode>0.00</c:formatCode>
                <c:ptCount val="4"/>
                <c:pt idx="0" formatCode="General">
                  <c:v>0</c:v>
                </c:pt>
                <c:pt idx="1">
                  <c:v>6.7526960806216456</c:v>
                </c:pt>
                <c:pt idx="2">
                  <c:v>17.56239368132281</c:v>
                </c:pt>
                <c:pt idx="3" formatCode="General">
                  <c:v>0</c:v>
                </c:pt>
              </c:numCache>
            </c:numRef>
          </c:xVal>
          <c:yVal>
            <c:numRef>
              <c:f>'fase 1 '!$C$30:$C$33</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1-EE06-429D-82D5-9DC49A0D1721}"/>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uri="{CE6537A1-D6FC-4f65-9D91-7224C49458BB}">
                      <c15:showLeaderLines val="0"/>
                    </c:ext>
                  </c:extLst>
                </c:dLbls>
                <c:xVal>
                  <c:numRef>
                    <c:extLst>
                      <c:ext uri="{02D57815-91ED-43cb-92C2-25804820EDAC}">
                        <c15:formulaRef>
                          <c15:sqref>'fase 0 '!$I$3:$I$6</c15:sqref>
                        </c15:formulaRef>
                      </c:ext>
                    </c:extLst>
                    <c:numCache>
                      <c:formatCode>0.0</c:formatCode>
                      <c:ptCount val="4"/>
                      <c:pt idx="0" formatCode="General">
                        <c:v>0</c:v>
                      </c:pt>
                      <c:pt idx="1">
                        <c:v>6.0338326794167445</c:v>
                      </c:pt>
                      <c:pt idx="2">
                        <c:v>-5.6564050055866355</c:v>
                      </c:pt>
                      <c:pt idx="3" formatCode="General">
                        <c:v>0</c:v>
                      </c:pt>
                    </c:numCache>
                  </c:numRef>
                </c:xVal>
                <c:yVal>
                  <c:numRef>
                    <c:extLst>
                      <c:ext uri="{02D57815-91ED-43cb-92C2-25804820EDAC}">
                        <c15:formulaRef>
                          <c15:sqref>'fase 0 '!$J$3:$J$6</c15:sqref>
                        </c15:formulaRef>
                      </c:ext>
                    </c:extLst>
                    <c:numCache>
                      <c:formatCode>0.0</c:formatCode>
                      <c:ptCount val="4"/>
                      <c:pt idx="0" formatCode="General">
                        <c:v>722.6</c:v>
                      </c:pt>
                      <c:pt idx="1">
                        <c:v>722.6</c:v>
                      </c:pt>
                      <c:pt idx="2">
                        <c:v>-677.4</c:v>
                      </c:pt>
                      <c:pt idx="3" formatCode="General">
                        <c:v>-677.4</c:v>
                      </c:pt>
                    </c:numCache>
                  </c:numRef>
                </c:yVal>
                <c:smooth val="0"/>
                <c:extLst>
                  <c:ext xmlns:c16="http://schemas.microsoft.com/office/drawing/2014/chart" uri="{C3380CC4-5D6E-409C-BE32-E72D297353CC}">
                    <c16:uniqueId val="{00000000-EE06-429D-82D5-9DC49A0D1721}"/>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
                  <c:y val="2.582278206475632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20-4635-B1E4-05031FB0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'!$F$30:$F$33</c:f>
              <c:numCache>
                <c:formatCode>0.0</c:formatCode>
                <c:ptCount val="4"/>
                <c:pt idx="0" formatCode="General">
                  <c:v>0</c:v>
                </c:pt>
                <c:pt idx="1">
                  <c:v>-0.15183175635621105</c:v>
                </c:pt>
                <c:pt idx="2">
                  <c:v>-4.9040624118655023</c:v>
                </c:pt>
                <c:pt idx="3" formatCode="General">
                  <c:v>0</c:v>
                </c:pt>
              </c:numCache>
            </c:numRef>
          </c:xVal>
          <c:yVal>
            <c:numRef>
              <c:f>'fase 1 '!$G$30:$G$33</c:f>
              <c:numCache>
                <c:formatCode>0.0</c:formatCode>
                <c:ptCount val="4"/>
                <c:pt idx="0" formatCode="General">
                  <c:v>722.6</c:v>
                </c:pt>
                <c:pt idx="1">
                  <c:v>722.6</c:v>
                </c:pt>
                <c:pt idx="2">
                  <c:v>-677.4</c:v>
                </c:pt>
                <c:pt idx="3" formatCode="General">
                  <c:v>-677.4</c:v>
                </c:pt>
              </c:numCache>
            </c:numRef>
          </c:yVal>
          <c:smooth val="0"/>
          <c:extLst xmlns:c15="http://schemas.microsoft.com/office/drawing/2012/chart">
            <c:ext xmlns:c16="http://schemas.microsoft.com/office/drawing/2014/chart" uri="{C3380CC4-5D6E-409C-BE32-E72D297353CC}">
              <c16:uniqueId val="{00000000-0B20-4635-B1E4-05031FB08E70}"/>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 soletta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'!$J$30:$J$33</c:f>
              <c:numCache>
                <c:formatCode>0.0</c:formatCode>
                <c:ptCount val="4"/>
                <c:pt idx="0" formatCode="General">
                  <c:v>0</c:v>
                </c:pt>
                <c:pt idx="1">
                  <c:v>4.7164778125836087</c:v>
                </c:pt>
                <c:pt idx="2">
                  <c:v>-4.4214531832883148</c:v>
                </c:pt>
                <c:pt idx="3" formatCode="General">
                  <c:v>0</c:v>
                </c:pt>
              </c:numCache>
            </c:numRef>
          </c:xVal>
          <c:yVal>
            <c:numRef>
              <c:f>'fase 1 '!$K$30:$K$33</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1-CDED-4AEC-99B2-84FB92CEC84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cls -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1 '!$O$30:$O$33</c:f>
              <c:numCache>
                <c:formatCode>0.00</c:formatCode>
                <c:ptCount val="4"/>
                <c:pt idx="0" formatCode="General">
                  <c:v>0</c:v>
                </c:pt>
                <c:pt idx="1">
                  <c:v>11.317342136849042</c:v>
                </c:pt>
                <c:pt idx="2">
                  <c:v>8.2368780861689928</c:v>
                </c:pt>
                <c:pt idx="3" formatCode="General">
                  <c:v>0</c:v>
                </c:pt>
              </c:numCache>
            </c:numRef>
          </c:xVal>
          <c:yVal>
            <c:numRef>
              <c:f>'fase 1 '!$P$30:$P$33</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cls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'!$C$46:$C$53</c:f>
              <c:numCache>
                <c:formatCode>0.00</c:formatCode>
                <c:ptCount val="8"/>
                <c:pt idx="0">
                  <c:v>0</c:v>
                </c:pt>
                <c:pt idx="1">
                  <c:v>0</c:v>
                </c:pt>
                <c:pt idx="2">
                  <c:v>0</c:v>
                </c:pt>
                <c:pt idx="3">
                  <c:v>0</c:v>
                </c:pt>
                <c:pt idx="4">
                  <c:v>0</c:v>
                </c:pt>
                <c:pt idx="5">
                  <c:v>11.317342136849042</c:v>
                </c:pt>
                <c:pt idx="6">
                  <c:v>8.2368780861689928</c:v>
                </c:pt>
                <c:pt idx="7">
                  <c:v>0</c:v>
                </c:pt>
              </c:numCache>
            </c:numRef>
          </c:xVal>
          <c:yVal>
            <c:numRef>
              <c:f>'fase 2 '!$B$46:$B$53</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E3DB-4D3B-8D98-5FA2276E417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permanenti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1-40EC-BB38-21F7D8B2BCF1}"/>
                </c:ext>
              </c:extLst>
            </c:dLbl>
            <c:dLbl>
              <c:idx val="4"/>
              <c:delete val="1"/>
              <c:extLst>
                <c:ext xmlns:c15="http://schemas.microsoft.com/office/drawing/2012/chart" uri="{CE6537A1-D6FC-4f65-9D91-7224C49458BB}"/>
                <c:ext xmlns:c16="http://schemas.microsoft.com/office/drawing/2014/chart" uri="{C3380CC4-5D6E-409C-BE32-E72D297353CC}">
                  <c16:uniqueId val="{00000002-D031-40EC-BB38-21F7D8B2BCF1}"/>
                </c:ext>
              </c:extLst>
            </c:dLbl>
            <c:dLbl>
              <c:idx val="5"/>
              <c:delete val="1"/>
              <c:extLst>
                <c:ext xmlns:c15="http://schemas.microsoft.com/office/drawing/2012/chart" uri="{CE6537A1-D6FC-4f65-9D91-7224C49458BB}"/>
                <c:ext xmlns:c16="http://schemas.microsoft.com/office/drawing/2014/chart" uri="{C3380CC4-5D6E-409C-BE32-E72D297353CC}">
                  <c16:uniqueId val="{00000001-D031-40EC-BB38-21F7D8B2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'!$D$46:$D$53</c:f>
              <c:numCache>
                <c:formatCode>0.00</c:formatCode>
                <c:ptCount val="8"/>
                <c:pt idx="0" formatCode="General">
                  <c:v>0</c:v>
                </c:pt>
                <c:pt idx="1">
                  <c:v>0.90452327110861386</c:v>
                </c:pt>
                <c:pt idx="2">
                  <c:v>0.51531360195688669</c:v>
                </c:pt>
                <c:pt idx="3">
                  <c:v>0.54196262360901715</c:v>
                </c:pt>
                <c:pt idx="4">
                  <c:v>0.54196262360901715</c:v>
                </c:pt>
                <c:pt idx="5">
                  <c:v>0.54196262360901715</c:v>
                </c:pt>
                <c:pt idx="6">
                  <c:v>-1.7503264188460403</c:v>
                </c:pt>
                <c:pt idx="7">
                  <c:v>0</c:v>
                </c:pt>
              </c:numCache>
            </c:numRef>
          </c:xVal>
          <c:yVal>
            <c:numRef>
              <c:f>'fase 2 '!$B$46:$B$53</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D031-40EC-BB38-21F7D8B2BCF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da ritiro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75-499A-A137-560F28496882}"/>
                </c:ext>
              </c:extLst>
            </c:dLbl>
            <c:dLbl>
              <c:idx val="4"/>
              <c:delete val="1"/>
              <c:extLst>
                <c:ext xmlns:c15="http://schemas.microsoft.com/office/drawing/2012/chart" uri="{CE6537A1-D6FC-4f65-9D91-7224C49458BB}"/>
                <c:ext xmlns:c16="http://schemas.microsoft.com/office/drawing/2014/chart" uri="{C3380CC4-5D6E-409C-BE32-E72D297353CC}">
                  <c16:uniqueId val="{00000001-1375-499A-A137-560F28496882}"/>
                </c:ext>
              </c:extLst>
            </c:dLbl>
            <c:dLbl>
              <c:idx val="5"/>
              <c:delete val="1"/>
              <c:extLst>
                <c:ext xmlns:c15="http://schemas.microsoft.com/office/drawing/2012/chart" uri="{CE6537A1-D6FC-4f65-9D91-7224C49458BB}"/>
                <c:ext xmlns:c16="http://schemas.microsoft.com/office/drawing/2014/chart" uri="{C3380CC4-5D6E-409C-BE32-E72D297353CC}">
                  <c16:uniqueId val="{00000002-1375-499A-A137-560F28496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'!$E$46:$E$53</c:f>
              <c:numCache>
                <c:formatCode>0.0</c:formatCode>
                <c:ptCount val="8"/>
                <c:pt idx="0" formatCode="General">
                  <c:v>0</c:v>
                </c:pt>
                <c:pt idx="1">
                  <c:v>-2.1289441201702717</c:v>
                </c:pt>
                <c:pt idx="2">
                  <c:v>-2.9260703064643456</c:v>
                </c:pt>
                <c:pt idx="3">
                  <c:v>0</c:v>
                </c:pt>
                <c:pt idx="4">
                  <c:v>0</c:v>
                </c:pt>
                <c:pt idx="5">
                  <c:v>4.2842030434855563</c:v>
                </c:pt>
                <c:pt idx="6">
                  <c:v>-0.41055088253669991</c:v>
                </c:pt>
                <c:pt idx="7" formatCode="General">
                  <c:v>0</c:v>
                </c:pt>
              </c:numCache>
            </c:numRef>
          </c:xVal>
          <c:yVal>
            <c:numRef>
              <c:f>'fase 2 '!$B$46:$B$53</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1375-499A-A137-560F2849688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8-473D-8F32-D605F9D1B827}"/>
                </c:ext>
              </c:extLst>
            </c:dLbl>
            <c:dLbl>
              <c:idx val="4"/>
              <c:delete val="1"/>
              <c:extLst>
                <c:ext xmlns:c15="http://schemas.microsoft.com/office/drawing/2012/chart" uri="{CE6537A1-D6FC-4f65-9D91-7224C49458BB}"/>
                <c:ext xmlns:c16="http://schemas.microsoft.com/office/drawing/2014/chart" uri="{C3380CC4-5D6E-409C-BE32-E72D297353CC}">
                  <c16:uniqueId val="{00000001-1288-473D-8F32-D605F9D1B827}"/>
                </c:ext>
              </c:extLst>
            </c:dLbl>
            <c:dLbl>
              <c:idx val="5"/>
              <c:delete val="1"/>
              <c:extLst>
                <c:ext xmlns:c15="http://schemas.microsoft.com/office/drawing/2012/chart" uri="{CE6537A1-D6FC-4f65-9D91-7224C49458BB}"/>
                <c:ext xmlns:c16="http://schemas.microsoft.com/office/drawing/2014/chart" uri="{C3380CC4-5D6E-409C-BE32-E72D297353CC}">
                  <c16:uniqueId val="{00000002-1288-473D-8F32-D605F9D1B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'!$F$46:$F$53</c:f>
              <c:numCache>
                <c:formatCode>0.00</c:formatCode>
                <c:ptCount val="8"/>
                <c:pt idx="0" formatCode="General">
                  <c:v>0</c:v>
                </c:pt>
                <c:pt idx="1">
                  <c:v>4.152448505467346E-2</c:v>
                </c:pt>
                <c:pt idx="2" formatCode="0.00000">
                  <c:v>-2.9953722394819013E-2</c:v>
                </c:pt>
                <c:pt idx="3" formatCode="General">
                  <c:v>0</c:v>
                </c:pt>
                <c:pt idx="4" formatCode="General">
                  <c:v>0</c:v>
                </c:pt>
                <c:pt idx="5" formatCode="0.0000">
                  <c:v>-3.1502754661054858E-2</c:v>
                </c:pt>
                <c:pt idx="6">
                  <c:v>-0.45248076393791914</c:v>
                </c:pt>
                <c:pt idx="7" formatCode="General">
                  <c:v>0</c:v>
                </c:pt>
              </c:numCache>
            </c:numRef>
          </c:xVal>
          <c:yVal>
            <c:numRef>
              <c:f>'fase 2 '!$B$46:$B$53</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1288-473D-8F32-D605F9D1B827}"/>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tensione cls -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'!$G$46:$G$53</c:f>
              <c:numCache>
                <c:formatCode>0.00</c:formatCode>
                <c:ptCount val="8"/>
                <c:pt idx="0">
                  <c:v>0</c:v>
                </c:pt>
                <c:pt idx="1">
                  <c:v>-1.1828963640069843</c:v>
                </c:pt>
                <c:pt idx="2">
                  <c:v>-2.4407104269022777</c:v>
                </c:pt>
                <c:pt idx="3">
                  <c:v>0.54196262360901715</c:v>
                </c:pt>
                <c:pt idx="4">
                  <c:v>0.54196262360901715</c:v>
                </c:pt>
                <c:pt idx="5">
                  <c:v>16.112005049282558</c:v>
                </c:pt>
                <c:pt idx="6">
                  <c:v>5.6235200208483338</c:v>
                </c:pt>
                <c:pt idx="7">
                  <c:v>0</c:v>
                </c:pt>
              </c:numCache>
            </c:numRef>
          </c:xVal>
          <c:yVal>
            <c:numRef>
              <c:f>'fase 2 '!$B$46:$B$53</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[2]SOLETTA!$H$125</c:f>
              <c:strCache>
                <c:ptCount val="1"/>
                <c:pt idx="0">
                  <c:v>εc0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[2]SOLETTA!$G$126:$G$129</c:f>
              <c:numCache>
                <c:formatCode>General</c:formatCode>
                <c:ptCount val="4"/>
                <c:pt idx="0">
                  <c:v>20</c:v>
                </c:pt>
                <c:pt idx="1">
                  <c:v>40</c:v>
                </c:pt>
                <c:pt idx="2">
                  <c:v>60</c:v>
                </c:pt>
                <c:pt idx="3">
                  <c:v>80</c:v>
                </c:pt>
              </c:numCache>
            </c:numRef>
          </c:xVal>
          <c:yVal>
            <c:numRef>
              <c:f>[2]SOLETTA!$H$126:$H$129</c:f>
              <c:numCache>
                <c:formatCode>General</c:formatCode>
                <c:ptCount val="4"/>
                <c:pt idx="0">
                  <c:v>0.3</c:v>
                </c:pt>
                <c:pt idx="1">
                  <c:v>0.24</c:v>
                </c:pt>
                <c:pt idx="2">
                  <c:v>0.19</c:v>
                </c:pt>
                <c:pt idx="3">
                  <c:v>0.15</c:v>
                </c:pt>
              </c:numCache>
            </c:numRef>
          </c:yVal>
          <c:smooth val="0"/>
          <c:extLst>
            <c:ext xmlns:c16="http://schemas.microsoft.com/office/drawing/2014/chart" uri="{C3380CC4-5D6E-409C-BE32-E72D297353CC}">
              <c16:uniqueId val="{00000000-6D26-4B2B-8688-603A29AACDD3}"/>
            </c:ext>
          </c:extLst>
        </c:ser>
        <c:dLbls>
          <c:showLegendKey val="0"/>
          <c:showVal val="0"/>
          <c:showCatName val="0"/>
          <c:showSerName val="0"/>
          <c:showPercent val="0"/>
          <c:showBubbleSize val="0"/>
        </c:dLbls>
        <c:axId val="1243364543"/>
        <c:axId val="1243367455"/>
      </c:scatterChart>
      <c:valAx>
        <c:axId val="12433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7455"/>
        <c:crosses val="autoZero"/>
        <c:crossBetween val="midCat"/>
      </c:valAx>
      <c:valAx>
        <c:axId val="12433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[2]SOLETTA!$H$131</c:f>
              <c:strCache>
                <c:ptCount val="1"/>
                <c:pt idx="0">
                  <c:v>Kh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[2]SOLETTA!$G$132:$G$135</c:f>
              <c:numCache>
                <c:formatCode>General</c:formatCode>
                <c:ptCount val="4"/>
                <c:pt idx="0">
                  <c:v>100</c:v>
                </c:pt>
                <c:pt idx="1">
                  <c:v>200</c:v>
                </c:pt>
                <c:pt idx="2">
                  <c:v>300</c:v>
                </c:pt>
                <c:pt idx="3">
                  <c:v>500</c:v>
                </c:pt>
              </c:numCache>
            </c:numRef>
          </c:xVal>
          <c:yVal>
            <c:numRef>
              <c:f>[2]SOLETTA!$H$132:$H$135</c:f>
              <c:numCache>
                <c:formatCode>General</c:formatCode>
                <c:ptCount val="4"/>
                <c:pt idx="0">
                  <c:v>1</c:v>
                </c:pt>
                <c:pt idx="1">
                  <c:v>0.85</c:v>
                </c:pt>
                <c:pt idx="2">
                  <c:v>0.75</c:v>
                </c:pt>
                <c:pt idx="3">
                  <c:v>0.7</c:v>
                </c:pt>
              </c:numCache>
            </c:numRef>
          </c:yVal>
          <c:smooth val="0"/>
          <c:extLst>
            <c:ext xmlns:c16="http://schemas.microsoft.com/office/drawing/2014/chart" uri="{C3380CC4-5D6E-409C-BE32-E72D297353CC}">
              <c16:uniqueId val="{00000000-52FA-4FEB-B671-CB7611881AE8}"/>
            </c:ext>
          </c:extLst>
        </c:ser>
        <c:dLbls>
          <c:showLegendKey val="0"/>
          <c:showVal val="0"/>
          <c:showCatName val="0"/>
          <c:showSerName val="0"/>
          <c:showPercent val="0"/>
          <c:showBubbleSize val="0"/>
        </c:dLbls>
        <c:axId val="1398380367"/>
        <c:axId val="1398379119"/>
      </c:scatterChart>
      <c:valAx>
        <c:axId val="13983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79119"/>
        <c:crosses val="autoZero"/>
        <c:crossBetween val="midCat"/>
      </c:valAx>
      <c:valAx>
        <c:axId val="13983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80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Accidentale </a:t>
            </a:r>
            <a:r>
              <a:rPr lang="en-GB" sz="1200" b="1" baseline="0"/>
              <a:t>-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3'!$D$29:$D$36</c:f>
              <c:numCache>
                <c:formatCode>0.00</c:formatCode>
                <c:ptCount val="8"/>
                <c:pt idx="0" formatCode="General">
                  <c:v>0</c:v>
                </c:pt>
                <c:pt idx="1">
                  <c:v>3.0947288010827454</c:v>
                </c:pt>
                <c:pt idx="2">
                  <c:v>1.7630899021659014</c:v>
                </c:pt>
                <c:pt idx="3">
                  <c:v>0</c:v>
                </c:pt>
                <c:pt idx="4">
                  <c:v>1.8542666551160452</c:v>
                </c:pt>
                <c:pt idx="5">
                  <c:v>1.8542666551160452</c:v>
                </c:pt>
                <c:pt idx="6">
                  <c:v>-5.9885530341965323</c:v>
                </c:pt>
                <c:pt idx="7">
                  <c:v>0</c:v>
                </c:pt>
              </c:numCache>
            </c:numRef>
          </c:xVal>
          <c:yVal>
            <c:numRef>
              <c:f>'fase 3'!$B$29:$B$36</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E05F-44E5-A413-88A9F34D4869}"/>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totale -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3'!$E$29:$E$36</c:f>
              <c:numCache>
                <c:formatCode>0.00</c:formatCode>
                <c:ptCount val="8"/>
                <c:pt idx="0">
                  <c:v>0</c:v>
                </c:pt>
                <c:pt idx="1">
                  <c:v>1.9118324370757611</c:v>
                </c:pt>
                <c:pt idx="2">
                  <c:v>-0.67762052473637624</c:v>
                </c:pt>
                <c:pt idx="3">
                  <c:v>0.54196262360901715</c:v>
                </c:pt>
                <c:pt idx="4">
                  <c:v>2.3962292787250625</c:v>
                </c:pt>
                <c:pt idx="5">
                  <c:v>17.966271704398604</c:v>
                </c:pt>
                <c:pt idx="6">
                  <c:v>-0.36503301334819849</c:v>
                </c:pt>
                <c:pt idx="7">
                  <c:v>0</c:v>
                </c:pt>
              </c:numCache>
            </c:numRef>
          </c:xVal>
          <c:yVal>
            <c:numRef>
              <c:f>'fase 3'!$B$29:$B$36</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totale </a:t>
            </a:r>
            <a:r>
              <a:rPr lang="en-GB" sz="1200" b="1" baseline="0"/>
              <a:t>- fase 2</a:t>
            </a:r>
          </a:p>
        </c:rich>
      </c:tx>
      <c:layout>
        <c:manualLayout>
          <c:xMode val="edge"/>
          <c:yMode val="edge"/>
          <c:x val="0.28701679158974186"/>
          <c:y val="2.592592760610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3'!$C$29:$C$36</c:f>
              <c:numCache>
                <c:formatCode>0.00</c:formatCode>
                <c:ptCount val="8"/>
                <c:pt idx="0">
                  <c:v>0</c:v>
                </c:pt>
                <c:pt idx="1">
                  <c:v>-1.1828963640069843</c:v>
                </c:pt>
                <c:pt idx="2">
                  <c:v>-2.4407104269022777</c:v>
                </c:pt>
                <c:pt idx="3">
                  <c:v>0.54196262360901715</c:v>
                </c:pt>
                <c:pt idx="4">
                  <c:v>0.54196262360901715</c:v>
                </c:pt>
                <c:pt idx="5">
                  <c:v>16.112005049282558</c:v>
                </c:pt>
                <c:pt idx="6">
                  <c:v>5.6235200208483338</c:v>
                </c:pt>
                <c:pt idx="7">
                  <c:v>0</c:v>
                </c:pt>
              </c:numCache>
            </c:numRef>
          </c:xVal>
          <c:yVal>
            <c:numRef>
              <c:f>'fase 3'!$B$29:$B$36</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ACD2-4947-9A42-834D8A1DF5E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Dominio M - N</a:t>
            </a:r>
          </a:p>
        </c:rich>
      </c:tx>
      <c:layout>
        <c:manualLayout>
          <c:xMode val="edge"/>
          <c:yMode val="edge"/>
          <c:x val="0.3781098558332382"/>
          <c:y val="2.05128205128205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880104986876634E-2"/>
          <c:y val="0.12441085217880037"/>
          <c:w val="0.84974551181102354"/>
          <c:h val="0.78768967951679114"/>
        </c:manualLayout>
      </c:layout>
      <c:scatterChart>
        <c:scatterStyle val="lineMarker"/>
        <c:varyColors val="0"/>
        <c:ser>
          <c:idx val="0"/>
          <c:order val="0"/>
          <c:tx>
            <c:v>Dominio con armature lateriali e sup.</c:v>
          </c:tx>
          <c:spPr>
            <a:ln w="19050" cap="rnd">
              <a:solidFill>
                <a:schemeClr val="accent1"/>
              </a:solidFill>
              <a:round/>
            </a:ln>
            <a:effectLst/>
          </c:spPr>
          <c:marker>
            <c:symbol val="none"/>
          </c:marker>
          <c:xVal>
            <c:numRef>
              <c:f>dominio!$A$4:$A$744</c:f>
              <c:numCache>
                <c:formatCode>General</c:formatCode>
                <c:ptCount val="741"/>
                <c:pt idx="0">
                  <c:v>-13070.3</c:v>
                </c:pt>
                <c:pt idx="1">
                  <c:v>-13070.3</c:v>
                </c:pt>
                <c:pt idx="2">
                  <c:v>-13070.3</c:v>
                </c:pt>
                <c:pt idx="3">
                  <c:v>-13070.3</c:v>
                </c:pt>
                <c:pt idx="4">
                  <c:v>-12331.4</c:v>
                </c:pt>
                <c:pt idx="5">
                  <c:v>-10660.3</c:v>
                </c:pt>
                <c:pt idx="6">
                  <c:v>-8835</c:v>
                </c:pt>
                <c:pt idx="7">
                  <c:v>-6430.83</c:v>
                </c:pt>
                <c:pt idx="8">
                  <c:v>-2000.48</c:v>
                </c:pt>
                <c:pt idx="9">
                  <c:v>7673.44</c:v>
                </c:pt>
                <c:pt idx="10">
                  <c:v>9651.23</c:v>
                </c:pt>
                <c:pt idx="11">
                  <c:v>11210.3</c:v>
                </c:pt>
                <c:pt idx="12">
                  <c:v>13671.2</c:v>
                </c:pt>
                <c:pt idx="13">
                  <c:v>14679.7</c:v>
                </c:pt>
                <c:pt idx="14">
                  <c:v>16559.7</c:v>
                </c:pt>
                <c:pt idx="15">
                  <c:v>19667.3</c:v>
                </c:pt>
                <c:pt idx="16">
                  <c:v>22720.1</c:v>
                </c:pt>
                <c:pt idx="17">
                  <c:v>24812.9</c:v>
                </c:pt>
                <c:pt idx="18">
                  <c:v>25945.7</c:v>
                </c:pt>
                <c:pt idx="19">
                  <c:v>25945.7</c:v>
                </c:pt>
                <c:pt idx="20">
                  <c:v>24422.6</c:v>
                </c:pt>
                <c:pt idx="21">
                  <c:v>19799.400000000001</c:v>
                </c:pt>
                <c:pt idx="22">
                  <c:v>12105.7</c:v>
                </c:pt>
                <c:pt idx="23">
                  <c:v>4102.2700000000004</c:v>
                </c:pt>
                <c:pt idx="24">
                  <c:v>1839.82</c:v>
                </c:pt>
                <c:pt idx="25">
                  <c:v>288.67500000000001</c:v>
                </c:pt>
                <c:pt idx="26">
                  <c:v>-2202.16</c:v>
                </c:pt>
                <c:pt idx="27">
                  <c:v>-3609.55</c:v>
                </c:pt>
                <c:pt idx="28">
                  <c:v>-4361.5200000000004</c:v>
                </c:pt>
                <c:pt idx="29">
                  <c:v>-7130.9</c:v>
                </c:pt>
                <c:pt idx="30">
                  <c:v>-9902.57</c:v>
                </c:pt>
                <c:pt idx="31">
                  <c:v>-11402.3</c:v>
                </c:pt>
                <c:pt idx="32">
                  <c:v>-12121.1</c:v>
                </c:pt>
                <c:pt idx="33">
                  <c:v>-12779.3</c:v>
                </c:pt>
                <c:pt idx="34">
                  <c:v>-13070.3</c:v>
                </c:pt>
                <c:pt idx="35">
                  <c:v>-13070.3</c:v>
                </c:pt>
                <c:pt idx="36">
                  <c:v>-13070.3</c:v>
                </c:pt>
                <c:pt idx="37">
                  <c:v>-13070.3</c:v>
                </c:pt>
              </c:numCache>
            </c:numRef>
          </c:xVal>
          <c:yVal>
            <c:numRef>
              <c:f>dominio!$B$4:$B$744</c:f>
              <c:numCache>
                <c:formatCode>General</c:formatCode>
                <c:ptCount val="741"/>
                <c:pt idx="0">
                  <c:v>4191</c:v>
                </c:pt>
                <c:pt idx="1">
                  <c:v>4191</c:v>
                </c:pt>
                <c:pt idx="2">
                  <c:v>4191</c:v>
                </c:pt>
                <c:pt idx="3">
                  <c:v>4191</c:v>
                </c:pt>
                <c:pt idx="4">
                  <c:v>4739.62</c:v>
                </c:pt>
                <c:pt idx="5">
                  <c:v>5980.4</c:v>
                </c:pt>
                <c:pt idx="6">
                  <c:v>7335.7</c:v>
                </c:pt>
                <c:pt idx="7">
                  <c:v>9084.9</c:v>
                </c:pt>
                <c:pt idx="8">
                  <c:v>12329.7</c:v>
                </c:pt>
                <c:pt idx="9">
                  <c:v>17978.599999999999</c:v>
                </c:pt>
                <c:pt idx="10">
                  <c:v>18965.3</c:v>
                </c:pt>
                <c:pt idx="11">
                  <c:v>19577.099999999999</c:v>
                </c:pt>
                <c:pt idx="12">
                  <c:v>19852.5</c:v>
                </c:pt>
                <c:pt idx="13">
                  <c:v>19789.5</c:v>
                </c:pt>
                <c:pt idx="14">
                  <c:v>19133.7</c:v>
                </c:pt>
                <c:pt idx="15">
                  <c:v>17515</c:v>
                </c:pt>
                <c:pt idx="16">
                  <c:v>15444.1</c:v>
                </c:pt>
                <c:pt idx="17">
                  <c:v>14010.7</c:v>
                </c:pt>
                <c:pt idx="18">
                  <c:v>13214.8</c:v>
                </c:pt>
                <c:pt idx="19">
                  <c:v>13214.8</c:v>
                </c:pt>
                <c:pt idx="20">
                  <c:v>11597.4</c:v>
                </c:pt>
                <c:pt idx="21">
                  <c:v>7944.65</c:v>
                </c:pt>
                <c:pt idx="22">
                  <c:v>2277.19</c:v>
                </c:pt>
                <c:pt idx="23">
                  <c:v>-2128.13</c:v>
                </c:pt>
                <c:pt idx="24">
                  <c:v>-2865.59</c:v>
                </c:pt>
                <c:pt idx="25">
                  <c:v>-3239.9</c:v>
                </c:pt>
                <c:pt idx="26">
                  <c:v>-2817.09</c:v>
                </c:pt>
                <c:pt idx="27">
                  <c:v>-2341.52</c:v>
                </c:pt>
                <c:pt idx="28">
                  <c:v>-1946.15</c:v>
                </c:pt>
                <c:pt idx="29">
                  <c:v>-155.00700000000001</c:v>
                </c:pt>
                <c:pt idx="30">
                  <c:v>1863.32</c:v>
                </c:pt>
                <c:pt idx="31">
                  <c:v>2952.49</c:v>
                </c:pt>
                <c:pt idx="32">
                  <c:v>3486.26</c:v>
                </c:pt>
                <c:pt idx="33">
                  <c:v>3974.93</c:v>
                </c:pt>
                <c:pt idx="34">
                  <c:v>4191</c:v>
                </c:pt>
                <c:pt idx="35">
                  <c:v>4191</c:v>
                </c:pt>
                <c:pt idx="36">
                  <c:v>4191</c:v>
                </c:pt>
                <c:pt idx="37">
                  <c:v>4191</c:v>
                </c:pt>
              </c:numCache>
            </c:numRef>
          </c:yVal>
          <c:smooth val="0"/>
          <c:extLst>
            <c:ext xmlns:c16="http://schemas.microsoft.com/office/drawing/2014/chart" uri="{C3380CC4-5D6E-409C-BE32-E72D297353CC}">
              <c16:uniqueId val="{00000000-68F0-4AC5-AA90-E7F2034606B3}"/>
            </c:ext>
          </c:extLst>
        </c:ser>
        <c:ser>
          <c:idx val="1"/>
          <c:order val="1"/>
          <c:tx>
            <c:v>Dominio con solo armatura inf.</c:v>
          </c:tx>
          <c:spPr>
            <a:ln w="19050" cap="rnd">
              <a:solidFill>
                <a:schemeClr val="accent2"/>
              </a:solidFill>
              <a:round/>
            </a:ln>
            <a:effectLst/>
          </c:spPr>
          <c:marker>
            <c:symbol val="none"/>
          </c:marker>
          <c:xVal>
            <c:numRef>
              <c:f>dominio!$C$4:$C$1001</c:f>
              <c:numCache>
                <c:formatCode>General</c:formatCode>
                <c:ptCount val="998"/>
                <c:pt idx="0">
                  <c:v>-10341.6</c:v>
                </c:pt>
                <c:pt idx="1">
                  <c:v>-10341.6</c:v>
                </c:pt>
                <c:pt idx="2">
                  <c:v>-10341.6</c:v>
                </c:pt>
                <c:pt idx="3">
                  <c:v>-10341.6</c:v>
                </c:pt>
                <c:pt idx="4">
                  <c:v>-10341.6</c:v>
                </c:pt>
                <c:pt idx="5">
                  <c:v>-10341.6</c:v>
                </c:pt>
                <c:pt idx="6">
                  <c:v>-10341.6</c:v>
                </c:pt>
                <c:pt idx="7">
                  <c:v>-10139.4</c:v>
                </c:pt>
                <c:pt idx="8">
                  <c:v>-9632.11</c:v>
                </c:pt>
                <c:pt idx="9">
                  <c:v>-8952.6299999999992</c:v>
                </c:pt>
                <c:pt idx="10">
                  <c:v>-8229.67</c:v>
                </c:pt>
                <c:pt idx="11">
                  <c:v>-7523.85</c:v>
                </c:pt>
                <c:pt idx="12">
                  <c:v>-6833.62</c:v>
                </c:pt>
                <c:pt idx="13">
                  <c:v>-6292.16</c:v>
                </c:pt>
                <c:pt idx="14">
                  <c:v>-5557.14</c:v>
                </c:pt>
                <c:pt idx="15">
                  <c:v>-4483.51</c:v>
                </c:pt>
                <c:pt idx="16">
                  <c:v>-2784.21</c:v>
                </c:pt>
                <c:pt idx="17">
                  <c:v>314.26100000000002</c:v>
                </c:pt>
                <c:pt idx="18">
                  <c:v>5686.74</c:v>
                </c:pt>
                <c:pt idx="19">
                  <c:v>6535.57</c:v>
                </c:pt>
                <c:pt idx="20">
                  <c:v>7355.36</c:v>
                </c:pt>
                <c:pt idx="21">
                  <c:v>8108.37</c:v>
                </c:pt>
                <c:pt idx="22">
                  <c:v>8823.06</c:v>
                </c:pt>
                <c:pt idx="23">
                  <c:v>9605.84</c:v>
                </c:pt>
                <c:pt idx="24">
                  <c:v>11034.3</c:v>
                </c:pt>
                <c:pt idx="25">
                  <c:v>11806</c:v>
                </c:pt>
                <c:pt idx="26">
                  <c:v>12633.7</c:v>
                </c:pt>
                <c:pt idx="27">
                  <c:v>13532.4</c:v>
                </c:pt>
                <c:pt idx="28">
                  <c:v>14522.2</c:v>
                </c:pt>
                <c:pt idx="29">
                  <c:v>15680.5</c:v>
                </c:pt>
                <c:pt idx="30">
                  <c:v>17626.599999999999</c:v>
                </c:pt>
                <c:pt idx="31">
                  <c:v>19392.2</c:v>
                </c:pt>
                <c:pt idx="32">
                  <c:v>20896.3</c:v>
                </c:pt>
                <c:pt idx="33">
                  <c:v>22139</c:v>
                </c:pt>
                <c:pt idx="34">
                  <c:v>23120.1</c:v>
                </c:pt>
                <c:pt idx="35">
                  <c:v>23839.8</c:v>
                </c:pt>
                <c:pt idx="36">
                  <c:v>24297.9</c:v>
                </c:pt>
                <c:pt idx="37">
                  <c:v>24297.9</c:v>
                </c:pt>
                <c:pt idx="38">
                  <c:v>24172.9</c:v>
                </c:pt>
                <c:pt idx="39">
                  <c:v>23328.400000000001</c:v>
                </c:pt>
                <c:pt idx="40">
                  <c:v>21764.400000000001</c:v>
                </c:pt>
                <c:pt idx="41">
                  <c:v>19481</c:v>
                </c:pt>
                <c:pt idx="42">
                  <c:v>16478</c:v>
                </c:pt>
                <c:pt idx="43">
                  <c:v>12755.5</c:v>
                </c:pt>
                <c:pt idx="44">
                  <c:v>8478.8700000000008</c:v>
                </c:pt>
                <c:pt idx="45">
                  <c:v>6503.09</c:v>
                </c:pt>
                <c:pt idx="46">
                  <c:v>5609.66</c:v>
                </c:pt>
                <c:pt idx="47">
                  <c:v>5058.1000000000004</c:v>
                </c:pt>
                <c:pt idx="48">
                  <c:v>4608.8999999999996</c:v>
                </c:pt>
                <c:pt idx="49">
                  <c:v>4215.46</c:v>
                </c:pt>
                <c:pt idx="50">
                  <c:v>3084.47</c:v>
                </c:pt>
                <c:pt idx="51">
                  <c:v>2293.37</c:v>
                </c:pt>
                <c:pt idx="52">
                  <c:v>1696.72</c:v>
                </c:pt>
                <c:pt idx="53">
                  <c:v>1220.8699999999999</c:v>
                </c:pt>
                <c:pt idx="54">
                  <c:v>823.34699999999998</c:v>
                </c:pt>
                <c:pt idx="55">
                  <c:v>475.63900000000001</c:v>
                </c:pt>
                <c:pt idx="56">
                  <c:v>-1598.15</c:v>
                </c:pt>
                <c:pt idx="57">
                  <c:v>-3531.94</c:v>
                </c:pt>
                <c:pt idx="58">
                  <c:v>-4968.0200000000004</c:v>
                </c:pt>
                <c:pt idx="59">
                  <c:v>-6151.54</c:v>
                </c:pt>
                <c:pt idx="60">
                  <c:v>-7199.71</c:v>
                </c:pt>
                <c:pt idx="61">
                  <c:v>-8170.93</c:v>
                </c:pt>
                <c:pt idx="62">
                  <c:v>-9042.91</c:v>
                </c:pt>
                <c:pt idx="63">
                  <c:v>-9525.4500000000007</c:v>
                </c:pt>
                <c:pt idx="64">
                  <c:v>-9805.7099999999991</c:v>
                </c:pt>
                <c:pt idx="65">
                  <c:v>-10068.200000000001</c:v>
                </c:pt>
                <c:pt idx="66">
                  <c:v>-10263.799999999999</c:v>
                </c:pt>
                <c:pt idx="67">
                  <c:v>-10341.6</c:v>
                </c:pt>
                <c:pt idx="68">
                  <c:v>-10341.6</c:v>
                </c:pt>
                <c:pt idx="69">
                  <c:v>-10341.6</c:v>
                </c:pt>
                <c:pt idx="70">
                  <c:v>-10341.6</c:v>
                </c:pt>
                <c:pt idx="71">
                  <c:v>-10341.6</c:v>
                </c:pt>
                <c:pt idx="72">
                  <c:v>-10341.6</c:v>
                </c:pt>
                <c:pt idx="73">
                  <c:v>-10341.6</c:v>
                </c:pt>
              </c:numCache>
            </c:numRef>
          </c:xVal>
          <c:yVal>
            <c:numRef>
              <c:f>dominio!$D$4:$D$1001</c:f>
              <c:numCache>
                <c:formatCode>General</c:formatCode>
                <c:ptCount val="998"/>
                <c:pt idx="0">
                  <c:v>7394.24</c:v>
                </c:pt>
                <c:pt idx="1">
                  <c:v>7394.24</c:v>
                </c:pt>
                <c:pt idx="2">
                  <c:v>7394.24</c:v>
                </c:pt>
                <c:pt idx="3">
                  <c:v>7394.24</c:v>
                </c:pt>
                <c:pt idx="4">
                  <c:v>7394.24</c:v>
                </c:pt>
                <c:pt idx="5">
                  <c:v>7394.24</c:v>
                </c:pt>
                <c:pt idx="6">
                  <c:v>7394.24</c:v>
                </c:pt>
                <c:pt idx="7">
                  <c:v>7559.4</c:v>
                </c:pt>
                <c:pt idx="8">
                  <c:v>7971.88</c:v>
                </c:pt>
                <c:pt idx="9">
                  <c:v>8519</c:v>
                </c:pt>
                <c:pt idx="10">
                  <c:v>9093.26</c:v>
                </c:pt>
                <c:pt idx="11">
                  <c:v>9644.76</c:v>
                </c:pt>
                <c:pt idx="12">
                  <c:v>10175.700000000001</c:v>
                </c:pt>
                <c:pt idx="13">
                  <c:v>10585.5</c:v>
                </c:pt>
                <c:pt idx="14">
                  <c:v>11132.9</c:v>
                </c:pt>
                <c:pt idx="15">
                  <c:v>11915</c:v>
                </c:pt>
                <c:pt idx="16">
                  <c:v>13110.3</c:v>
                </c:pt>
                <c:pt idx="17">
                  <c:v>15154.9</c:v>
                </c:pt>
                <c:pt idx="18">
                  <c:v>18278.3</c:v>
                </c:pt>
                <c:pt idx="19">
                  <c:v>18703</c:v>
                </c:pt>
                <c:pt idx="20">
                  <c:v>19084.400000000001</c:v>
                </c:pt>
                <c:pt idx="21">
                  <c:v>19402.5</c:v>
                </c:pt>
                <c:pt idx="22">
                  <c:v>19657.5</c:v>
                </c:pt>
                <c:pt idx="23">
                  <c:v>19852.5</c:v>
                </c:pt>
                <c:pt idx="24">
                  <c:v>19676.900000000001</c:v>
                </c:pt>
                <c:pt idx="25">
                  <c:v>19377.400000000001</c:v>
                </c:pt>
                <c:pt idx="26">
                  <c:v>19049.3</c:v>
                </c:pt>
                <c:pt idx="27">
                  <c:v>18678.3</c:v>
                </c:pt>
                <c:pt idx="28">
                  <c:v>18241.8</c:v>
                </c:pt>
                <c:pt idx="29">
                  <c:v>17672.2</c:v>
                </c:pt>
                <c:pt idx="30">
                  <c:v>16503.3</c:v>
                </c:pt>
                <c:pt idx="31">
                  <c:v>15309.7</c:v>
                </c:pt>
                <c:pt idx="32">
                  <c:v>14290.5</c:v>
                </c:pt>
                <c:pt idx="33">
                  <c:v>13445.7</c:v>
                </c:pt>
                <c:pt idx="34">
                  <c:v>12775.5</c:v>
                </c:pt>
                <c:pt idx="35">
                  <c:v>12279.7</c:v>
                </c:pt>
                <c:pt idx="36">
                  <c:v>11958.3</c:v>
                </c:pt>
                <c:pt idx="37">
                  <c:v>11958.3</c:v>
                </c:pt>
                <c:pt idx="38">
                  <c:v>11549.2</c:v>
                </c:pt>
                <c:pt idx="39">
                  <c:v>10657.4</c:v>
                </c:pt>
                <c:pt idx="40">
                  <c:v>9282.98</c:v>
                </c:pt>
                <c:pt idx="41">
                  <c:v>7425.97</c:v>
                </c:pt>
                <c:pt idx="42">
                  <c:v>5086.34</c:v>
                </c:pt>
                <c:pt idx="43">
                  <c:v>2264.09</c:v>
                </c:pt>
                <c:pt idx="44">
                  <c:v>-267.65300000000002</c:v>
                </c:pt>
                <c:pt idx="45">
                  <c:v>-1156.49</c:v>
                </c:pt>
                <c:pt idx="46">
                  <c:v>-1403.86</c:v>
                </c:pt>
                <c:pt idx="47">
                  <c:v>-1474.86</c:v>
                </c:pt>
                <c:pt idx="48">
                  <c:v>-1491.69</c:v>
                </c:pt>
                <c:pt idx="49">
                  <c:v>-1480.42</c:v>
                </c:pt>
                <c:pt idx="50">
                  <c:v>-1314.85</c:v>
                </c:pt>
                <c:pt idx="51">
                  <c:v>-1084.8499999999999</c:v>
                </c:pt>
                <c:pt idx="52">
                  <c:v>-852.35199999999998</c:v>
                </c:pt>
                <c:pt idx="53">
                  <c:v>-632.84400000000005</c:v>
                </c:pt>
                <c:pt idx="54">
                  <c:v>-428.09</c:v>
                </c:pt>
                <c:pt idx="55">
                  <c:v>-234.52500000000001</c:v>
                </c:pt>
                <c:pt idx="56">
                  <c:v>1083.1099999999999</c:v>
                </c:pt>
                <c:pt idx="57">
                  <c:v>2404.3200000000002</c:v>
                </c:pt>
                <c:pt idx="58">
                  <c:v>3423.15</c:v>
                </c:pt>
                <c:pt idx="59">
                  <c:v>4275.0600000000004</c:v>
                </c:pt>
                <c:pt idx="60">
                  <c:v>5033.1000000000004</c:v>
                </c:pt>
                <c:pt idx="61">
                  <c:v>5736.39</c:v>
                </c:pt>
                <c:pt idx="62">
                  <c:v>6374.47</c:v>
                </c:pt>
                <c:pt idx="63">
                  <c:v>6737.7</c:v>
                </c:pt>
                <c:pt idx="64">
                  <c:v>6960.31</c:v>
                </c:pt>
                <c:pt idx="65">
                  <c:v>7171.69</c:v>
                </c:pt>
                <c:pt idx="66">
                  <c:v>7330.66</c:v>
                </c:pt>
                <c:pt idx="67">
                  <c:v>7394.24</c:v>
                </c:pt>
                <c:pt idx="68">
                  <c:v>7394.24</c:v>
                </c:pt>
                <c:pt idx="69">
                  <c:v>7394.24</c:v>
                </c:pt>
                <c:pt idx="70">
                  <c:v>7394.24</c:v>
                </c:pt>
                <c:pt idx="71">
                  <c:v>7394.24</c:v>
                </c:pt>
                <c:pt idx="72">
                  <c:v>7394.24</c:v>
                </c:pt>
                <c:pt idx="73">
                  <c:v>7394.24</c:v>
                </c:pt>
              </c:numCache>
            </c:numRef>
          </c:yVal>
          <c:smooth val="0"/>
          <c:extLst>
            <c:ext xmlns:c16="http://schemas.microsoft.com/office/drawing/2014/chart" uri="{C3380CC4-5D6E-409C-BE32-E72D297353CC}">
              <c16:uniqueId val="{00000001-68F0-4AC5-AA90-E7F2034606B3}"/>
            </c:ext>
          </c:extLst>
        </c:ser>
        <c:ser>
          <c:idx val="2"/>
          <c:order val="2"/>
          <c:tx>
            <c:v>Sollecitazioni</c:v>
          </c:tx>
          <c:spPr>
            <a:ln w="25400" cap="rnd">
              <a:solidFill>
                <a:schemeClr val="tx1"/>
              </a:solidFill>
              <a:round/>
            </a:ln>
            <a:effectLst/>
          </c:spPr>
          <c:marker>
            <c:symbol val="none"/>
          </c:marker>
          <c:xVal>
            <c:numRef>
              <c:f>SLU!$B$4:$B$70</c:f>
              <c:numCache>
                <c:formatCode>General</c:formatCode>
                <c:ptCount val="67"/>
                <c:pt idx="0">
                  <c:v>-570.43399999999997</c:v>
                </c:pt>
                <c:pt idx="1">
                  <c:v>-523.25099999999998</c:v>
                </c:pt>
                <c:pt idx="2">
                  <c:v>-523.58500000000004</c:v>
                </c:pt>
                <c:pt idx="3">
                  <c:v>-481.50200000000001</c:v>
                </c:pt>
                <c:pt idx="4">
                  <c:v>-481.83600000000001</c:v>
                </c:pt>
                <c:pt idx="5">
                  <c:v>-447.084</c:v>
                </c:pt>
                <c:pt idx="6">
                  <c:v>-447.41899999999998</c:v>
                </c:pt>
                <c:pt idx="7">
                  <c:v>-440.84</c:v>
                </c:pt>
                <c:pt idx="8">
                  <c:v>-441.17500000000001</c:v>
                </c:pt>
                <c:pt idx="9">
                  <c:v>-437.416</c:v>
                </c:pt>
                <c:pt idx="10">
                  <c:v>-437.75</c:v>
                </c:pt>
                <c:pt idx="11">
                  <c:v>-439.25200000000001</c:v>
                </c:pt>
                <c:pt idx="12">
                  <c:v>-439.58600000000001</c:v>
                </c:pt>
                <c:pt idx="13">
                  <c:v>-443.23399999999998</c:v>
                </c:pt>
                <c:pt idx="14">
                  <c:v>-443.56799999999998</c:v>
                </c:pt>
                <c:pt idx="15">
                  <c:v>-448.00200000000001</c:v>
                </c:pt>
                <c:pt idx="16">
                  <c:v>-448.33600000000001</c:v>
                </c:pt>
                <c:pt idx="17">
                  <c:v>-454.25</c:v>
                </c:pt>
                <c:pt idx="18">
                  <c:v>-454.584</c:v>
                </c:pt>
                <c:pt idx="19">
                  <c:v>-460.99200000000002</c:v>
                </c:pt>
                <c:pt idx="20">
                  <c:v>-461.327</c:v>
                </c:pt>
                <c:pt idx="21">
                  <c:v>-476.524</c:v>
                </c:pt>
                <c:pt idx="22">
                  <c:v>-476.858</c:v>
                </c:pt>
                <c:pt idx="23">
                  <c:v>-493.733</c:v>
                </c:pt>
                <c:pt idx="24">
                  <c:v>-494.06700000000001</c:v>
                </c:pt>
                <c:pt idx="25">
                  <c:v>-525.27200000000005</c:v>
                </c:pt>
                <c:pt idx="26">
                  <c:v>-274.61200000000002</c:v>
                </c:pt>
                <c:pt idx="27">
                  <c:v>-245.62799999999999</c:v>
                </c:pt>
                <c:pt idx="28">
                  <c:v>-245.96299999999999</c:v>
                </c:pt>
                <c:pt idx="29">
                  <c:v>-204.62700000000001</c:v>
                </c:pt>
                <c:pt idx="30">
                  <c:v>-204.96100000000001</c:v>
                </c:pt>
                <c:pt idx="31">
                  <c:v>-162.72499999999999</c:v>
                </c:pt>
                <c:pt idx="32">
                  <c:v>-163.059</c:v>
                </c:pt>
                <c:pt idx="33">
                  <c:v>-126.739</c:v>
                </c:pt>
                <c:pt idx="34">
                  <c:v>-127.07299999999999</c:v>
                </c:pt>
                <c:pt idx="35">
                  <c:v>-103.45399999999999</c:v>
                </c:pt>
                <c:pt idx="36">
                  <c:v>-103.788</c:v>
                </c:pt>
                <c:pt idx="37">
                  <c:v>-95.216999999999999</c:v>
                </c:pt>
                <c:pt idx="38">
                  <c:v>-95.551000000000002</c:v>
                </c:pt>
                <c:pt idx="39">
                  <c:v>-101.702</c:v>
                </c:pt>
                <c:pt idx="40">
                  <c:v>-102.036</c:v>
                </c:pt>
                <c:pt idx="41">
                  <c:v>-122.324</c:v>
                </c:pt>
                <c:pt idx="42">
                  <c:v>-122.658</c:v>
                </c:pt>
                <c:pt idx="43">
                  <c:v>-153.964</c:v>
                </c:pt>
                <c:pt idx="44">
                  <c:v>-154.298</c:v>
                </c:pt>
                <c:pt idx="45">
                  <c:v>-192.214</c:v>
                </c:pt>
                <c:pt idx="46">
                  <c:v>-192.548</c:v>
                </c:pt>
                <c:pt idx="47">
                  <c:v>-227.12700000000001</c:v>
                </c:pt>
                <c:pt idx="48">
                  <c:v>-227.46199999999999</c:v>
                </c:pt>
                <c:pt idx="49">
                  <c:v>-237.90199999999999</c:v>
                </c:pt>
                <c:pt idx="50">
                  <c:v>-238.23699999999999</c:v>
                </c:pt>
                <c:pt idx="51">
                  <c:v>-262.38900000000001</c:v>
                </c:pt>
              </c:numCache>
            </c:numRef>
          </c:xVal>
          <c:yVal>
            <c:numRef>
              <c:f>SLU!$C$4:$C$99</c:f>
              <c:numCache>
                <c:formatCode>General</c:formatCode>
                <c:ptCount val="96"/>
                <c:pt idx="0">
                  <c:v>6636.4178000000002</c:v>
                </c:pt>
                <c:pt idx="1">
                  <c:v>6656.3248000000003</c:v>
                </c:pt>
                <c:pt idx="2">
                  <c:v>7010.6535000000003</c:v>
                </c:pt>
                <c:pt idx="3">
                  <c:v>7027.4467999999997</c:v>
                </c:pt>
                <c:pt idx="4">
                  <c:v>7295.9943999999996</c:v>
                </c:pt>
                <c:pt idx="5">
                  <c:v>7308.7129000000004</c:v>
                </c:pt>
                <c:pt idx="6">
                  <c:v>7494.3082999999997</c:v>
                </c:pt>
                <c:pt idx="7">
                  <c:v>7503.5946999999996</c:v>
                </c:pt>
                <c:pt idx="8">
                  <c:v>7607.4867000000004</c:v>
                </c:pt>
                <c:pt idx="9">
                  <c:v>7613.0478999999996</c:v>
                </c:pt>
                <c:pt idx="10">
                  <c:v>7637.5213999999996</c:v>
                </c:pt>
                <c:pt idx="11">
                  <c:v>7639.0194000000001</c:v>
                </c:pt>
                <c:pt idx="12">
                  <c:v>7593.5294999999996</c:v>
                </c:pt>
                <c:pt idx="13">
                  <c:v>7591.0852000000004</c:v>
                </c:pt>
                <c:pt idx="14">
                  <c:v>7465.9490999999998</c:v>
                </c:pt>
                <c:pt idx="15">
                  <c:v>7460.1657999999998</c:v>
                </c:pt>
                <c:pt idx="16">
                  <c:v>7254.1620000000003</c:v>
                </c:pt>
                <c:pt idx="17">
                  <c:v>7245.7947999999997</c:v>
                </c:pt>
                <c:pt idx="18">
                  <c:v>6958.9490999999998</c:v>
                </c:pt>
                <c:pt idx="19">
                  <c:v>6948.1866</c:v>
                </c:pt>
                <c:pt idx="20">
                  <c:v>6577.3703999999998</c:v>
                </c:pt>
                <c:pt idx="21">
                  <c:v>6566.3612999999996</c:v>
                </c:pt>
                <c:pt idx="22">
                  <c:v>6107.3476000000001</c:v>
                </c:pt>
                <c:pt idx="23">
                  <c:v>6098.7227999999996</c:v>
                </c:pt>
                <c:pt idx="24">
                  <c:v>5549.6439</c:v>
                </c:pt>
                <c:pt idx="25">
                  <c:v>5567.8074999999999</c:v>
                </c:pt>
                <c:pt idx="26">
                  <c:v>4373.9043000000001</c:v>
                </c:pt>
                <c:pt idx="27">
                  <c:v>4384.4012000000002</c:v>
                </c:pt>
                <c:pt idx="28">
                  <c:v>4615.9993000000004</c:v>
                </c:pt>
                <c:pt idx="29">
                  <c:v>4626.0661</c:v>
                </c:pt>
                <c:pt idx="30">
                  <c:v>4801.4657999999999</c:v>
                </c:pt>
                <c:pt idx="31">
                  <c:v>4809.3581000000004</c:v>
                </c:pt>
                <c:pt idx="32">
                  <c:v>4930.8280999999997</c:v>
                </c:pt>
                <c:pt idx="33">
                  <c:v>4936.0411000000004</c:v>
                </c:pt>
                <c:pt idx="34">
                  <c:v>5004.5717000000004</c:v>
                </c:pt>
                <c:pt idx="35">
                  <c:v>5007.0016999999998</c:v>
                </c:pt>
                <c:pt idx="36">
                  <c:v>5023.1855999999998</c:v>
                </c:pt>
                <c:pt idx="37">
                  <c:v>5022.8386</c:v>
                </c:pt>
                <c:pt idx="38">
                  <c:v>4986.9322000000002</c:v>
                </c:pt>
                <c:pt idx="39">
                  <c:v>4983.9480000000003</c:v>
                </c:pt>
                <c:pt idx="40">
                  <c:v>4895.9072999999999</c:v>
                </c:pt>
                <c:pt idx="41">
                  <c:v>4890.5581000000002</c:v>
                </c:pt>
                <c:pt idx="42">
                  <c:v>4750.058</c:v>
                </c:pt>
                <c:pt idx="43">
                  <c:v>4742.8504000000003</c:v>
                </c:pt>
                <c:pt idx="44">
                  <c:v>4548.1710999999996</c:v>
                </c:pt>
                <c:pt idx="45">
                  <c:v>4540.8792999999996</c:v>
                </c:pt>
                <c:pt idx="46">
                  <c:v>4289.8271000000004</c:v>
                </c:pt>
                <c:pt idx="47">
                  <c:v>4282.8566000000001</c:v>
                </c:pt>
                <c:pt idx="48">
                  <c:v>3975.7896999999998</c:v>
                </c:pt>
                <c:pt idx="49">
                  <c:v>3971.4816999999998</c:v>
                </c:pt>
                <c:pt idx="50">
                  <c:v>3607.3598999999999</c:v>
                </c:pt>
                <c:pt idx="51">
                  <c:v>3622.8829000000001</c:v>
                </c:pt>
              </c:numCache>
            </c:numRef>
          </c:yVal>
          <c:smooth val="0"/>
          <c:extLst>
            <c:ext xmlns:c16="http://schemas.microsoft.com/office/drawing/2014/chart" uri="{C3380CC4-5D6E-409C-BE32-E72D297353CC}">
              <c16:uniqueId val="{00000001-8025-4EF1-9865-52ADEED589AD}"/>
            </c:ext>
          </c:extLst>
        </c:ser>
        <c:dLbls>
          <c:showLegendKey val="0"/>
          <c:showVal val="0"/>
          <c:showCatName val="0"/>
          <c:showSerName val="0"/>
          <c:showPercent val="0"/>
          <c:showBubbleSize val="0"/>
        </c:dLbls>
        <c:axId val="1558434607"/>
        <c:axId val="1812861103"/>
      </c:scatterChart>
      <c:valAx>
        <c:axId val="1558434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Nrd</a:t>
                </a:r>
                <a:r>
                  <a:rPr lang="en-GB" baseline="0"/>
                  <a:t> [KN]</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1103"/>
        <c:crosses val="autoZero"/>
        <c:crossBetween val="midCat"/>
      </c:valAx>
      <c:valAx>
        <c:axId val="181286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Mrd</a:t>
                </a:r>
                <a:r>
                  <a:rPr lang="en-GB" baseline="0"/>
                  <a:t> [KNm]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34607"/>
        <c:crosses val="autoZero"/>
        <c:crossBetween val="midCat"/>
      </c:valAx>
      <c:spPr>
        <a:noFill/>
        <a:ln>
          <a:noFill/>
        </a:ln>
        <a:effectLst/>
      </c:spPr>
    </c:plotArea>
    <c:legend>
      <c:legendPos val="r"/>
      <c:layout>
        <c:manualLayout>
          <c:xMode val="edge"/>
          <c:yMode val="edge"/>
          <c:x val="0"/>
          <c:y val="0.12908071942525848"/>
          <c:w val="0.34597438320209978"/>
          <c:h val="0.23564169670346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161924</xdr:colOff>
      <xdr:row>6</xdr:row>
      <xdr:rowOff>95249</xdr:rowOff>
    </xdr:from>
    <xdr:to>
      <xdr:col>11</xdr:col>
      <xdr:colOff>190500</xdr:colOff>
      <xdr:row>22</xdr:row>
      <xdr:rowOff>22410</xdr:rowOff>
    </xdr:to>
    <xdr:graphicFrame macro="">
      <xdr:nvGraphicFramePr>
        <xdr:cNvPr id="2" name="Grafico 1">
          <a:extLst>
            <a:ext uri="{FF2B5EF4-FFF2-40B4-BE49-F238E27FC236}">
              <a16:creationId xmlns:a16="http://schemas.microsoft.com/office/drawing/2014/main" id="{A91FB6E1-0210-4D50-9AAB-3B170F0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xdr:colOff>
      <xdr:row>6</xdr:row>
      <xdr:rowOff>64993</xdr:rowOff>
    </xdr:from>
    <xdr:to>
      <xdr:col>16</xdr:col>
      <xdr:colOff>145677</xdr:colOff>
      <xdr:row>22</xdr:row>
      <xdr:rowOff>11204</xdr:rowOff>
    </xdr:to>
    <xdr:graphicFrame macro="">
      <xdr:nvGraphicFramePr>
        <xdr:cNvPr id="5" name="Grafico 4">
          <a:extLst>
            <a:ext uri="{FF2B5EF4-FFF2-40B4-BE49-F238E27FC236}">
              <a16:creationId xmlns:a16="http://schemas.microsoft.com/office/drawing/2014/main" id="{16BD52AC-E380-478E-92FB-6BC1E8439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100852</xdr:colOff>
      <xdr:row>6</xdr:row>
      <xdr:rowOff>76200</xdr:rowOff>
    </xdr:from>
    <xdr:to>
      <xdr:col>21</xdr:col>
      <xdr:colOff>119903</xdr:colOff>
      <xdr:row>22</xdr:row>
      <xdr:rowOff>11206</xdr:rowOff>
    </xdr:to>
    <xdr:graphicFrame macro="">
      <xdr:nvGraphicFramePr>
        <xdr:cNvPr id="6" name="Grafico 5">
          <a:extLst>
            <a:ext uri="{FF2B5EF4-FFF2-40B4-BE49-F238E27FC236}">
              <a16:creationId xmlns:a16="http://schemas.microsoft.com/office/drawing/2014/main" id="{E6EAB6AE-9C63-4F98-B6B1-FDF50072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201705</xdr:colOff>
      <xdr:row>13</xdr:row>
      <xdr:rowOff>78441</xdr:rowOff>
    </xdr:from>
    <xdr:to>
      <xdr:col>11</xdr:col>
      <xdr:colOff>571500</xdr:colOff>
      <xdr:row>15</xdr:row>
      <xdr:rowOff>11207</xdr:rowOff>
    </xdr:to>
    <xdr:sp macro="" textlink="">
      <xdr:nvSpPr>
        <xdr:cNvPr id="3" name="Segno di addizione 2">
          <a:extLst>
            <a:ext uri="{FF2B5EF4-FFF2-40B4-BE49-F238E27FC236}">
              <a16:creationId xmlns:a16="http://schemas.microsoft.com/office/drawing/2014/main" id="{141E217D-AD15-4564-92E6-D17697D0C85E}"/>
            </a:ext>
          </a:extLst>
        </xdr:cNvPr>
        <xdr:cNvSpPr/>
      </xdr:nvSpPr>
      <xdr:spPr>
        <a:xfrm>
          <a:off x="9637058" y="2779059"/>
          <a:ext cx="36979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224119</xdr:colOff>
      <xdr:row>13</xdr:row>
      <xdr:rowOff>89647</xdr:rowOff>
    </xdr:from>
    <xdr:to>
      <xdr:col>17</xdr:col>
      <xdr:colOff>33617</xdr:colOff>
      <xdr:row>15</xdr:row>
      <xdr:rowOff>44824</xdr:rowOff>
    </xdr:to>
    <xdr:sp macro="" textlink="">
      <xdr:nvSpPr>
        <xdr:cNvPr id="4" name="Uguale a 3">
          <a:extLst>
            <a:ext uri="{FF2B5EF4-FFF2-40B4-BE49-F238E27FC236}">
              <a16:creationId xmlns:a16="http://schemas.microsoft.com/office/drawing/2014/main" id="{8E76058F-0E59-4C1A-9C2D-B9188F8E2D67}"/>
            </a:ext>
          </a:extLst>
        </xdr:cNvPr>
        <xdr:cNvSpPr/>
      </xdr:nvSpPr>
      <xdr:spPr>
        <a:xfrm>
          <a:off x="12864354" y="2790265"/>
          <a:ext cx="42582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12246</xdr:colOff>
      <xdr:row>34</xdr:row>
      <xdr:rowOff>136071</xdr:rowOff>
    </xdr:from>
    <xdr:to>
      <xdr:col>4</xdr:col>
      <xdr:colOff>485055</xdr:colOff>
      <xdr:row>57</xdr:row>
      <xdr:rowOff>96850</xdr:rowOff>
    </xdr:to>
    <xdr:graphicFrame macro="">
      <xdr:nvGraphicFramePr>
        <xdr:cNvPr id="2" name="Grafico 1">
          <a:extLst>
            <a:ext uri="{FF2B5EF4-FFF2-40B4-BE49-F238E27FC236}">
              <a16:creationId xmlns:a16="http://schemas.microsoft.com/office/drawing/2014/main" id="{0E59376D-F9D3-4163-B3E5-698C439D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969819</xdr:colOff>
      <xdr:row>34</xdr:row>
      <xdr:rowOff>142475</xdr:rowOff>
    </xdr:from>
    <xdr:to>
      <xdr:col>6</xdr:col>
      <xdr:colOff>578630</xdr:colOff>
      <xdr:row>57</xdr:row>
      <xdr:rowOff>64033</xdr:rowOff>
    </xdr:to>
    <xdr:graphicFrame macro="">
      <xdr:nvGraphicFramePr>
        <xdr:cNvPr id="3" name="Grafico 2">
          <a:extLst>
            <a:ext uri="{FF2B5EF4-FFF2-40B4-BE49-F238E27FC236}">
              <a16:creationId xmlns:a16="http://schemas.microsoft.com/office/drawing/2014/main" id="{B4E6EEAE-53FF-4156-B6B5-8DF73D07C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506084</xdr:colOff>
      <xdr:row>34</xdr:row>
      <xdr:rowOff>128941</xdr:rowOff>
    </xdr:from>
    <xdr:to>
      <xdr:col>13</xdr:col>
      <xdr:colOff>382819</xdr:colOff>
      <xdr:row>57</xdr:row>
      <xdr:rowOff>50499</xdr:rowOff>
    </xdr:to>
    <xdr:graphicFrame macro="">
      <xdr:nvGraphicFramePr>
        <xdr:cNvPr id="5" name="Grafico 4">
          <a:extLst>
            <a:ext uri="{FF2B5EF4-FFF2-40B4-BE49-F238E27FC236}">
              <a16:creationId xmlns:a16="http://schemas.microsoft.com/office/drawing/2014/main" id="{3B996C60-1ECA-4D6C-B27D-6F504FFC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353786</xdr:colOff>
      <xdr:row>34</xdr:row>
      <xdr:rowOff>136071</xdr:rowOff>
    </xdr:from>
    <xdr:to>
      <xdr:col>20</xdr:col>
      <xdr:colOff>230521</xdr:colOff>
      <xdr:row>57</xdr:row>
      <xdr:rowOff>57629</xdr:rowOff>
    </xdr:to>
    <xdr:graphicFrame macro="">
      <xdr:nvGraphicFramePr>
        <xdr:cNvPr id="6" name="Grafico 5">
          <a:extLst>
            <a:ext uri="{FF2B5EF4-FFF2-40B4-BE49-F238E27FC236}">
              <a16:creationId xmlns:a16="http://schemas.microsoft.com/office/drawing/2014/main" id="{E0396D0E-86B7-41BA-B971-7EA1D15D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544286</xdr:colOff>
      <xdr:row>45</xdr:row>
      <xdr:rowOff>163285</xdr:rowOff>
    </xdr:from>
    <xdr:to>
      <xdr:col>4</xdr:col>
      <xdr:colOff>914081</xdr:colOff>
      <xdr:row>47</xdr:row>
      <xdr:rowOff>129668</xdr:rowOff>
    </xdr:to>
    <xdr:sp macro="" textlink="">
      <xdr:nvSpPr>
        <xdr:cNvPr id="7" name="Segno di addizione 6">
          <a:extLst>
            <a:ext uri="{FF2B5EF4-FFF2-40B4-BE49-F238E27FC236}">
              <a16:creationId xmlns:a16="http://schemas.microsoft.com/office/drawing/2014/main" id="{4E721A5F-FF89-4970-BEC7-1D8F57DDB2A7}"/>
            </a:ext>
          </a:extLst>
        </xdr:cNvPr>
        <xdr:cNvSpPr/>
      </xdr:nvSpPr>
      <xdr:spPr>
        <a:xfrm>
          <a:off x="4082143" y="9565821"/>
          <a:ext cx="36979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492261</xdr:colOff>
      <xdr:row>45</xdr:row>
      <xdr:rowOff>52028</xdr:rowOff>
    </xdr:from>
    <xdr:to>
      <xdr:col>14</xdr:col>
      <xdr:colOff>305762</xdr:colOff>
      <xdr:row>47</xdr:row>
      <xdr:rowOff>40822</xdr:rowOff>
    </xdr:to>
    <xdr:sp macro="" textlink="">
      <xdr:nvSpPr>
        <xdr:cNvPr id="8" name="Uguale a 7">
          <a:extLst>
            <a:ext uri="{FF2B5EF4-FFF2-40B4-BE49-F238E27FC236}">
              <a16:creationId xmlns:a16="http://schemas.microsoft.com/office/drawing/2014/main" id="{B3DDD85E-2A05-4FAC-90D6-8CD4CB216CF3}"/>
            </a:ext>
          </a:extLst>
        </xdr:cNvPr>
        <xdr:cNvSpPr/>
      </xdr:nvSpPr>
      <xdr:spPr>
        <a:xfrm>
          <a:off x="12208011" y="9454564"/>
          <a:ext cx="42582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7</xdr:col>
      <xdr:colOff>57150</xdr:colOff>
      <xdr:row>45</xdr:row>
      <xdr:rowOff>84364</xdr:rowOff>
    </xdr:from>
    <xdr:to>
      <xdr:col>7</xdr:col>
      <xdr:colOff>426945</xdr:colOff>
      <xdr:row>47</xdr:row>
      <xdr:rowOff>50747</xdr:rowOff>
    </xdr:to>
    <xdr:sp macro="" textlink="">
      <xdr:nvSpPr>
        <xdr:cNvPr id="9" name="Segno di addizione 8">
          <a:extLst>
            <a:ext uri="{FF2B5EF4-FFF2-40B4-BE49-F238E27FC236}">
              <a16:creationId xmlns:a16="http://schemas.microsoft.com/office/drawing/2014/main" id="{741733D1-E141-4E1C-9BF7-97BA92E11236}"/>
            </a:ext>
          </a:extLst>
        </xdr:cNvPr>
        <xdr:cNvSpPr/>
      </xdr:nvSpPr>
      <xdr:spPr>
        <a:xfrm>
          <a:off x="8098971" y="9486900"/>
          <a:ext cx="36979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136071</xdr:colOff>
      <xdr:row>53</xdr:row>
      <xdr:rowOff>149679</xdr:rowOff>
    </xdr:from>
    <xdr:to>
      <xdr:col>2</xdr:col>
      <xdr:colOff>136072</xdr:colOff>
      <xdr:row>77</xdr:row>
      <xdr:rowOff>19529</xdr:rowOff>
    </xdr:to>
    <xdr:graphicFrame macro="">
      <xdr:nvGraphicFramePr>
        <xdr:cNvPr id="2" name="Grafico 1">
          <a:extLst>
            <a:ext uri="{FF2B5EF4-FFF2-40B4-BE49-F238E27FC236}">
              <a16:creationId xmlns:a16="http://schemas.microsoft.com/office/drawing/2014/main" id="{FB4F54B7-F1D5-4971-B5FC-2EFD5C95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762002</xdr:colOff>
      <xdr:row>53</xdr:row>
      <xdr:rowOff>163285</xdr:rowOff>
    </xdr:from>
    <xdr:to>
      <xdr:col>4</xdr:col>
      <xdr:colOff>1333500</xdr:colOff>
      <xdr:row>77</xdr:row>
      <xdr:rowOff>108857</xdr:rowOff>
    </xdr:to>
    <xdr:graphicFrame macro="">
      <xdr:nvGraphicFramePr>
        <xdr:cNvPr id="3" name="Grafico 2">
          <a:extLst>
            <a:ext uri="{FF2B5EF4-FFF2-40B4-BE49-F238E27FC236}">
              <a16:creationId xmlns:a16="http://schemas.microsoft.com/office/drawing/2014/main" id="{A6A1EE57-A914-48A5-9322-ED4462001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421822</xdr:colOff>
      <xdr:row>53</xdr:row>
      <xdr:rowOff>149679</xdr:rowOff>
    </xdr:from>
    <xdr:to>
      <xdr:col>8</xdr:col>
      <xdr:colOff>258535</xdr:colOff>
      <xdr:row>77</xdr:row>
      <xdr:rowOff>108857</xdr:rowOff>
    </xdr:to>
    <xdr:graphicFrame macro="">
      <xdr:nvGraphicFramePr>
        <xdr:cNvPr id="4" name="Grafico 3">
          <a:extLst>
            <a:ext uri="{FF2B5EF4-FFF2-40B4-BE49-F238E27FC236}">
              <a16:creationId xmlns:a16="http://schemas.microsoft.com/office/drawing/2014/main" id="{140CA883-6725-40F0-87A4-95BC6671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122465</xdr:colOff>
      <xdr:row>53</xdr:row>
      <xdr:rowOff>140872</xdr:rowOff>
    </xdr:from>
    <xdr:to>
      <xdr:col>14</xdr:col>
      <xdr:colOff>68035</xdr:colOff>
      <xdr:row>77</xdr:row>
      <xdr:rowOff>122463</xdr:rowOff>
    </xdr:to>
    <xdr:graphicFrame macro="">
      <xdr:nvGraphicFramePr>
        <xdr:cNvPr id="5" name="Grafico 4">
          <a:extLst>
            <a:ext uri="{FF2B5EF4-FFF2-40B4-BE49-F238E27FC236}">
              <a16:creationId xmlns:a16="http://schemas.microsoft.com/office/drawing/2014/main" id="{10FC4CB5-7CA1-4956-BDF1-82F95B249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81643</xdr:colOff>
      <xdr:row>53</xdr:row>
      <xdr:rowOff>81641</xdr:rowOff>
    </xdr:from>
    <xdr:to>
      <xdr:col>20</xdr:col>
      <xdr:colOff>449036</xdr:colOff>
      <xdr:row>77</xdr:row>
      <xdr:rowOff>95248</xdr:rowOff>
    </xdr:to>
    <xdr:graphicFrame macro="">
      <xdr:nvGraphicFramePr>
        <xdr:cNvPr id="6" name="Grafico 5">
          <a:extLst>
            <a:ext uri="{FF2B5EF4-FFF2-40B4-BE49-F238E27FC236}">
              <a16:creationId xmlns:a16="http://schemas.microsoft.com/office/drawing/2014/main" id="{19CE78C3-C922-48AC-A44D-63215BCD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204107</xdr:colOff>
      <xdr:row>65</xdr:row>
      <xdr:rowOff>124864</xdr:rowOff>
    </xdr:from>
    <xdr:to>
      <xdr:col>2</xdr:col>
      <xdr:colOff>573902</xdr:colOff>
      <xdr:row>67</xdr:row>
      <xdr:rowOff>91247</xdr:rowOff>
    </xdr:to>
    <xdr:sp macro="" textlink="">
      <xdr:nvSpPr>
        <xdr:cNvPr id="7" name="Segno di addizione 6">
          <a:extLst>
            <a:ext uri="{FF2B5EF4-FFF2-40B4-BE49-F238E27FC236}">
              <a16:creationId xmlns:a16="http://schemas.microsoft.com/office/drawing/2014/main" id="{D5037B2C-454E-49ED-BFA3-F922EE1340F6}"/>
            </a:ext>
          </a:extLst>
        </xdr:cNvPr>
        <xdr:cNvSpPr/>
      </xdr:nvSpPr>
      <xdr:spPr>
        <a:xfrm>
          <a:off x="2884714" y="13160507"/>
          <a:ext cx="36979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1442356</xdr:colOff>
      <xdr:row>65</xdr:row>
      <xdr:rowOff>136072</xdr:rowOff>
    </xdr:from>
    <xdr:to>
      <xdr:col>5</xdr:col>
      <xdr:colOff>328973</xdr:colOff>
      <xdr:row>67</xdr:row>
      <xdr:rowOff>102455</xdr:rowOff>
    </xdr:to>
    <xdr:sp macro="" textlink="">
      <xdr:nvSpPr>
        <xdr:cNvPr id="9" name="Segno di addizione 8">
          <a:extLst>
            <a:ext uri="{FF2B5EF4-FFF2-40B4-BE49-F238E27FC236}">
              <a16:creationId xmlns:a16="http://schemas.microsoft.com/office/drawing/2014/main" id="{912363AD-3867-4ACC-A013-0A686791C84A}"/>
            </a:ext>
          </a:extLst>
        </xdr:cNvPr>
        <xdr:cNvSpPr/>
      </xdr:nvSpPr>
      <xdr:spPr>
        <a:xfrm>
          <a:off x="6735535" y="13171715"/>
          <a:ext cx="36979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326571</xdr:colOff>
      <xdr:row>65</xdr:row>
      <xdr:rowOff>136071</xdr:rowOff>
    </xdr:from>
    <xdr:to>
      <xdr:col>9</xdr:col>
      <xdr:colOff>84045</xdr:colOff>
      <xdr:row>67</xdr:row>
      <xdr:rowOff>102454</xdr:rowOff>
    </xdr:to>
    <xdr:sp macro="" textlink="">
      <xdr:nvSpPr>
        <xdr:cNvPr id="10" name="Segno di addizione 9">
          <a:extLst>
            <a:ext uri="{FF2B5EF4-FFF2-40B4-BE49-F238E27FC236}">
              <a16:creationId xmlns:a16="http://schemas.microsoft.com/office/drawing/2014/main" id="{036D7F7D-D3E8-41D4-94E6-C43A55B3856C}"/>
            </a:ext>
          </a:extLst>
        </xdr:cNvPr>
        <xdr:cNvSpPr/>
      </xdr:nvSpPr>
      <xdr:spPr>
        <a:xfrm>
          <a:off x="10096500" y="13171714"/>
          <a:ext cx="36979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176894</xdr:colOff>
      <xdr:row>65</xdr:row>
      <xdr:rowOff>122464</xdr:rowOff>
    </xdr:from>
    <xdr:to>
      <xdr:col>14</xdr:col>
      <xdr:colOff>602716</xdr:colOff>
      <xdr:row>67</xdr:row>
      <xdr:rowOff>111258</xdr:rowOff>
    </xdr:to>
    <xdr:sp macro="" textlink="">
      <xdr:nvSpPr>
        <xdr:cNvPr id="11" name="Uguale a 10">
          <a:extLst>
            <a:ext uri="{FF2B5EF4-FFF2-40B4-BE49-F238E27FC236}">
              <a16:creationId xmlns:a16="http://schemas.microsoft.com/office/drawing/2014/main" id="{FA7DB701-E9EF-40D1-A6B1-5AAC64319612}"/>
            </a:ext>
          </a:extLst>
        </xdr:cNvPr>
        <xdr:cNvSpPr/>
      </xdr:nvSpPr>
      <xdr:spPr>
        <a:xfrm>
          <a:off x="13620751" y="13158107"/>
          <a:ext cx="42582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480060</xdr:colOff>
      <xdr:row>26</xdr:row>
      <xdr:rowOff>217170</xdr:rowOff>
    </xdr:from>
    <xdr:to>
      <xdr:col>14</xdr:col>
      <xdr:colOff>373380</xdr:colOff>
      <xdr:row>33</xdr:row>
      <xdr:rowOff>78105</xdr:rowOff>
    </xdr:to>
    <xdr:graphicFrame macro="">
      <xdr:nvGraphicFramePr>
        <xdr:cNvPr id="2" name="Chart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34</xdr:row>
      <xdr:rowOff>175260</xdr:rowOff>
    </xdr:from>
    <xdr:to>
      <xdr:col>13</xdr:col>
      <xdr:colOff>586740</xdr:colOff>
      <xdr:row>42</xdr:row>
      <xdr:rowOff>7620</xdr:rowOff>
    </xdr:to>
    <xdr:graphicFrame macro="">
      <xdr:nvGraphicFramePr>
        <xdr:cNvPr id="3" name="Chart 2">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1238250</xdr:colOff>
      <xdr:row>37</xdr:row>
      <xdr:rowOff>13607</xdr:rowOff>
    </xdr:from>
    <xdr:to>
      <xdr:col>5</xdr:col>
      <xdr:colOff>721179</xdr:colOff>
      <xdr:row>60</xdr:row>
      <xdr:rowOff>68034</xdr:rowOff>
    </xdr:to>
    <xdr:graphicFrame macro="">
      <xdr:nvGraphicFramePr>
        <xdr:cNvPr id="2" name="Grafico 1">
          <a:extLst>
            <a:ext uri="{FF2B5EF4-FFF2-40B4-BE49-F238E27FC236}">
              <a16:creationId xmlns:a16="http://schemas.microsoft.com/office/drawing/2014/main" id="{0BEA5286-E0CB-42B2-8035-8E853C57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1333500</xdr:colOff>
      <xdr:row>37</xdr:row>
      <xdr:rowOff>27214</xdr:rowOff>
    </xdr:from>
    <xdr:to>
      <xdr:col>10</xdr:col>
      <xdr:colOff>81643</xdr:colOff>
      <xdr:row>60</xdr:row>
      <xdr:rowOff>54428</xdr:rowOff>
    </xdr:to>
    <xdr:graphicFrame macro="">
      <xdr:nvGraphicFramePr>
        <xdr:cNvPr id="3" name="Grafico 2">
          <a:extLst>
            <a:ext uri="{FF2B5EF4-FFF2-40B4-BE49-F238E27FC236}">
              <a16:creationId xmlns:a16="http://schemas.microsoft.com/office/drawing/2014/main" id="{5CA60464-0704-4C1C-B63C-2FC2D64EB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108858</xdr:colOff>
      <xdr:row>37</xdr:row>
      <xdr:rowOff>27214</xdr:rowOff>
    </xdr:from>
    <xdr:to>
      <xdr:col>3</xdr:col>
      <xdr:colOff>707572</xdr:colOff>
      <xdr:row>60</xdr:row>
      <xdr:rowOff>54428</xdr:rowOff>
    </xdr:to>
    <xdr:graphicFrame macro="">
      <xdr:nvGraphicFramePr>
        <xdr:cNvPr id="4" name="Grafico 3">
          <a:extLst>
            <a:ext uri="{FF2B5EF4-FFF2-40B4-BE49-F238E27FC236}">
              <a16:creationId xmlns:a16="http://schemas.microsoft.com/office/drawing/2014/main" id="{EAB2C8EF-C8EB-4989-86D8-4B5CDE8C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47</xdr:row>
      <xdr:rowOff>136071</xdr:rowOff>
    </xdr:from>
    <xdr:to>
      <xdr:col>3</xdr:col>
      <xdr:colOff>1131795</xdr:colOff>
      <xdr:row>49</xdr:row>
      <xdr:rowOff>102454</xdr:rowOff>
    </xdr:to>
    <xdr:sp macro="" textlink="">
      <xdr:nvSpPr>
        <xdr:cNvPr id="5" name="Segno di addizione 4">
          <a:extLst>
            <a:ext uri="{FF2B5EF4-FFF2-40B4-BE49-F238E27FC236}">
              <a16:creationId xmlns:a16="http://schemas.microsoft.com/office/drawing/2014/main" id="{28C5827F-6D7B-4DD8-A2B6-A2F30F41D0C2}"/>
            </a:ext>
          </a:extLst>
        </xdr:cNvPr>
        <xdr:cNvSpPr/>
      </xdr:nvSpPr>
      <xdr:spPr>
        <a:xfrm>
          <a:off x="3347357" y="9443357"/>
          <a:ext cx="36979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805224</xdr:colOff>
      <xdr:row>47</xdr:row>
      <xdr:rowOff>52027</xdr:rowOff>
    </xdr:from>
    <xdr:to>
      <xdr:col>5</xdr:col>
      <xdr:colOff>1231046</xdr:colOff>
      <xdr:row>49</xdr:row>
      <xdr:rowOff>40821</xdr:rowOff>
    </xdr:to>
    <xdr:sp macro="" textlink="">
      <xdr:nvSpPr>
        <xdr:cNvPr id="6" name="Uguale a 5">
          <a:extLst>
            <a:ext uri="{FF2B5EF4-FFF2-40B4-BE49-F238E27FC236}">
              <a16:creationId xmlns:a16="http://schemas.microsoft.com/office/drawing/2014/main" id="{EC15FFFD-F2A4-4A03-ADA0-0739EB16A43A}"/>
            </a:ext>
          </a:extLst>
        </xdr:cNvPr>
        <xdr:cNvSpPr/>
      </xdr:nvSpPr>
      <xdr:spPr>
        <a:xfrm>
          <a:off x="7282224" y="9359313"/>
          <a:ext cx="42582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209550</xdr:colOff>
      <xdr:row>0</xdr:row>
      <xdr:rowOff>57150</xdr:rowOff>
    </xdr:from>
    <xdr:to>
      <xdr:col>10</xdr:col>
      <xdr:colOff>390525</xdr:colOff>
      <xdr:row>18</xdr:row>
      <xdr:rowOff>142875</xdr:rowOff>
    </xdr:to>
    <xdr:graphicFrame macro="">
      <xdr:nvGraphicFramePr>
        <xdr:cNvPr id="2" name="Grafico 1">
          <a:extLst>
            <a:ext uri="{FF2B5EF4-FFF2-40B4-BE49-F238E27FC236}">
              <a16:creationId xmlns:a16="http://schemas.microsoft.com/office/drawing/2014/main" id="{75AB94B3-2B65-4DB0-A2B7-AB3A1C557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w/Desktop/PONTI/calcolo%20travi/v140/CALCOLI_TRAVE_5m_appogg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w/Dropbox/PROGETTO%20PONTI/fogli%20di%20calcolo/foglio%20di%20calcolo%20pont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i"/>
      <sheetName val="Caratteristiche trave V140"/>
      <sheetName val="fase 0 "/>
      <sheetName val="fase 1 "/>
      <sheetName val="fase 2 "/>
      <sheetName val="fase 3"/>
      <sheetName val="Perdite di tiro "/>
      <sheetName val="SLU"/>
      <sheetName val="dominio"/>
      <sheetName val="verifica connettori"/>
    </sheetNames>
    <sheetDataSet>
      <sheetData sheetId="0">
        <row r="26">
          <cell r="B26">
            <v>139</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I GENERALI"/>
      <sheetName val="SOLETTA"/>
      <sheetName val="SISMA Verticale"/>
      <sheetName val="SISMA Orizzontale"/>
      <sheetName val="VENTO"/>
      <sheetName val="TRAVE CAP"/>
      <sheetName val="PERDITE TRAVI"/>
    </sheetNames>
    <sheetDataSet>
      <sheetData sheetId="0"/>
      <sheetData sheetId="1">
        <row r="125">
          <cell r="H125" t="str">
            <v>εc0</v>
          </cell>
        </row>
        <row r="126">
          <cell r="G126">
            <v>20</v>
          </cell>
          <cell r="H126">
            <v>0.3</v>
          </cell>
        </row>
        <row r="127">
          <cell r="G127">
            <v>40</v>
          </cell>
          <cell r="H127">
            <v>0.24</v>
          </cell>
        </row>
        <row r="128">
          <cell r="G128">
            <v>60</v>
          </cell>
          <cell r="H128">
            <v>0.19</v>
          </cell>
        </row>
        <row r="129">
          <cell r="G129">
            <v>80</v>
          </cell>
          <cell r="H129">
            <v>0.15</v>
          </cell>
        </row>
        <row r="131">
          <cell r="H131" t="str">
            <v>Kh</v>
          </cell>
        </row>
        <row r="132">
          <cell r="G132">
            <v>100</v>
          </cell>
          <cell r="H132">
            <v>1</v>
          </cell>
        </row>
        <row r="133">
          <cell r="G133">
            <v>200</v>
          </cell>
          <cell r="H133">
            <v>0.85</v>
          </cell>
        </row>
        <row r="134">
          <cell r="G134">
            <v>300</v>
          </cell>
          <cell r="H134">
            <v>0.75</v>
          </cell>
        </row>
        <row r="135">
          <cell r="G135">
            <v>500</v>
          </cell>
          <cell r="H135">
            <v>0.7</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workbookViewId="0">
      <selection activeCell="O5" sqref="O5"/>
    </sheetView>
  </sheetViews>
  <sheetFormatPr defaultRowHeight="15" x14ac:dyDescent="0.25"/>
  <cols>
    <col min="1" max="1" width="12.7109375" customWidth="1"/>
    <col min="2" max="2" width="12.140625" customWidth="1"/>
    <col min="3" max="3" width="10.85546875" customWidth="1"/>
    <col min="15" max="15" width="11" bestFit="1" customWidth="1"/>
  </cols>
  <sheetData>
    <row r="1" spans="1:17" x14ac:dyDescent="0.25">
      <c r="A1" s="121" t="s">
        <v>51</v>
      </c>
      <c r="B1" s="121"/>
      <c r="C1" s="121"/>
      <c r="J1" s="121" t="s">
        <v>51</v>
      </c>
      <c r="K1" s="121"/>
      <c r="L1" s="121"/>
      <c r="N1" t="s">
        <v>438</v>
      </c>
    </row>
    <row r="2" spans="1:17" x14ac:dyDescent="0.25">
      <c r="A2" s="122" t="s">
        <v>25</v>
      </c>
      <c r="B2" s="122"/>
      <c r="C2" s="122"/>
      <c r="G2" s="10"/>
      <c r="H2" s="10"/>
      <c r="I2" s="10"/>
      <c r="J2" s="122" t="s">
        <v>151</v>
      </c>
      <c r="K2" s="122"/>
      <c r="L2" s="122"/>
      <c r="N2" s="118" t="s">
        <v>439</v>
      </c>
      <c r="O2" s="119"/>
      <c r="P2" s="120"/>
    </row>
    <row r="3" spans="1:17" ht="18" x14ac:dyDescent="0.25">
      <c r="A3" s="12" t="s">
        <v>19</v>
      </c>
      <c r="B3" s="4">
        <v>55</v>
      </c>
      <c r="C3" s="4" t="s">
        <v>4</v>
      </c>
      <c r="J3" s="12" t="s">
        <v>19</v>
      </c>
      <c r="K3" s="27">
        <v>45</v>
      </c>
      <c r="L3" s="27" t="s">
        <v>4</v>
      </c>
      <c r="N3" s="60" t="s">
        <v>436</v>
      </c>
      <c r="O3" s="60">
        <v>450</v>
      </c>
      <c r="P3" s="60" t="s">
        <v>4</v>
      </c>
    </row>
    <row r="4" spans="1:17" ht="18.75" x14ac:dyDescent="0.35">
      <c r="A4" s="4" t="s">
        <v>20</v>
      </c>
      <c r="B4" s="4">
        <f>0.83*B3</f>
        <v>45.65</v>
      </c>
      <c r="C4" s="4" t="s">
        <v>4</v>
      </c>
      <c r="J4" s="27" t="s">
        <v>20</v>
      </c>
      <c r="K4" s="27">
        <f>0.83*K3</f>
        <v>37.35</v>
      </c>
      <c r="L4" s="27" t="s">
        <v>4</v>
      </c>
      <c r="N4" s="60" t="s">
        <v>437</v>
      </c>
      <c r="O4" s="60">
        <f>O3/1.15</f>
        <v>391.304347826087</v>
      </c>
      <c r="P4" s="60" t="s">
        <v>4</v>
      </c>
    </row>
    <row r="5" spans="1:17" ht="18.75" customHeight="1" x14ac:dyDescent="0.35">
      <c r="A5" s="60" t="s">
        <v>440</v>
      </c>
      <c r="B5" s="9">
        <f>0.85*Materiali!B4/1.5</f>
        <v>25.868333333333329</v>
      </c>
      <c r="C5" s="60" t="s">
        <v>4</v>
      </c>
      <c r="J5" s="60" t="s">
        <v>440</v>
      </c>
      <c r="K5" s="9">
        <f>0.85*Materiali!K4/1.5</f>
        <v>21.164999999999999</v>
      </c>
      <c r="L5" s="60" t="s">
        <v>4</v>
      </c>
      <c r="N5" s="60" t="s">
        <v>463</v>
      </c>
      <c r="O5" s="60">
        <v>540</v>
      </c>
      <c r="P5" s="60" t="s">
        <v>4</v>
      </c>
    </row>
    <row r="6" spans="1:17" ht="18.75" x14ac:dyDescent="0.35">
      <c r="A6" s="8" t="s">
        <v>21</v>
      </c>
      <c r="B6" s="4">
        <f>B4+8</f>
        <v>53.65</v>
      </c>
      <c r="C6" s="4" t="s">
        <v>4</v>
      </c>
      <c r="J6" s="8" t="s">
        <v>21</v>
      </c>
      <c r="K6" s="27">
        <f>K4+8</f>
        <v>45.35</v>
      </c>
      <c r="L6" s="27" t="s">
        <v>4</v>
      </c>
    </row>
    <row r="7" spans="1:17" ht="18.75" x14ac:dyDescent="0.35">
      <c r="A7" s="8" t="s">
        <v>22</v>
      </c>
      <c r="B7" s="9">
        <f>0.3*B4^(2/3)</f>
        <v>3.8319083151043372</v>
      </c>
      <c r="C7" s="4" t="s">
        <v>4</v>
      </c>
      <c r="D7" t="s">
        <v>16</v>
      </c>
      <c r="J7" s="8" t="s">
        <v>22</v>
      </c>
      <c r="K7" s="9">
        <f>0.3*K4^(2/3)</f>
        <v>3.3520847645709897</v>
      </c>
      <c r="L7" s="27" t="s">
        <v>4</v>
      </c>
    </row>
    <row r="8" spans="1:17" ht="18.75" x14ac:dyDescent="0.35">
      <c r="A8" s="8" t="s">
        <v>23</v>
      </c>
      <c r="B8" s="9">
        <f>1.2*B7</f>
        <v>4.5982899781252042</v>
      </c>
      <c r="C8" s="4" t="s">
        <v>4</v>
      </c>
      <c r="D8" t="s">
        <v>17</v>
      </c>
      <c r="J8" s="8" t="s">
        <v>23</v>
      </c>
      <c r="K8" s="9">
        <f>1.2*K7</f>
        <v>4.0225017174851878</v>
      </c>
      <c r="L8" s="27" t="s">
        <v>4</v>
      </c>
    </row>
    <row r="9" spans="1:17" ht="18.75" x14ac:dyDescent="0.35">
      <c r="A9" s="6" t="s">
        <v>24</v>
      </c>
      <c r="B9" s="9">
        <f>B7/1.2</f>
        <v>3.1932569292536144</v>
      </c>
      <c r="C9" s="4" t="s">
        <v>4</v>
      </c>
      <c r="D9" t="s">
        <v>18</v>
      </c>
      <c r="J9" s="6" t="s">
        <v>24</v>
      </c>
      <c r="K9" s="9">
        <f>K7/1.2</f>
        <v>2.7934039704758247</v>
      </c>
      <c r="L9" s="27" t="s">
        <v>4</v>
      </c>
    </row>
    <row r="10" spans="1:17" ht="18.75" x14ac:dyDescent="0.35">
      <c r="A10" s="8" t="s">
        <v>26</v>
      </c>
      <c r="B10" s="9">
        <f>22000*(B6/10)^0.3</f>
        <v>36416.113897745636</v>
      </c>
      <c r="C10" s="4" t="s">
        <v>4</v>
      </c>
      <c r="J10" s="8" t="s">
        <v>26</v>
      </c>
      <c r="K10" s="9">
        <f>22000*(K6/10)^0.3</f>
        <v>34625.485235412678</v>
      </c>
      <c r="L10" s="27" t="s">
        <v>4</v>
      </c>
    </row>
    <row r="11" spans="1:17" ht="33" customHeight="1" x14ac:dyDescent="0.25">
      <c r="A11" s="124" t="s">
        <v>27</v>
      </c>
      <c r="B11" s="124"/>
      <c r="C11" s="124"/>
      <c r="M11" s="18"/>
      <c r="N11" s="18"/>
      <c r="O11" s="18"/>
      <c r="P11" s="18"/>
      <c r="Q11" s="18"/>
    </row>
    <row r="12" spans="1:17" x14ac:dyDescent="0.25">
      <c r="A12" s="8" t="s">
        <v>28</v>
      </c>
      <c r="B12" s="13">
        <v>9</v>
      </c>
      <c r="C12" s="11" t="s">
        <v>29</v>
      </c>
      <c r="D12" t="s">
        <v>30</v>
      </c>
      <c r="M12" s="18"/>
      <c r="N12" s="19"/>
      <c r="O12" s="19"/>
      <c r="P12" s="19"/>
      <c r="Q12" s="18"/>
    </row>
    <row r="13" spans="1:17" x14ac:dyDescent="0.25">
      <c r="A13" s="8" t="s">
        <v>36</v>
      </c>
      <c r="B13" s="14">
        <f>0.2</f>
        <v>0.2</v>
      </c>
      <c r="C13" s="4"/>
    </row>
    <row r="14" spans="1:17" ht="18" x14ac:dyDescent="0.35">
      <c r="A14" s="8" t="s">
        <v>32</v>
      </c>
      <c r="B14" s="13">
        <f>EXP(B13*(1-(28/B12)^(0.5)))</f>
        <v>0.85832982539837288</v>
      </c>
      <c r="C14" s="4"/>
      <c r="D14" t="s">
        <v>44</v>
      </c>
    </row>
    <row r="15" spans="1:17" ht="18.75" x14ac:dyDescent="0.35">
      <c r="A15" s="8" t="s">
        <v>31</v>
      </c>
      <c r="B15" s="13">
        <f>B14*B6</f>
        <v>46.049395132622706</v>
      </c>
      <c r="C15" s="4" t="s">
        <v>4</v>
      </c>
    </row>
    <row r="16" spans="1:17" ht="18.75" x14ac:dyDescent="0.35">
      <c r="A16" s="8" t="s">
        <v>33</v>
      </c>
      <c r="B16" s="13">
        <f>B14*B4</f>
        <v>39.182756529435721</v>
      </c>
      <c r="C16" s="4" t="s">
        <v>4</v>
      </c>
    </row>
    <row r="17" spans="1:10" ht="17.25" x14ac:dyDescent="0.25">
      <c r="A17" s="4" t="s">
        <v>34</v>
      </c>
      <c r="B17" s="13">
        <f>0.7*B16</f>
        <v>27.427929570605002</v>
      </c>
      <c r="C17" s="4" t="s">
        <v>4</v>
      </c>
      <c r="D17" t="s">
        <v>40</v>
      </c>
    </row>
    <row r="18" spans="1:10" ht="17.25" x14ac:dyDescent="0.25">
      <c r="A18" s="4" t="s">
        <v>35</v>
      </c>
      <c r="B18" s="13">
        <f>0.6*B16</f>
        <v>23.509653917661431</v>
      </c>
      <c r="C18" s="4" t="s">
        <v>4</v>
      </c>
      <c r="D18" t="s">
        <v>41</v>
      </c>
    </row>
    <row r="19" spans="1:10" x14ac:dyDescent="0.25">
      <c r="A19" s="8" t="s">
        <v>43</v>
      </c>
      <c r="B19" s="13">
        <f>IF(B12&lt;28,1,2/3)</f>
        <v>1</v>
      </c>
      <c r="C19" s="4"/>
    </row>
    <row r="20" spans="1:10" ht="18.75" x14ac:dyDescent="0.35">
      <c r="A20" s="8" t="s">
        <v>37</v>
      </c>
      <c r="B20" s="13">
        <f>B7*B14^B19</f>
        <v>3.2890411950460789</v>
      </c>
      <c r="C20" s="4" t="s">
        <v>4</v>
      </c>
    </row>
    <row r="21" spans="1:10" x14ac:dyDescent="0.25">
      <c r="A21" s="8" t="s">
        <v>38</v>
      </c>
      <c r="B21" s="13">
        <v>1</v>
      </c>
      <c r="C21" s="4"/>
      <c r="D21" t="s">
        <v>42</v>
      </c>
    </row>
    <row r="22" spans="1:10" ht="18.75" x14ac:dyDescent="0.35">
      <c r="A22" s="8" t="s">
        <v>39</v>
      </c>
      <c r="B22" s="13">
        <f>B20*B21</f>
        <v>3.2890411950460789</v>
      </c>
      <c r="C22" s="4" t="s">
        <v>4</v>
      </c>
    </row>
    <row r="24" spans="1:10" x14ac:dyDescent="0.25">
      <c r="A24" s="125" t="s">
        <v>49</v>
      </c>
      <c r="B24" s="126"/>
      <c r="C24" s="127"/>
    </row>
    <row r="25" spans="1:10" ht="18" x14ac:dyDescent="0.35">
      <c r="A25" s="17" t="s">
        <v>57</v>
      </c>
      <c r="B25" s="4">
        <v>15.2</v>
      </c>
      <c r="C25" s="4" t="s">
        <v>5</v>
      </c>
      <c r="D25" t="s">
        <v>58</v>
      </c>
      <c r="G25" t="s">
        <v>419</v>
      </c>
      <c r="J25" t="s">
        <v>420</v>
      </c>
    </row>
    <row r="26" spans="1:10" ht="18.75" x14ac:dyDescent="0.35">
      <c r="A26" s="4" t="s">
        <v>55</v>
      </c>
      <c r="B26" s="4">
        <v>139</v>
      </c>
      <c r="C26" s="4" t="s">
        <v>7</v>
      </c>
      <c r="D26" t="s">
        <v>56</v>
      </c>
      <c r="G26">
        <f>6*B26</f>
        <v>834</v>
      </c>
      <c r="J26">
        <f>2*B26</f>
        <v>278</v>
      </c>
    </row>
    <row r="27" spans="1:10" ht="18.75" x14ac:dyDescent="0.35">
      <c r="A27" s="4" t="s">
        <v>54</v>
      </c>
      <c r="B27" s="4">
        <f>195000</f>
        <v>195000</v>
      </c>
      <c r="C27" s="4" t="s">
        <v>4</v>
      </c>
      <c r="D27" t="s">
        <v>59</v>
      </c>
    </row>
    <row r="28" spans="1:10" ht="18.75" x14ac:dyDescent="0.35">
      <c r="A28" s="4" t="s">
        <v>52</v>
      </c>
      <c r="B28" s="4">
        <v>1860</v>
      </c>
      <c r="C28" s="4" t="s">
        <v>4</v>
      </c>
    </row>
    <row r="29" spans="1:10" ht="18.75" x14ac:dyDescent="0.35">
      <c r="A29" s="4" t="s">
        <v>53</v>
      </c>
      <c r="B29" s="4">
        <f>1670</f>
        <v>1670</v>
      </c>
      <c r="C29" s="4" t="s">
        <v>4</v>
      </c>
    </row>
    <row r="31" spans="1:10" ht="39.75" customHeight="1" x14ac:dyDescent="0.25">
      <c r="A31" s="123" t="s">
        <v>45</v>
      </c>
      <c r="B31" s="123"/>
      <c r="C31" s="123"/>
    </row>
    <row r="32" spans="1:10" ht="17.25" x14ac:dyDescent="0.25">
      <c r="A32" s="6" t="s">
        <v>46</v>
      </c>
      <c r="B32" s="4">
        <f>0.9*$B$29</f>
        <v>1503</v>
      </c>
      <c r="C32" s="4" t="s">
        <v>4</v>
      </c>
    </row>
    <row r="33" spans="1:4" ht="17.25" x14ac:dyDescent="0.25">
      <c r="A33" s="6" t="s">
        <v>47</v>
      </c>
      <c r="B33" s="20">
        <f xml:space="preserve"> 0.8*$B$28</f>
        <v>1488</v>
      </c>
      <c r="C33" s="4" t="s">
        <v>4</v>
      </c>
      <c r="D33" t="s">
        <v>48</v>
      </c>
    </row>
    <row r="34" spans="1:4" ht="17.25" x14ac:dyDescent="0.25">
      <c r="A34" s="6" t="s">
        <v>8</v>
      </c>
      <c r="B34" s="4">
        <f>0.7*B4</f>
        <v>31.954999999999998</v>
      </c>
      <c r="C34" s="4" t="s">
        <v>4</v>
      </c>
      <c r="D34" t="s">
        <v>50</v>
      </c>
    </row>
    <row r="38" spans="1:4" x14ac:dyDescent="0.25">
      <c r="B38" s="15"/>
    </row>
    <row r="39" spans="1:4" x14ac:dyDescent="0.25">
      <c r="B39" s="15"/>
    </row>
    <row r="40" spans="1:4" x14ac:dyDescent="0.25">
      <c r="B40" s="15"/>
    </row>
    <row r="41" spans="1:4" x14ac:dyDescent="0.25">
      <c r="B41" s="15"/>
    </row>
    <row r="42" spans="1:4" x14ac:dyDescent="0.25">
      <c r="B42" s="15"/>
    </row>
    <row r="52" spans="1:4" x14ac:dyDescent="0.25">
      <c r="D52" s="5" t="s">
        <v>9</v>
      </c>
    </row>
    <row r="53" spans="1:4" x14ac:dyDescent="0.25">
      <c r="A53" s="7" t="s">
        <v>11</v>
      </c>
      <c r="B53" s="3"/>
      <c r="C53" s="3"/>
    </row>
    <row r="54" spans="1:4" x14ac:dyDescent="0.25">
      <c r="D54" s="5" t="s">
        <v>12</v>
      </c>
    </row>
    <row r="55" spans="1:4" ht="17.25" x14ac:dyDescent="0.25">
      <c r="A55" s="6" t="s">
        <v>8</v>
      </c>
      <c r="B55" s="4">
        <f>0.6*B4</f>
        <v>27.389999999999997</v>
      </c>
      <c r="C55" s="4" t="s">
        <v>4</v>
      </c>
      <c r="D55" t="s">
        <v>13</v>
      </c>
    </row>
    <row r="56" spans="1:4" ht="17.25" x14ac:dyDescent="0.25">
      <c r="A56" s="6" t="s">
        <v>8</v>
      </c>
      <c r="B56" s="4">
        <f>0.45*B4</f>
        <v>20.5425</v>
      </c>
      <c r="C56" s="4" t="s">
        <v>4</v>
      </c>
      <c r="D56" s="5" t="s">
        <v>14</v>
      </c>
    </row>
    <row r="57" spans="1:4" ht="17.25" x14ac:dyDescent="0.25">
      <c r="A57" s="6" t="s">
        <v>10</v>
      </c>
      <c r="B57" s="4">
        <f>0.8*450</f>
        <v>360</v>
      </c>
      <c r="C57" s="4" t="s">
        <v>4</v>
      </c>
      <c r="D57" t="s">
        <v>15</v>
      </c>
    </row>
  </sheetData>
  <mergeCells count="8">
    <mergeCell ref="N2:P2"/>
    <mergeCell ref="J1:L1"/>
    <mergeCell ref="J2:L2"/>
    <mergeCell ref="A31:C31"/>
    <mergeCell ref="A2:C2"/>
    <mergeCell ref="A1:C1"/>
    <mergeCell ref="A11:C11"/>
    <mergeCell ref="A24:C2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showGridLines="0" topLeftCell="A19" zoomScale="70" zoomScaleNormal="70" workbookViewId="0">
      <selection activeCell="R27" sqref="R27"/>
    </sheetView>
  </sheetViews>
  <sheetFormatPr defaultRowHeight="15" x14ac:dyDescent="0.25"/>
  <cols>
    <col min="1" max="1" width="9.140625" style="1"/>
    <col min="2" max="2" width="12" style="1" bestFit="1" customWidth="1"/>
    <col min="3" max="3" width="20.7109375" style="1" customWidth="1"/>
    <col min="4" max="4" width="9.140625" customWidth="1"/>
    <col min="5" max="5" width="20.7109375" customWidth="1"/>
  </cols>
  <sheetData>
    <row r="1" spans="1:6" x14ac:dyDescent="0.25">
      <c r="A1" s="122" t="s">
        <v>60</v>
      </c>
      <c r="B1" s="122"/>
      <c r="C1" s="122"/>
      <c r="D1" s="10"/>
    </row>
    <row r="2" spans="1:6" x14ac:dyDescent="0.25">
      <c r="A2" s="11" t="s">
        <v>1</v>
      </c>
      <c r="B2" s="11">
        <v>25</v>
      </c>
      <c r="C2" s="11" t="s">
        <v>2</v>
      </c>
      <c r="D2" s="10" t="s">
        <v>90</v>
      </c>
    </row>
    <row r="3" spans="1:6" ht="24.75" customHeight="1" x14ac:dyDescent="0.25">
      <c r="A3" s="128" t="s">
        <v>62</v>
      </c>
      <c r="B3" s="128"/>
      <c r="C3" s="128"/>
    </row>
    <row r="4" spans="1:6" ht="18" x14ac:dyDescent="0.35">
      <c r="A4" s="4" t="s">
        <v>73</v>
      </c>
      <c r="B4" s="4">
        <v>1400</v>
      </c>
      <c r="C4" s="4" t="s">
        <v>5</v>
      </c>
      <c r="D4" t="s">
        <v>479</v>
      </c>
    </row>
    <row r="5" spans="1:6" ht="18.75" x14ac:dyDescent="0.35">
      <c r="A5" s="4" t="s">
        <v>74</v>
      </c>
      <c r="B5" s="4">
        <v>694400</v>
      </c>
      <c r="C5" s="4" t="s">
        <v>7</v>
      </c>
      <c r="D5" t="s">
        <v>480</v>
      </c>
    </row>
    <row r="6" spans="1:6" x14ac:dyDescent="0.25">
      <c r="A6" s="4" t="s">
        <v>68</v>
      </c>
      <c r="B6" s="4">
        <v>0</v>
      </c>
      <c r="C6" s="4" t="s">
        <v>5</v>
      </c>
    </row>
    <row r="7" spans="1:6" x14ac:dyDescent="0.25">
      <c r="A7" s="4" t="s">
        <v>69</v>
      </c>
      <c r="B7" s="4">
        <f>704.7</f>
        <v>704.7</v>
      </c>
      <c r="C7" s="4" t="s">
        <v>5</v>
      </c>
      <c r="D7" t="s">
        <v>481</v>
      </c>
    </row>
    <row r="8" spans="1:6" x14ac:dyDescent="0.25">
      <c r="A8" s="4" t="s">
        <v>70</v>
      </c>
      <c r="B8" s="4">
        <f>B4-B7</f>
        <v>695.3</v>
      </c>
      <c r="C8" s="4" t="s">
        <v>5</v>
      </c>
      <c r="D8" t="s">
        <v>482</v>
      </c>
    </row>
    <row r="9" spans="1:6" ht="18.75" x14ac:dyDescent="0.35">
      <c r="A9" s="4" t="s">
        <v>75</v>
      </c>
      <c r="B9" s="4">
        <f>175763285357</f>
        <v>175763285357</v>
      </c>
      <c r="C9" s="4" t="s">
        <v>81</v>
      </c>
      <c r="D9" t="s">
        <v>66</v>
      </c>
    </row>
    <row r="10" spans="1:6" ht="18.75" x14ac:dyDescent="0.35">
      <c r="A10" s="4" t="s">
        <v>76</v>
      </c>
      <c r="B10" s="4">
        <f>235294676667</f>
        <v>235294676667</v>
      </c>
      <c r="C10" s="4" t="s">
        <v>81</v>
      </c>
      <c r="D10" t="s">
        <v>67</v>
      </c>
    </row>
    <row r="11" spans="1:6" ht="18.75" x14ac:dyDescent="0.35">
      <c r="A11" s="4" t="s">
        <v>83</v>
      </c>
      <c r="B11" s="4">
        <f>B9/B7</f>
        <v>249415758.98538384</v>
      </c>
      <c r="C11" s="4" t="s">
        <v>84</v>
      </c>
      <c r="D11" t="s">
        <v>85</v>
      </c>
    </row>
    <row r="12" spans="1:6" x14ac:dyDescent="0.25">
      <c r="A12" s="122" t="s">
        <v>71</v>
      </c>
      <c r="B12" s="122"/>
      <c r="C12" s="122"/>
    </row>
    <row r="13" spans="1:6" ht="18" x14ac:dyDescent="0.35">
      <c r="A13" s="4" t="s">
        <v>77</v>
      </c>
      <c r="B13" s="4">
        <f>SUM(B51:B53)</f>
        <v>60</v>
      </c>
      <c r="C13" s="4"/>
      <c r="D13" t="s">
        <v>483</v>
      </c>
    </row>
    <row r="14" spans="1:6" ht="27.75" customHeight="1" x14ac:dyDescent="0.35">
      <c r="A14" s="4" t="s">
        <v>78</v>
      </c>
      <c r="B14" s="4">
        <f>B13*Materiali!B26</f>
        <v>8340</v>
      </c>
      <c r="C14" s="4" t="s">
        <v>7</v>
      </c>
      <c r="D14" s="16" t="s">
        <v>64</v>
      </c>
    </row>
    <row r="15" spans="1:6" ht="44.25" customHeight="1" x14ac:dyDescent="0.25">
      <c r="A15" s="129" t="s">
        <v>72</v>
      </c>
      <c r="B15" s="130"/>
      <c r="C15" s="131"/>
      <c r="F15" t="s">
        <v>63</v>
      </c>
    </row>
    <row r="16" spans="1:6" x14ac:dyDescent="0.25">
      <c r="A16" s="4" t="s">
        <v>61</v>
      </c>
      <c r="B16" s="4">
        <v>6</v>
      </c>
      <c r="C16" s="4"/>
      <c r="D16" s="10" t="s">
        <v>80</v>
      </c>
    </row>
    <row r="17" spans="1:4" ht="18.75" x14ac:dyDescent="0.35">
      <c r="A17" s="4" t="s">
        <v>79</v>
      </c>
      <c r="B17" s="4">
        <f>B5+B16*B14</f>
        <v>744440</v>
      </c>
      <c r="C17" s="4" t="s">
        <v>7</v>
      </c>
      <c r="D17" t="s">
        <v>82</v>
      </c>
    </row>
    <row r="18" spans="1:4" x14ac:dyDescent="0.25">
      <c r="A18" s="4" t="s">
        <v>69</v>
      </c>
      <c r="B18" s="4">
        <f>677.4</f>
        <v>677.4</v>
      </c>
      <c r="C18" s="4" t="s">
        <v>5</v>
      </c>
      <c r="D18" t="s">
        <v>481</v>
      </c>
    </row>
    <row r="19" spans="1:4" x14ac:dyDescent="0.25">
      <c r="A19" s="4" t="s">
        <v>70</v>
      </c>
      <c r="B19" s="4">
        <f>B4-B18</f>
        <v>722.6</v>
      </c>
      <c r="C19" s="4" t="s">
        <v>5</v>
      </c>
      <c r="D19" t="s">
        <v>482</v>
      </c>
    </row>
    <row r="20" spans="1:4" ht="18.75" x14ac:dyDescent="0.35">
      <c r="A20" s="4" t="s">
        <v>75</v>
      </c>
      <c r="B20" s="4">
        <f>187020932394</f>
        <v>187020932394</v>
      </c>
      <c r="C20" s="4" t="s">
        <v>81</v>
      </c>
      <c r="D20" t="s">
        <v>66</v>
      </c>
    </row>
    <row r="21" spans="1:4" ht="18" x14ac:dyDescent="0.35">
      <c r="A21" s="4" t="s">
        <v>76</v>
      </c>
      <c r="B21" s="4">
        <f>235294676667</f>
        <v>235294676667</v>
      </c>
      <c r="C21" s="4" t="s">
        <v>65</v>
      </c>
      <c r="D21" t="s">
        <v>67</v>
      </c>
    </row>
    <row r="22" spans="1:4" ht="18.75" x14ac:dyDescent="0.35">
      <c r="A22" s="4" t="s">
        <v>105</v>
      </c>
      <c r="B22" s="4">
        <f>B20/B18</f>
        <v>276086407.43135518</v>
      </c>
      <c r="C22" s="4" t="s">
        <v>84</v>
      </c>
      <c r="D22" t="s">
        <v>85</v>
      </c>
    </row>
    <row r="23" spans="1:4" ht="18.75" x14ac:dyDescent="0.35">
      <c r="A23" s="4" t="s">
        <v>106</v>
      </c>
      <c r="B23" s="4">
        <f>B20/B19</f>
        <v>258816679.20564628</v>
      </c>
      <c r="C23" s="4" t="s">
        <v>84</v>
      </c>
      <c r="D23" t="s">
        <v>85</v>
      </c>
    </row>
    <row r="24" spans="1:4" ht="18" x14ac:dyDescent="0.35">
      <c r="A24" s="4" t="s">
        <v>88</v>
      </c>
      <c r="B24" s="4">
        <f>B56</f>
        <v>350</v>
      </c>
      <c r="C24" s="4" t="s">
        <v>5</v>
      </c>
      <c r="D24" t="s">
        <v>89</v>
      </c>
    </row>
    <row r="25" spans="1:4" x14ac:dyDescent="0.25">
      <c r="A25" s="60" t="s">
        <v>86</v>
      </c>
      <c r="B25" s="60">
        <f>B18-B24</f>
        <v>327.39999999999998</v>
      </c>
      <c r="C25" s="60" t="s">
        <v>5</v>
      </c>
      <c r="D25" t="s">
        <v>87</v>
      </c>
    </row>
    <row r="26" spans="1:4" x14ac:dyDescent="0.25">
      <c r="A26" s="39"/>
      <c r="B26" s="39"/>
      <c r="C26" s="39"/>
    </row>
    <row r="27" spans="1:4" x14ac:dyDescent="0.25">
      <c r="A27" s="123" t="s">
        <v>418</v>
      </c>
      <c r="B27" s="123"/>
      <c r="C27" s="123"/>
    </row>
    <row r="28" spans="1:4" x14ac:dyDescent="0.25">
      <c r="A28" s="123"/>
      <c r="B28" s="123"/>
      <c r="C28" s="123"/>
    </row>
    <row r="29" spans="1:4" x14ac:dyDescent="0.25">
      <c r="A29" s="125" t="s">
        <v>153</v>
      </c>
      <c r="B29" s="126"/>
      <c r="C29" s="127"/>
    </row>
    <row r="30" spans="1:4" x14ac:dyDescent="0.25">
      <c r="A30" s="27" t="s">
        <v>154</v>
      </c>
      <c r="B30" s="27">
        <v>2.5</v>
      </c>
      <c r="C30" s="27" t="s">
        <v>2</v>
      </c>
      <c r="D30" t="s">
        <v>155</v>
      </c>
    </row>
    <row r="31" spans="1:4" x14ac:dyDescent="0.25">
      <c r="A31" s="27" t="s">
        <v>36</v>
      </c>
      <c r="B31" s="27">
        <v>0.25</v>
      </c>
      <c r="C31" s="27" t="s">
        <v>2</v>
      </c>
      <c r="D31" t="s">
        <v>156</v>
      </c>
    </row>
    <row r="32" spans="1:4" ht="18.75" x14ac:dyDescent="0.35">
      <c r="A32" s="42" t="s">
        <v>166</v>
      </c>
      <c r="B32" s="30">
        <f>B30*B31*1000^2</f>
        <v>625000</v>
      </c>
      <c r="C32" s="22" t="s">
        <v>7</v>
      </c>
      <c r="D32" t="s">
        <v>167</v>
      </c>
    </row>
    <row r="33" spans="1:4" x14ac:dyDescent="0.25">
      <c r="A33" s="17" t="s">
        <v>159</v>
      </c>
      <c r="B33" s="27">
        <f>10</f>
        <v>10</v>
      </c>
      <c r="C33" s="27" t="s">
        <v>5</v>
      </c>
      <c r="D33" t="s">
        <v>160</v>
      </c>
    </row>
    <row r="34" spans="1:4" ht="17.25" x14ac:dyDescent="0.25">
      <c r="A34" s="27" t="s">
        <v>157</v>
      </c>
      <c r="B34" s="9">
        <f>10*B33^2*PI()/4</f>
        <v>785.39816339744823</v>
      </c>
      <c r="C34" s="27" t="s">
        <v>7</v>
      </c>
      <c r="D34" t="s">
        <v>161</v>
      </c>
    </row>
    <row r="35" spans="1:4" ht="17.25" x14ac:dyDescent="0.25">
      <c r="A35" s="27" t="s">
        <v>158</v>
      </c>
      <c r="B35" s="9">
        <f>10*B33^2*PI()/4</f>
        <v>785.39816339744823</v>
      </c>
      <c r="C35" s="27" t="s">
        <v>7</v>
      </c>
      <c r="D35" t="s">
        <v>162</v>
      </c>
    </row>
    <row r="36" spans="1:4" x14ac:dyDescent="0.25">
      <c r="A36" s="122" t="s">
        <v>163</v>
      </c>
      <c r="B36" s="122"/>
      <c r="C36" s="122"/>
    </row>
    <row r="37" spans="1:4" x14ac:dyDescent="0.25">
      <c r="A37" s="27" t="s">
        <v>61</v>
      </c>
      <c r="B37" s="27">
        <v>6</v>
      </c>
      <c r="C37" s="27"/>
      <c r="D37" t="s">
        <v>170</v>
      </c>
    </row>
    <row r="38" spans="1:4" x14ac:dyDescent="0.25">
      <c r="A38" s="27" t="s">
        <v>164</v>
      </c>
      <c r="B38" s="23">
        <f>Materiali!B10/Materiali!K10</f>
        <v>1.051714182491849</v>
      </c>
      <c r="C38" s="27"/>
      <c r="D38" t="s">
        <v>165</v>
      </c>
    </row>
    <row r="39" spans="1:4" ht="17.25" x14ac:dyDescent="0.25">
      <c r="A39" s="27" t="s">
        <v>168</v>
      </c>
      <c r="B39" s="27">
        <f>B32+'Caratteristiche trave V140'!B5</f>
        <v>1319400</v>
      </c>
      <c r="C39" s="27" t="s">
        <v>7</v>
      </c>
      <c r="D39" t="s">
        <v>169</v>
      </c>
    </row>
    <row r="40" spans="1:4" ht="18.75" x14ac:dyDescent="0.35">
      <c r="A40" s="27" t="s">
        <v>175</v>
      </c>
      <c r="B40" s="27">
        <f>'Caratteristiche trave V140'!B14</f>
        <v>8340</v>
      </c>
      <c r="C40" s="27" t="s">
        <v>7</v>
      </c>
      <c r="D40" t="s">
        <v>182</v>
      </c>
    </row>
    <row r="41" spans="1:4" ht="18.75" x14ac:dyDescent="0.35">
      <c r="A41" s="27" t="s">
        <v>79</v>
      </c>
      <c r="B41" s="27">
        <f>B39+B38*B40+B37*B40</f>
        <v>1378211.296281982</v>
      </c>
      <c r="C41" s="27" t="s">
        <v>7</v>
      </c>
      <c r="D41" t="s">
        <v>181</v>
      </c>
    </row>
    <row r="42" spans="1:4" x14ac:dyDescent="0.25">
      <c r="A42" s="27" t="s">
        <v>171</v>
      </c>
      <c r="B42" s="27">
        <f>B31*1000+'Caratteristiche trave V140'!B4</f>
        <v>1650</v>
      </c>
      <c r="C42" s="27" t="s">
        <v>5</v>
      </c>
      <c r="D42" t="s">
        <v>180</v>
      </c>
    </row>
    <row r="43" spans="1:4" x14ac:dyDescent="0.25">
      <c r="A43" s="27" t="s">
        <v>69</v>
      </c>
      <c r="B43" s="27">
        <v>1069</v>
      </c>
      <c r="C43" s="27" t="s">
        <v>5</v>
      </c>
      <c r="D43" t="s">
        <v>179</v>
      </c>
    </row>
    <row r="44" spans="1:4" x14ac:dyDescent="0.25">
      <c r="A44" s="27" t="s">
        <v>172</v>
      </c>
      <c r="B44" s="27">
        <f>B42-B43</f>
        <v>581</v>
      </c>
      <c r="C44" s="27" t="s">
        <v>5</v>
      </c>
      <c r="D44" t="s">
        <v>183</v>
      </c>
    </row>
    <row r="45" spans="1:4" x14ac:dyDescent="0.25">
      <c r="A45" s="27" t="s">
        <v>184</v>
      </c>
      <c r="B45" s="27">
        <f>'Caratteristiche trave V140'!B4-'Caratteristiche trave V140'!B43</f>
        <v>331</v>
      </c>
      <c r="C45" s="27" t="s">
        <v>5</v>
      </c>
      <c r="D45" t="s">
        <v>185</v>
      </c>
    </row>
    <row r="46" spans="1:4" ht="18.75" x14ac:dyDescent="0.35">
      <c r="A46" s="27" t="s">
        <v>173</v>
      </c>
      <c r="B46" s="27">
        <f>431814545054</f>
        <v>431814545054</v>
      </c>
      <c r="C46" s="27" t="s">
        <v>81</v>
      </c>
      <c r="D46" t="s">
        <v>177</v>
      </c>
    </row>
    <row r="47" spans="1:4" ht="18.75" x14ac:dyDescent="0.35">
      <c r="A47" s="27" t="s">
        <v>174</v>
      </c>
      <c r="B47" s="27">
        <f xml:space="preserve"> 560815510000</f>
        <v>560815510000</v>
      </c>
      <c r="C47" s="27" t="s">
        <v>81</v>
      </c>
      <c r="D47" t="s">
        <v>178</v>
      </c>
    </row>
    <row r="48" spans="1:4" x14ac:dyDescent="0.25">
      <c r="A48" s="27" t="s">
        <v>86</v>
      </c>
      <c r="B48" s="27">
        <f>B43-'Caratteristiche trave V140'!B24</f>
        <v>719</v>
      </c>
      <c r="C48" s="27" t="s">
        <v>5</v>
      </c>
      <c r="D48" t="s">
        <v>176</v>
      </c>
    </row>
    <row r="49" spans="1:4" x14ac:dyDescent="0.25">
      <c r="A49" s="122" t="s">
        <v>471</v>
      </c>
      <c r="B49" s="122"/>
      <c r="C49" s="122"/>
    </row>
    <row r="50" spans="1:4" ht="18.75" x14ac:dyDescent="0.35">
      <c r="A50" s="62" t="s">
        <v>472</v>
      </c>
      <c r="B50" s="62" t="s">
        <v>316</v>
      </c>
      <c r="C50" s="62" t="s">
        <v>473</v>
      </c>
    </row>
    <row r="51" spans="1:4" x14ac:dyDescent="0.25">
      <c r="A51" s="62">
        <f>1290</f>
        <v>1290</v>
      </c>
      <c r="B51" s="62">
        <v>6</v>
      </c>
      <c r="C51" s="22">
        <f>[1]Materiali!$B$26*B51</f>
        <v>834</v>
      </c>
    </row>
    <row r="52" spans="1:4" x14ac:dyDescent="0.25">
      <c r="A52" s="62">
        <v>600</v>
      </c>
      <c r="B52" s="62">
        <v>16</v>
      </c>
      <c r="C52" s="22">
        <f>[1]Materiali!$B$26*B52</f>
        <v>2224</v>
      </c>
    </row>
    <row r="53" spans="1:4" x14ac:dyDescent="0.25">
      <c r="A53" s="62">
        <v>110</v>
      </c>
      <c r="B53" s="62">
        <v>38</v>
      </c>
      <c r="C53" s="22">
        <f>[1]Materiali!$B$26*B53</f>
        <v>5282</v>
      </c>
      <c r="D53">
        <f>C53/3</f>
        <v>1760.6666666666667</v>
      </c>
    </row>
    <row r="54" spans="1:4" x14ac:dyDescent="0.25">
      <c r="A54" s="122" t="s">
        <v>474</v>
      </c>
      <c r="B54" s="122"/>
      <c r="C54" s="122"/>
    </row>
    <row r="55" spans="1:4" x14ac:dyDescent="0.25">
      <c r="A55" s="62" t="s">
        <v>475</v>
      </c>
      <c r="B55" s="62">
        <f>(C51*A51+C52*A52+C53*A53)/SUM(C51:C53)</f>
        <v>358.66666666666669</v>
      </c>
      <c r="C55" s="62" t="s">
        <v>5</v>
      </c>
    </row>
    <row r="56" spans="1:4" ht="18" x14ac:dyDescent="0.35">
      <c r="A56" s="62" t="s">
        <v>476</v>
      </c>
      <c r="B56" s="62">
        <v>350</v>
      </c>
      <c r="C56" s="62" t="s">
        <v>5</v>
      </c>
    </row>
    <row r="57" spans="1:4" x14ac:dyDescent="0.25">
      <c r="A57" s="61" t="s">
        <v>477</v>
      </c>
      <c r="B57" s="132" t="str">
        <f>IF(B55&gt;B56,"SFORZO INTERNO AL NOCCIOLO","SFORZO FUORI AL NOCCIOLO")</f>
        <v>SFORZO INTERNO AL NOCCIOLO</v>
      </c>
      <c r="C57" s="132"/>
    </row>
  </sheetData>
  <mergeCells count="10">
    <mergeCell ref="A49:C49"/>
    <mergeCell ref="A54:C54"/>
    <mergeCell ref="B57:C57"/>
    <mergeCell ref="A36:C36"/>
    <mergeCell ref="A27:C28"/>
    <mergeCell ref="A1:C1"/>
    <mergeCell ref="A12:C12"/>
    <mergeCell ref="A3:C3"/>
    <mergeCell ref="A15:C15"/>
    <mergeCell ref="A29:C29"/>
  </mergeCells>
  <phoneticPr fontId="3" type="noConversion"/>
  <conditionalFormatting sqref="B57:C57">
    <cfRule type="cellIs" dxfId="212" priority="1" operator="equal">
      <formula>"SFORZO INTERNO AL NOCCIOLO"</formula>
    </cfRule>
    <cfRule type="cellIs" dxfId="211" priority="2" operator="equal">
      <formula>"""SFORZO INTERNO AL NOCCIOLO"""</formula>
    </cfRule>
    <cfRule type="cellIs" dxfId="210" priority="3" operator="equal">
      <formula>"SFORZO FUORI AL NOCCIOLO"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1"/>
  <sheetViews>
    <sheetView showGridLines="0" tabSelected="1" topLeftCell="A7" zoomScale="85" zoomScaleNormal="85" workbookViewId="0">
      <selection activeCell="D24" sqref="D24"/>
    </sheetView>
  </sheetViews>
  <sheetFormatPr defaultRowHeight="15" x14ac:dyDescent="0.25"/>
  <cols>
    <col min="1" max="1" width="13" customWidth="1"/>
    <col min="2" max="2" width="13.7109375" bestFit="1" customWidth="1"/>
    <col min="4" max="4" width="16.7109375" customWidth="1"/>
    <col min="5" max="5" width="24.7109375" bestFit="1" customWidth="1"/>
    <col min="6" max="6" width="17.5703125" customWidth="1"/>
    <col min="9" max="9" width="9.28515625" bestFit="1" customWidth="1"/>
    <col min="10" max="10" width="10.28515625" bestFit="1" customWidth="1"/>
    <col min="13" max="13" width="9.28515625" bestFit="1" customWidth="1"/>
    <col min="14" max="14" width="11.5703125" customWidth="1"/>
    <col min="17" max="17" width="9.28515625" bestFit="1" customWidth="1"/>
    <col min="22" max="22" width="2.42578125" customWidth="1"/>
  </cols>
  <sheetData>
    <row r="1" spans="1:18" x14ac:dyDescent="0.25">
      <c r="A1" s="122" t="s">
        <v>484</v>
      </c>
      <c r="B1" s="122"/>
      <c r="C1" s="122"/>
      <c r="I1" s="134" t="s">
        <v>112</v>
      </c>
      <c r="J1" s="134"/>
      <c r="M1" s="134" t="s">
        <v>113</v>
      </c>
      <c r="N1" s="134"/>
      <c r="Q1" s="134" t="s">
        <v>113</v>
      </c>
      <c r="R1" s="134"/>
    </row>
    <row r="2" spans="1:18" ht="18" x14ac:dyDescent="0.35">
      <c r="A2" s="4" t="s">
        <v>93</v>
      </c>
      <c r="B2" s="9">
        <f>(25*'Caratteristiche trave V140'!B5/1000^2)+ (25*1.4*2.5*0.3*4 - 25 *1*2/4*PI())/'Caratteristiche trave V140'!B2</f>
        <v>19.989203673205104</v>
      </c>
      <c r="C2" s="4" t="s">
        <v>0</v>
      </c>
      <c r="I2" s="1" t="s">
        <v>111</v>
      </c>
      <c r="J2" s="1" t="s">
        <v>110</v>
      </c>
      <c r="M2" s="1" t="s">
        <v>111</v>
      </c>
      <c r="N2" s="1" t="s">
        <v>110</v>
      </c>
      <c r="Q2" s="1" t="s">
        <v>111</v>
      </c>
      <c r="R2" s="1" t="s">
        <v>110</v>
      </c>
    </row>
    <row r="3" spans="1:18" ht="17.25" x14ac:dyDescent="0.25">
      <c r="A3" s="4" t="s">
        <v>103</v>
      </c>
      <c r="B3" s="9">
        <f>B2*'Caratteristiche trave V140'!B2^2/8</f>
        <v>1561.6565369691486</v>
      </c>
      <c r="C3" s="4" t="s">
        <v>3</v>
      </c>
      <c r="I3" s="1">
        <v>0</v>
      </c>
      <c r="J3" s="1">
        <f>'Caratteristiche trave V140'!B19</f>
        <v>722.6</v>
      </c>
      <c r="M3" s="1">
        <v>0</v>
      </c>
      <c r="N3" s="1">
        <f>J3</f>
        <v>722.6</v>
      </c>
      <c r="Q3" s="1">
        <f>I3+M3</f>
        <v>0</v>
      </c>
      <c r="R3" s="1">
        <f>N3</f>
        <v>722.6</v>
      </c>
    </row>
    <row r="4" spans="1:18" x14ac:dyDescent="0.25">
      <c r="A4" s="133" t="s">
        <v>92</v>
      </c>
      <c r="B4" s="133"/>
      <c r="C4" s="133"/>
      <c r="D4" t="s">
        <v>91</v>
      </c>
      <c r="I4" s="20">
        <f xml:space="preserve">  'fase 0 '!B3*1000^2/'Caratteristiche trave V140'!B23</f>
        <v>6.0338326794167445</v>
      </c>
      <c r="J4" s="20">
        <f>'Caratteristiche trave V140'!B19</f>
        <v>722.6</v>
      </c>
      <c r="K4" s="20"/>
      <c r="L4" s="20"/>
      <c r="M4" s="20">
        <f xml:space="preserve"> (B12*1000/'Caratteristiche trave V140'!B17) - B12*1000*'Caratteristiche trave V140'!B25/('Caratteristiche trave V140'!B23)</f>
        <v>0.71886340120490111</v>
      </c>
      <c r="N4" s="20">
        <f t="shared" ref="N4:N6" si="0">J4</f>
        <v>722.6</v>
      </c>
      <c r="O4" s="20"/>
      <c r="P4" s="20"/>
      <c r="Q4" s="20">
        <f t="shared" ref="Q4:Q6" si="1">I4+M4</f>
        <v>6.7526960806216456</v>
      </c>
      <c r="R4" s="1">
        <f t="shared" ref="R4:R6" si="2">N4</f>
        <v>722.6</v>
      </c>
    </row>
    <row r="5" spans="1:18" ht="18.75" x14ac:dyDescent="0.35">
      <c r="A5" s="24" t="s">
        <v>94</v>
      </c>
      <c r="B5" s="25">
        <v>10000</v>
      </c>
      <c r="C5" s="24" t="s">
        <v>6</v>
      </c>
      <c r="I5" s="20">
        <f xml:space="preserve"> - 'fase 0 '!B3*1000^2/'Caratteristiche trave V140'!B22</f>
        <v>-5.6564050055866355</v>
      </c>
      <c r="J5" s="20">
        <f>-'Caratteristiche trave V140'!B18</f>
        <v>-677.4</v>
      </c>
      <c r="K5" s="20"/>
      <c r="L5" s="20"/>
      <c r="M5" s="20">
        <f>(B12*1000/'Caratteristiche trave V140'!B17) + B12*1000*'Caratteristiche trave V140'!B25/('Caratteristiche trave V140'!B22)</f>
        <v>23.218798686909444</v>
      </c>
      <c r="N5" s="20">
        <f t="shared" si="0"/>
        <v>-677.4</v>
      </c>
      <c r="O5" s="20"/>
      <c r="P5" s="20"/>
      <c r="Q5" s="20">
        <f t="shared" si="1"/>
        <v>17.56239368132281</v>
      </c>
      <c r="R5" s="1">
        <f t="shared" si="2"/>
        <v>-677.4</v>
      </c>
    </row>
    <row r="6" spans="1:18" ht="17.25" x14ac:dyDescent="0.25">
      <c r="A6" s="6" t="s">
        <v>95</v>
      </c>
      <c r="B6" s="9">
        <f>B5*1000/'Caratteristiche trave V140'!B14</f>
        <v>1199.0407673860911</v>
      </c>
      <c r="C6" s="11" t="s">
        <v>4</v>
      </c>
      <c r="D6" s="22" t="s">
        <v>96</v>
      </c>
      <c r="E6" s="6" t="s">
        <v>115</v>
      </c>
      <c r="F6" s="4" t="str">
        <f>IF(B6&lt;MIN(Materiali!B32:B33),"VERIFICA", " NON VERIFICA")</f>
        <v>VERIFICA</v>
      </c>
      <c r="I6" s="31">
        <v>0</v>
      </c>
      <c r="J6" s="1">
        <f>-'Caratteristiche trave V140'!B18</f>
        <v>-677.4</v>
      </c>
      <c r="M6">
        <v>0</v>
      </c>
      <c r="N6" s="1">
        <f t="shared" si="0"/>
        <v>-677.4</v>
      </c>
      <c r="Q6" s="1">
        <f t="shared" si="1"/>
        <v>0</v>
      </c>
      <c r="R6" s="1">
        <f t="shared" si="2"/>
        <v>-677.4</v>
      </c>
    </row>
    <row r="7" spans="1:18" x14ac:dyDescent="0.25">
      <c r="A7" s="137" t="s">
        <v>97</v>
      </c>
      <c r="B7" s="137"/>
      <c r="C7" s="137"/>
    </row>
    <row r="8" spans="1:18" ht="17.25" x14ac:dyDescent="0.25">
      <c r="A8" s="6" t="s">
        <v>98</v>
      </c>
      <c r="B8" s="23">
        <f>B5*1000/'Caratteristiche trave V140'!B17 + B5*1000*'Caratteristiche trave V140'!B25/'Caratteristiche trave V140'!B20*'Caratteristiche trave V140'!B25</f>
        <v>19.164400650058603</v>
      </c>
      <c r="C8" s="11" t="s">
        <v>4</v>
      </c>
    </row>
    <row r="9" spans="1:18" x14ac:dyDescent="0.25">
      <c r="A9" s="133" t="s">
        <v>99</v>
      </c>
      <c r="B9" s="133"/>
      <c r="C9" s="133"/>
    </row>
    <row r="10" spans="1:18" x14ac:dyDescent="0.25">
      <c r="A10" s="17" t="s">
        <v>100</v>
      </c>
      <c r="B10" s="4">
        <f>'Perdite di tiro '!B90</f>
        <v>819.53295240177022</v>
      </c>
      <c r="C10" s="11" t="s">
        <v>6</v>
      </c>
    </row>
    <row r="11" spans="1:18" x14ac:dyDescent="0.25">
      <c r="A11" s="138" t="s">
        <v>102</v>
      </c>
      <c r="B11" s="138"/>
      <c r="C11" s="138"/>
    </row>
    <row r="12" spans="1:18" ht="18.75" customHeight="1" x14ac:dyDescent="0.35">
      <c r="A12" s="6" t="s">
        <v>101</v>
      </c>
      <c r="B12" s="9">
        <f>B5-B10</f>
        <v>9180.4670475982293</v>
      </c>
      <c r="C12" s="11" t="s">
        <v>6</v>
      </c>
    </row>
    <row r="13" spans="1:18" x14ac:dyDescent="0.25">
      <c r="A13" s="139" t="s">
        <v>104</v>
      </c>
      <c r="B13" s="140"/>
      <c r="C13" s="140"/>
      <c r="D13" s="140"/>
      <c r="E13" s="140"/>
      <c r="F13" s="141"/>
      <c r="G13" s="30" t="s">
        <v>228</v>
      </c>
    </row>
    <row r="14" spans="1:18" ht="17.25" x14ac:dyDescent="0.25">
      <c r="A14" s="6" t="s">
        <v>109</v>
      </c>
      <c r="B14" s="21">
        <f>(B12*1000/'Caratteristiche trave V140'!B17) - B12*1000*'Caratteristiche trave V140'!B25/('Caratteristiche trave V140'!B23) + 'fase 0 '!B3*1000^2/'Caratteristiche trave V140'!B23</f>
        <v>6.7526960806216456</v>
      </c>
      <c r="C14" s="11" t="s">
        <v>4</v>
      </c>
      <c r="D14" s="22" t="str">
        <f>IF(B14 &lt; 0,"Trazione","Compressione")</f>
        <v>Compressione</v>
      </c>
      <c r="E14" s="6" t="str">
        <f xml:space="preserve"> IF(D14="Trazione","ϭ &gt; fctm(t)/1.2", "ϭ &lt; 0.7fck(t)")</f>
        <v>ϭ &lt; 0.7fck(t)</v>
      </c>
      <c r="F14" s="4" t="str">
        <f>IF(D14 = "Trazione", IF(ABS(B14) &lt; Materiali!$B$22/1.2,"VERIFICA", " NON VERIFICA"), IF(B14 &lt; 0.7*Materiali!$B$16,"VERIFICA", " NON VERIFICA"))</f>
        <v>VERIFICA</v>
      </c>
      <c r="G14" s="23">
        <f>ABS(B14/IF(D14 = "Trazione",  Materiali!$B$22/1.2,  0.7*Materiali!$B$16))</f>
        <v>0.2461978058985039</v>
      </c>
    </row>
    <row r="15" spans="1:18" x14ac:dyDescent="0.25">
      <c r="A15" s="77" t="s">
        <v>107</v>
      </c>
      <c r="B15" s="77"/>
      <c r="C15" s="77"/>
      <c r="D15" s="77"/>
      <c r="E15" s="77"/>
      <c r="F15" s="77"/>
      <c r="G15" s="23"/>
    </row>
    <row r="16" spans="1:18" ht="17.25" x14ac:dyDescent="0.25">
      <c r="A16" s="6" t="s">
        <v>108</v>
      </c>
      <c r="B16" s="9">
        <f>(B12*1000/'Caratteristiche trave V140'!B17) + B12*1000*'Caratteristiche trave V140'!B25/('Caratteristiche trave V140'!B22) - 'fase 0 '!B3*1000^2/'Caratteristiche trave V140'!B22</f>
        <v>17.56239368132281</v>
      </c>
      <c r="C16" s="11" t="s">
        <v>4</v>
      </c>
      <c r="D16" s="22" t="str">
        <f>IF(B16 &lt; 0,"Trazione","Compressione")</f>
        <v>Compressione</v>
      </c>
      <c r="E16" s="6" t="s">
        <v>114</v>
      </c>
      <c r="F16" s="30" t="str">
        <f>IF(D16 = "Trazione", IF(ABS(B16) &lt; Materiali!$B$22/1.2,"VERIFICA", " NON VERIFICA"), IF(B16 &lt; 0.7*Materiali!$B$16,"VERIFICA", " NON VERIFICA"))</f>
        <v>VERIFICA</v>
      </c>
      <c r="G16" s="23">
        <f>ABS(B16/IF(D16 = "Trazione",  Materiali!$B$22/1.2,  0.7*Materiali!$B$16))</f>
        <v>0.64031058691884413</v>
      </c>
    </row>
    <row r="17" spans="1:7" x14ac:dyDescent="0.25">
      <c r="A17" s="139" t="s">
        <v>116</v>
      </c>
      <c r="B17" s="140"/>
      <c r="C17" s="140"/>
      <c r="D17" s="140"/>
      <c r="E17" s="140"/>
      <c r="F17" s="141"/>
      <c r="G17" s="23"/>
    </row>
    <row r="18" spans="1:7" ht="17.25" x14ac:dyDescent="0.25">
      <c r="A18" s="6" t="s">
        <v>119</v>
      </c>
      <c r="B18" s="9">
        <f>B12*1000/'Caratteristiche trave V140'!B17 + ('fase 0 '!B12*1000*'Caratteristiche trave V140'!B25- 'fase 0 '!B3)/'Caratteristiche trave V140'!B20*'Caratteristiche trave V140'!B25</f>
        <v>17.593812131637723</v>
      </c>
      <c r="C18" s="11" t="s">
        <v>4</v>
      </c>
      <c r="D18" s="22" t="str">
        <f>IF(B18 &lt; 0,"Trazione","Compressione")</f>
        <v>Compressione</v>
      </c>
      <c r="E18" s="6" t="s">
        <v>114</v>
      </c>
      <c r="F18" s="30" t="str">
        <f>IF(D18 = "Trazione", IF(ABS(B18) &lt; Materiali!$B$22/1.2,"VERIFICA", " NON VERIFICA"), IF(B18 &lt; 0.7*Materiali!$B$16,"VERIFICA", " NON VERIFICA"))</f>
        <v>VERIFICA</v>
      </c>
      <c r="G18" s="23">
        <f>ABS(B18/IF(D18 = "Trazione",  Materiali!$B$22/1.2,  0.7*Materiali!$B$16))</f>
        <v>0.64145607805896232</v>
      </c>
    </row>
    <row r="19" spans="1:7" x14ac:dyDescent="0.25">
      <c r="A19" s="139" t="s">
        <v>117</v>
      </c>
      <c r="B19" s="140"/>
      <c r="C19" s="140"/>
      <c r="D19" s="140"/>
      <c r="E19" s="140"/>
      <c r="F19" s="141"/>
      <c r="G19" s="76"/>
    </row>
    <row r="20" spans="1:7" x14ac:dyDescent="0.25">
      <c r="A20" s="135" t="s">
        <v>118</v>
      </c>
      <c r="B20" s="136"/>
      <c r="C20" s="136"/>
      <c r="D20" s="136"/>
      <c r="E20" s="136"/>
      <c r="F20" s="136"/>
      <c r="G20" s="78"/>
    </row>
    <row r="21" spans="1:7" ht="17.25" x14ac:dyDescent="0.25">
      <c r="A21" s="6" t="s">
        <v>120</v>
      </c>
      <c r="B21" s="9">
        <f>B12*1000/'Caratteristiche trave V140'!B14 + 'Caratteristiche trave V140'!B16*'fase 0 '!B3*1000^2/'Caratteristiche trave V140'!B20*'Caratteristiche trave V140'!B25</f>
        <v>1117.1784988775053</v>
      </c>
      <c r="C21" s="11" t="s">
        <v>4</v>
      </c>
      <c r="D21" s="22" t="s">
        <v>96</v>
      </c>
      <c r="E21" s="6" t="s">
        <v>115</v>
      </c>
      <c r="F21" s="4" t="str">
        <f>IF(B21&lt;MIN(Materiali!B32:B33),"VERIFICA", " NON VERIFICA")</f>
        <v>VERIFICA</v>
      </c>
      <c r="G21" s="9">
        <f>B21/MIN(Materiali!B32:B33)</f>
        <v>0.75079200193380735</v>
      </c>
    </row>
  </sheetData>
  <mergeCells count="12">
    <mergeCell ref="A20:F20"/>
    <mergeCell ref="A7:C7"/>
    <mergeCell ref="A9:C9"/>
    <mergeCell ref="A11:C11"/>
    <mergeCell ref="A19:F19"/>
    <mergeCell ref="A17:F17"/>
    <mergeCell ref="A13:F13"/>
    <mergeCell ref="A1:C1"/>
    <mergeCell ref="A4:C4"/>
    <mergeCell ref="I1:J1"/>
    <mergeCell ref="M1:N1"/>
    <mergeCell ref="Q1:R1"/>
  </mergeCells>
  <phoneticPr fontId="3" type="noConversion"/>
  <conditionalFormatting sqref="F21">
    <cfRule type="containsText" dxfId="209" priority="15" operator="containsText" text="NON ">
      <formula>NOT(ISERROR(SEARCH("NON ",F21)))</formula>
    </cfRule>
    <cfRule type="containsText" dxfId="208" priority="16" operator="containsText" text="VERIFICA">
      <formula>NOT(ISERROR(SEARCH("VERIFICA",F21)))</formula>
    </cfRule>
    <cfRule type="containsText" dxfId="207" priority="17" operator="containsText" text="N">
      <formula>NOT(ISERROR(SEARCH("N",F21)))</formula>
    </cfRule>
    <cfRule type="containsText" dxfId="206" priority="18" operator="containsText" text="NON VERIFICA ">
      <formula>NOT(ISERROR(SEARCH("NON VERIFICA ",F21)))</formula>
    </cfRule>
    <cfRule type="cellIs" dxfId="205" priority="19" operator="equal">
      <formula>"NON VERIFICA"</formula>
    </cfRule>
    <cfRule type="cellIs" dxfId="204" priority="20" operator="equal">
      <formula>"NON VERIFICA"</formula>
    </cfRule>
    <cfRule type="cellIs" dxfId="203" priority="21" operator="equal">
      <formula>"VERIFICA"</formula>
    </cfRule>
  </conditionalFormatting>
  <conditionalFormatting sqref="F6">
    <cfRule type="containsText" dxfId="202" priority="50" operator="containsText" text="NON ">
      <formula>NOT(ISERROR(SEARCH("NON ",F6)))</formula>
    </cfRule>
    <cfRule type="containsText" dxfId="201" priority="51" operator="containsText" text="VERIFICA">
      <formula>NOT(ISERROR(SEARCH("VERIFICA",F6)))</formula>
    </cfRule>
    <cfRule type="containsText" dxfId="200" priority="52" operator="containsText" text="N">
      <formula>NOT(ISERROR(SEARCH("N",F6)))</formula>
    </cfRule>
    <cfRule type="containsText" dxfId="199" priority="53" operator="containsText" text="NON VERIFICA ">
      <formula>NOT(ISERROR(SEARCH("NON VERIFICA ",F6)))</formula>
    </cfRule>
    <cfRule type="cellIs" dxfId="198" priority="54" operator="equal">
      <formula>"NON VERIFICA"</formula>
    </cfRule>
    <cfRule type="cellIs" dxfId="197" priority="55" operator="equal">
      <formula>"NON VERIFICA"</formula>
    </cfRule>
    <cfRule type="cellIs" dxfId="196" priority="56" operator="equal">
      <formula>"VERIFICA"</formula>
    </cfRule>
  </conditionalFormatting>
  <conditionalFormatting sqref="F14">
    <cfRule type="containsText" dxfId="195" priority="43" operator="containsText" text="NON ">
      <formula>NOT(ISERROR(SEARCH("NON ",F14)))</formula>
    </cfRule>
    <cfRule type="containsText" dxfId="194" priority="44" operator="containsText" text="VERIFICA">
      <formula>NOT(ISERROR(SEARCH("VERIFICA",F14)))</formula>
    </cfRule>
    <cfRule type="containsText" dxfId="193" priority="45" operator="containsText" text="N">
      <formula>NOT(ISERROR(SEARCH("N",F14)))</formula>
    </cfRule>
    <cfRule type="containsText" dxfId="192" priority="46" operator="containsText" text="NON VERIFICA ">
      <formula>NOT(ISERROR(SEARCH("NON VERIFICA ",F14)))</formula>
    </cfRule>
    <cfRule type="cellIs" dxfId="191" priority="47" operator="equal">
      <formula>"NON VERIFICA"</formula>
    </cfRule>
    <cfRule type="cellIs" dxfId="190" priority="48" operator="equal">
      <formula>"NON VERIFICA"</formula>
    </cfRule>
    <cfRule type="cellIs" dxfId="189" priority="49" operator="equal">
      <formula>"VERIFICA"</formula>
    </cfRule>
  </conditionalFormatting>
  <conditionalFormatting sqref="F16">
    <cfRule type="containsText" dxfId="188" priority="8" operator="containsText" text="NON ">
      <formula>NOT(ISERROR(SEARCH("NON ",F16)))</formula>
    </cfRule>
    <cfRule type="containsText" dxfId="187" priority="9" operator="containsText" text="VERIFICA">
      <formula>NOT(ISERROR(SEARCH("VERIFICA",F16)))</formula>
    </cfRule>
    <cfRule type="containsText" dxfId="186" priority="10" operator="containsText" text="N">
      <formula>NOT(ISERROR(SEARCH("N",F16)))</formula>
    </cfRule>
    <cfRule type="containsText" dxfId="185" priority="11" operator="containsText" text="NON VERIFICA ">
      <formula>NOT(ISERROR(SEARCH("NON VERIFICA ",F16)))</formula>
    </cfRule>
    <cfRule type="cellIs" dxfId="184" priority="12" operator="equal">
      <formula>"NON VERIFICA"</formula>
    </cfRule>
    <cfRule type="cellIs" dxfId="183" priority="13" operator="equal">
      <formula>"NON VERIFICA"</formula>
    </cfRule>
    <cfRule type="cellIs" dxfId="182" priority="14" operator="equal">
      <formula>"VERIFICA"</formula>
    </cfRule>
  </conditionalFormatting>
  <conditionalFormatting sqref="F18">
    <cfRule type="containsText" dxfId="181" priority="1" operator="containsText" text="NON ">
      <formula>NOT(ISERROR(SEARCH("NON ",F18)))</formula>
    </cfRule>
    <cfRule type="containsText" dxfId="180" priority="2" operator="containsText" text="VERIFICA">
      <formula>NOT(ISERROR(SEARCH("VERIFICA",F18)))</formula>
    </cfRule>
    <cfRule type="containsText" dxfId="179" priority="3" operator="containsText" text="N">
      <formula>NOT(ISERROR(SEARCH("N",F18)))</formula>
    </cfRule>
    <cfRule type="containsText" dxfId="178" priority="4" operator="containsText" text="NON VERIFICA ">
      <formula>NOT(ISERROR(SEARCH("NON VERIFICA ",F18)))</formula>
    </cfRule>
    <cfRule type="cellIs" dxfId="177" priority="5" operator="equal">
      <formula>"NON VERIFICA"</formula>
    </cfRule>
    <cfRule type="cellIs" dxfId="176" priority="6" operator="equal">
      <formula>"NON VERIFICA"</formula>
    </cfRule>
    <cfRule type="cellIs" dxfId="175" priority="7" operator="equal">
      <formula>"VERIFICA"</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topLeftCell="A7" zoomScale="70" zoomScaleNormal="70" workbookViewId="0">
      <selection activeCell="U35" sqref="A35:U58"/>
    </sheetView>
  </sheetViews>
  <sheetFormatPr defaultRowHeight="15" x14ac:dyDescent="0.25"/>
  <cols>
    <col min="2" max="2" width="12" bestFit="1" customWidth="1"/>
    <col min="3" max="3" width="13.85546875" customWidth="1"/>
    <col min="4" max="4" width="17.85546875" customWidth="1"/>
    <col min="5" max="5" width="29.85546875" customWidth="1"/>
    <col min="6" max="6" width="28.5703125" customWidth="1"/>
  </cols>
  <sheetData>
    <row r="1" spans="1:15" x14ac:dyDescent="0.25">
      <c r="A1" s="32" t="s">
        <v>121</v>
      </c>
      <c r="B1" s="32"/>
      <c r="C1" s="32"/>
      <c r="D1" s="32"/>
    </row>
    <row r="2" spans="1:15" x14ac:dyDescent="0.25">
      <c r="A2" t="s">
        <v>122</v>
      </c>
    </row>
    <row r="3" spans="1:15" x14ac:dyDescent="0.25">
      <c r="A3" s="28" t="s">
        <v>123</v>
      </c>
      <c r="B3" s="28"/>
      <c r="C3" s="28"/>
    </row>
    <row r="4" spans="1:15" ht="18" x14ac:dyDescent="0.35">
      <c r="A4" s="22" t="s">
        <v>126</v>
      </c>
      <c r="B4" s="12">
        <f xml:space="preserve"> 25*'Caratteristiche trave V140'!B30*'Caratteristiche trave V140'!B31</f>
        <v>15.625</v>
      </c>
      <c r="C4" s="22" t="s">
        <v>0</v>
      </c>
    </row>
    <row r="5" spans="1:15" ht="18" x14ac:dyDescent="0.35">
      <c r="A5" s="22" t="s">
        <v>125</v>
      </c>
      <c r="B5" s="9">
        <f>B4*'Caratteristiche trave V140'!B2^2/8</f>
        <v>1220.703125</v>
      </c>
      <c r="C5" s="22" t="s">
        <v>3</v>
      </c>
      <c r="D5" t="s">
        <v>124</v>
      </c>
    </row>
    <row r="6" spans="1:15" ht="18" x14ac:dyDescent="0.35">
      <c r="A6" s="28" t="s">
        <v>127</v>
      </c>
      <c r="B6" s="28"/>
      <c r="C6" s="28"/>
    </row>
    <row r="7" spans="1:15" ht="17.25" x14ac:dyDescent="0.25">
      <c r="A7" s="29" t="s">
        <v>138</v>
      </c>
      <c r="B7" s="22">
        <f>B5*1000^2/'Caratteristiche trave V140'!B23</f>
        <v>4.7164778125836087</v>
      </c>
      <c r="C7" s="11" t="s">
        <v>4</v>
      </c>
      <c r="D7" t="s">
        <v>128</v>
      </c>
    </row>
    <row r="8" spans="1:15" ht="17.25" x14ac:dyDescent="0.25">
      <c r="A8" s="29" t="s">
        <v>139</v>
      </c>
      <c r="B8" s="22">
        <f>-B5*1000^2/'Caratteristiche trave V140'!B22</f>
        <v>-4.4214531832883148</v>
      </c>
      <c r="C8" s="11" t="s">
        <v>4</v>
      </c>
      <c r="D8" t="s">
        <v>129</v>
      </c>
    </row>
    <row r="9" spans="1:15" ht="17.25" x14ac:dyDescent="0.25">
      <c r="A9" s="29" t="s">
        <v>132</v>
      </c>
      <c r="B9" s="22">
        <f>-B5*1000^2*'Caratteristiche trave V140'!B25/'Caratteristiche trave V140'!B20</f>
        <v>-2.1369704343203342</v>
      </c>
      <c r="C9" s="11" t="s">
        <v>4</v>
      </c>
      <c r="D9" t="s">
        <v>130</v>
      </c>
    </row>
    <row r="10" spans="1:15" ht="18" customHeight="1" x14ac:dyDescent="0.25"/>
    <row r="11" spans="1:15" ht="46.5" customHeight="1" x14ac:dyDescent="0.25">
      <c r="A11" s="142" t="s">
        <v>131</v>
      </c>
      <c r="B11" s="142"/>
      <c r="C11" s="142"/>
      <c r="D11" s="142"/>
      <c r="E11" s="142"/>
      <c r="F11" s="142"/>
    </row>
    <row r="12" spans="1:15" x14ac:dyDescent="0.25">
      <c r="A12" s="28" t="s">
        <v>134</v>
      </c>
      <c r="B12" s="28"/>
      <c r="C12" s="28"/>
      <c r="D12" s="28"/>
      <c r="E12" s="28"/>
      <c r="F12" s="38"/>
    </row>
    <row r="13" spans="1:15" x14ac:dyDescent="0.25">
      <c r="A13" s="45" t="s">
        <v>135</v>
      </c>
      <c r="B13" s="46">
        <f>'Perdite di tiro '!B94</f>
        <v>1939.0143296637962</v>
      </c>
      <c r="C13" s="46" t="s">
        <v>6</v>
      </c>
      <c r="D13" s="38" t="s">
        <v>136</v>
      </c>
      <c r="E13" s="38"/>
      <c r="F13" s="38"/>
    </row>
    <row r="14" spans="1:15" ht="17.25" x14ac:dyDescent="0.25">
      <c r="A14" s="29" t="s">
        <v>138</v>
      </c>
      <c r="B14" s="9">
        <f>-B13*1000/'Caratteristiche trave V140'!B17 + B13*1000*'Caratteristiche trave V140'!B25/'Caratteristiche trave V140'!B23</f>
        <v>-0.15183175635621105</v>
      </c>
      <c r="C14" s="11" t="s">
        <v>4</v>
      </c>
      <c r="D14" s="30" t="str">
        <f>IF(B14 &lt; 0,"Trazione","Compressione")</f>
        <v>Trazione</v>
      </c>
      <c r="E14" s="38" t="s">
        <v>128</v>
      </c>
      <c r="F14" s="38"/>
    </row>
    <row r="15" spans="1:15" ht="17.25" x14ac:dyDescent="0.25">
      <c r="A15" s="29" t="s">
        <v>133</v>
      </c>
      <c r="B15" s="9">
        <f>-B13*1000/'Caratteristiche trave V140'!B17 - B13*1000*'Caratteristiche trave V140'!B25/'Caratteristiche trave V140'!B22</f>
        <v>-4.9040624118655023</v>
      </c>
      <c r="C15" s="11" t="s">
        <v>4</v>
      </c>
      <c r="D15" s="30" t="str">
        <f t="shared" ref="D15:D16" si="0">IF(B15 &lt; 0,"Trazione","Compressione")</f>
        <v>Trazione</v>
      </c>
      <c r="E15" s="38" t="s">
        <v>129</v>
      </c>
      <c r="F15" s="38"/>
      <c r="O15" s="30"/>
    </row>
    <row r="16" spans="1:15" ht="17.25" x14ac:dyDescent="0.25">
      <c r="A16" s="29" t="s">
        <v>132</v>
      </c>
      <c r="B16" s="9">
        <f>-B13*1000/'Caratteristiche trave V140'!B17 - B13*1000*'Caratteristiche trave V140'!B25^2/'Caratteristiche trave V140'!B20</f>
        <v>-3.7160047479881797</v>
      </c>
      <c r="C16" s="11" t="s">
        <v>4</v>
      </c>
      <c r="D16" s="30" t="str">
        <f t="shared" si="0"/>
        <v>Trazione</v>
      </c>
      <c r="E16" s="38" t="s">
        <v>130</v>
      </c>
      <c r="F16" s="38"/>
      <c r="O16" s="9"/>
    </row>
    <row r="17" spans="1:16" x14ac:dyDescent="0.25">
      <c r="A17" s="122" t="s">
        <v>137</v>
      </c>
      <c r="B17" s="122"/>
      <c r="C17" s="122"/>
      <c r="D17" s="122"/>
      <c r="E17" s="122"/>
      <c r="F17" s="122"/>
      <c r="G17" s="30" t="s">
        <v>228</v>
      </c>
    </row>
    <row r="18" spans="1:16" ht="17.25" x14ac:dyDescent="0.25">
      <c r="A18" s="29" t="s">
        <v>142</v>
      </c>
      <c r="B18" s="9">
        <f>'fase 0 '!B14 +'fase 1 '!B7+'fase 1 '!B14</f>
        <v>11.317342136849044</v>
      </c>
      <c r="C18" s="11" t="s">
        <v>4</v>
      </c>
      <c r="D18" s="4" t="str">
        <f>IF(B18 &lt; 0,"Trazione","Compressione")</f>
        <v>Compressione</v>
      </c>
      <c r="E18" s="30" t="str">
        <f>IF(D18 = "Trazione", IF(ABS(B18) &lt; Materiali!$B$22/1.2,"VERIFICA", " NON VERIFICA"), IF(B18 &lt; 0.7*Materiali!$B$16,"VERIFICA", " NON VERIFICA"))</f>
        <v>VERIFICA</v>
      </c>
      <c r="F18" s="6" t="str">
        <f xml:space="preserve"> IF(D18="Trazione","ϭ &gt; fctm(t)/1.2", "ϭ &lt; 0.6fck(t)")</f>
        <v>ϭ &lt; 0.6fck(t)</v>
      </c>
      <c r="G18" s="30">
        <f>ABS(B18/IF(D18 = "Trazione",  Materiali!$B$22/1.2,  0.7*Materiali!$B$16))</f>
        <v>0.41262108784828005</v>
      </c>
    </row>
    <row r="19" spans="1:16" x14ac:dyDescent="0.25">
      <c r="A19" s="122" t="s">
        <v>140</v>
      </c>
      <c r="B19" s="122"/>
      <c r="C19" s="122"/>
      <c r="D19" s="122"/>
      <c r="E19" s="122"/>
      <c r="F19" s="122"/>
      <c r="G19" s="30"/>
    </row>
    <row r="20" spans="1:16" ht="17.25" x14ac:dyDescent="0.25">
      <c r="A20" s="29" t="s">
        <v>141</v>
      </c>
      <c r="B20" s="26">
        <f>'fase 0 '!B16 +'fase 1 '!B8+'fase 1 '!B15</f>
        <v>8.2368780861689928</v>
      </c>
      <c r="C20" s="11" t="s">
        <v>4</v>
      </c>
      <c r="D20" s="4" t="str">
        <f t="shared" ref="D20" si="1">IF(B20 &lt; 0,"Trazione","Compressione")</f>
        <v>Compressione</v>
      </c>
      <c r="E20" s="30" t="str">
        <f>IF(D20 = "Trazione", IF(ABS(B20) &lt; Materiali!$B$22/1.2,"VERIFICA", " NON VERIFICA"), IF(B20 &lt; 0.7*Materiali!$B$16,"VERIFICA", " NON VERIFICA"))</f>
        <v>VERIFICA</v>
      </c>
      <c r="F20" s="6" t="str">
        <f t="shared" ref="F20:F22" si="2" xml:space="preserve"> IF(D20="Trazione","ϭ &gt; fctm(t)/1.2", "ϭ &lt; 0.6fck(t)")</f>
        <v>ϭ &lt; 0.6fck(t)</v>
      </c>
      <c r="G20" s="30">
        <f>ABS(B20/IF(D20 = "Trazione",  Materiali!$B$22/1.2,  0.7*Materiali!$B$16))</f>
        <v>0.30030987446448021</v>
      </c>
    </row>
    <row r="21" spans="1:16" x14ac:dyDescent="0.25">
      <c r="A21" s="122" t="s">
        <v>143</v>
      </c>
      <c r="B21" s="122"/>
      <c r="C21" s="122"/>
      <c r="D21" s="122"/>
      <c r="E21" s="122"/>
      <c r="F21" s="122"/>
      <c r="G21" s="30"/>
    </row>
    <row r="22" spans="1:16" ht="17.25" x14ac:dyDescent="0.25">
      <c r="A22" s="29" t="s">
        <v>144</v>
      </c>
      <c r="B22" s="26">
        <f>'fase 0 '!B18+B9+B16</f>
        <v>11.740836949329209</v>
      </c>
      <c r="C22" s="11" t="s">
        <v>4</v>
      </c>
      <c r="D22" s="4" t="str">
        <f t="shared" ref="D22" si="3">IF(B22 &lt; 0,"Trazione","Compressione")</f>
        <v>Compressione</v>
      </c>
      <c r="E22" s="30" t="str">
        <f>IF(D22 = "Trazione", IF(ABS(B22) &lt; Materiali!$B$22/1.2,"VERIFICA", " NON VERIFICA"), IF(B22 &lt; 0.7*Materiali!$B$16,"VERIFICA", " NON VERIFICA"))</f>
        <v>VERIFICA</v>
      </c>
      <c r="F22" s="6" t="str">
        <f t="shared" si="2"/>
        <v>ϭ &lt; 0.6fck(t)</v>
      </c>
      <c r="G22" s="30">
        <f>ABS(B22/IF(D22 = "Trazione",  Materiali!$B$22/1.2,  0.7*Materiali!$B$16))</f>
        <v>0.42806136420563334</v>
      </c>
    </row>
    <row r="23" spans="1:16" x14ac:dyDescent="0.25">
      <c r="A23" s="122" t="s">
        <v>145</v>
      </c>
      <c r="B23" s="122"/>
      <c r="C23" s="122"/>
      <c r="D23" s="122"/>
      <c r="E23" s="122"/>
      <c r="F23" s="122"/>
      <c r="G23" s="30"/>
    </row>
    <row r="24" spans="1:16" x14ac:dyDescent="0.25">
      <c r="A24" s="29" t="s">
        <v>146</v>
      </c>
      <c r="B24" s="22"/>
      <c r="C24" s="22"/>
      <c r="D24" s="22"/>
      <c r="E24" s="22"/>
      <c r="F24" s="22"/>
      <c r="G24" s="30"/>
    </row>
    <row r="25" spans="1:16" ht="17.25" x14ac:dyDescent="0.25">
      <c r="A25" s="29" t="s">
        <v>147</v>
      </c>
      <c r="B25" s="22">
        <f>'fase 0 '!B21-'Caratteristiche trave V140'!B16*'fase 1 '!B16 + 'Caratteristiche trave V140'!B16*'fase 1 '!B9</f>
        <v>1126.6527047595123</v>
      </c>
      <c r="C25" s="11" t="s">
        <v>4</v>
      </c>
      <c r="D25" s="22" t="s">
        <v>96</v>
      </c>
      <c r="E25" s="4" t="str">
        <f>IF(B25&lt;MIN(Materiali!B32:B33),"VERIFICA", " NON VERIFICA")</f>
        <v>VERIFICA</v>
      </c>
      <c r="F25" s="6" t="s">
        <v>115</v>
      </c>
      <c r="G25" s="30">
        <f>B25/MIN(Materiali!B32:B33)</f>
        <v>0.75715907577924213</v>
      </c>
    </row>
    <row r="28" spans="1:16" x14ac:dyDescent="0.25">
      <c r="B28" s="134" t="s">
        <v>148</v>
      </c>
      <c r="C28" s="134"/>
      <c r="F28" s="134" t="s">
        <v>149</v>
      </c>
      <c r="G28" s="134"/>
      <c r="J28" s="134" t="s">
        <v>150</v>
      </c>
      <c r="K28" s="134"/>
      <c r="O28" s="134" t="s">
        <v>150</v>
      </c>
      <c r="P28" s="134"/>
    </row>
    <row r="29" spans="1:16" x14ac:dyDescent="0.25">
      <c r="B29" s="1" t="s">
        <v>111</v>
      </c>
      <c r="C29" s="1" t="s">
        <v>110</v>
      </c>
      <c r="F29" s="1" t="s">
        <v>111</v>
      </c>
      <c r="G29" s="1" t="s">
        <v>110</v>
      </c>
      <c r="J29" s="1" t="s">
        <v>111</v>
      </c>
      <c r="K29" s="1" t="s">
        <v>110</v>
      </c>
      <c r="O29" s="1" t="s">
        <v>111</v>
      </c>
      <c r="P29" s="1" t="s">
        <v>110</v>
      </c>
    </row>
    <row r="30" spans="1:16" x14ac:dyDescent="0.25">
      <c r="B30" s="1">
        <f>'fase 0 '!Q3</f>
        <v>0</v>
      </c>
      <c r="C30" s="1">
        <f>'fase 0 '!R3</f>
        <v>722.6</v>
      </c>
      <c r="F30" s="1">
        <v>0</v>
      </c>
      <c r="G30" s="1">
        <f>C30</f>
        <v>722.6</v>
      </c>
      <c r="J30" s="1">
        <f>B30+F30</f>
        <v>0</v>
      </c>
      <c r="K30" s="1">
        <f>G30</f>
        <v>722.6</v>
      </c>
      <c r="O30" s="1">
        <f>B30+F30+J30</f>
        <v>0</v>
      </c>
      <c r="P30" s="1">
        <f>G30</f>
        <v>722.6</v>
      </c>
    </row>
    <row r="31" spans="1:16" x14ac:dyDescent="0.25">
      <c r="B31" s="2">
        <f>'fase 0 '!Q4</f>
        <v>6.7526960806216456</v>
      </c>
      <c r="C31" s="1">
        <f>'fase 0 '!R4</f>
        <v>722.6</v>
      </c>
      <c r="D31" s="20"/>
      <c r="E31" s="20"/>
      <c r="F31" s="20">
        <f>B14</f>
        <v>-0.15183175635621105</v>
      </c>
      <c r="G31" s="20">
        <f t="shared" ref="G31:G33" si="4">C31</f>
        <v>722.6</v>
      </c>
      <c r="H31" s="20"/>
      <c r="I31" s="20"/>
      <c r="J31" s="20">
        <f>B7</f>
        <v>4.7164778125836087</v>
      </c>
      <c r="K31" s="1">
        <f t="shared" ref="K31:K33" si="5">G31</f>
        <v>722.6</v>
      </c>
      <c r="O31" s="2">
        <f t="shared" ref="O31:O33" si="6">B31+F31+J31</f>
        <v>11.317342136849042</v>
      </c>
      <c r="P31" s="1">
        <f t="shared" ref="P31:P33" si="7">G31</f>
        <v>722.6</v>
      </c>
    </row>
    <row r="32" spans="1:16" x14ac:dyDescent="0.25">
      <c r="B32" s="2">
        <f>'fase 0 '!Q5</f>
        <v>17.56239368132281</v>
      </c>
      <c r="C32" s="1">
        <f>'fase 0 '!R5</f>
        <v>-677.4</v>
      </c>
      <c r="D32" s="20"/>
      <c r="E32" s="20"/>
      <c r="F32" s="20">
        <f>B15</f>
        <v>-4.9040624118655023</v>
      </c>
      <c r="G32" s="20">
        <f t="shared" si="4"/>
        <v>-677.4</v>
      </c>
      <c r="H32" s="20"/>
      <c r="I32" s="20"/>
      <c r="J32" s="20">
        <f>B8</f>
        <v>-4.4214531832883148</v>
      </c>
      <c r="K32" s="1">
        <f t="shared" si="5"/>
        <v>-677.4</v>
      </c>
      <c r="O32" s="2">
        <f t="shared" si="6"/>
        <v>8.2368780861689928</v>
      </c>
      <c r="P32" s="1">
        <f t="shared" si="7"/>
        <v>-677.4</v>
      </c>
    </row>
    <row r="33" spans="2:16" x14ac:dyDescent="0.25">
      <c r="B33" s="1">
        <f>'fase 0 '!Q6</f>
        <v>0</v>
      </c>
      <c r="C33" s="1">
        <f>'fase 0 '!R6</f>
        <v>-677.4</v>
      </c>
      <c r="F33">
        <v>0</v>
      </c>
      <c r="G33" s="1">
        <f t="shared" si="4"/>
        <v>-677.4</v>
      </c>
      <c r="J33" s="1">
        <f t="shared" ref="J33" si="8">B33+F33</f>
        <v>0</v>
      </c>
      <c r="K33" s="1">
        <f t="shared" si="5"/>
        <v>-677.4</v>
      </c>
      <c r="O33" s="1">
        <f t="shared" si="6"/>
        <v>0</v>
      </c>
      <c r="P33" s="1">
        <f t="shared" si="7"/>
        <v>-677.4</v>
      </c>
    </row>
  </sheetData>
  <mergeCells count="9">
    <mergeCell ref="A11:F11"/>
    <mergeCell ref="B28:C28"/>
    <mergeCell ref="F28:G28"/>
    <mergeCell ref="J28:K28"/>
    <mergeCell ref="O28:P28"/>
    <mergeCell ref="A17:F17"/>
    <mergeCell ref="A19:F19"/>
    <mergeCell ref="A21:F21"/>
    <mergeCell ref="A23:F23"/>
  </mergeCells>
  <phoneticPr fontId="3" type="noConversion"/>
  <conditionalFormatting sqref="E25">
    <cfRule type="containsText" dxfId="174" priority="36" operator="containsText" text="NON ">
      <formula>NOT(ISERROR(SEARCH("NON ",E25)))</formula>
    </cfRule>
    <cfRule type="containsText" dxfId="173" priority="37" operator="containsText" text="VERIFICA">
      <formula>NOT(ISERROR(SEARCH("VERIFICA",E25)))</formula>
    </cfRule>
    <cfRule type="containsText" dxfId="172" priority="38" operator="containsText" text="N">
      <formula>NOT(ISERROR(SEARCH("N",E25)))</formula>
    </cfRule>
    <cfRule type="containsText" dxfId="171" priority="39" operator="containsText" text="NON VERIFICA ">
      <formula>NOT(ISERROR(SEARCH("NON VERIFICA ",E25)))</formula>
    </cfRule>
    <cfRule type="cellIs" dxfId="170" priority="40" operator="equal">
      <formula>"NON VERIFICA"</formula>
    </cfRule>
    <cfRule type="cellIs" dxfId="169" priority="41" operator="equal">
      <formula>"NON VERIFICA"</formula>
    </cfRule>
    <cfRule type="cellIs" dxfId="168" priority="42" operator="equal">
      <formula>"VERIFICA"</formula>
    </cfRule>
  </conditionalFormatting>
  <conditionalFormatting sqref="E18">
    <cfRule type="containsText" dxfId="167" priority="29" operator="containsText" text="NON ">
      <formula>NOT(ISERROR(SEARCH("NON ",E18)))</formula>
    </cfRule>
    <cfRule type="containsText" dxfId="166" priority="30" operator="containsText" text="VERIFICA">
      <formula>NOT(ISERROR(SEARCH("VERIFICA",E18)))</formula>
    </cfRule>
    <cfRule type="containsText" dxfId="165" priority="31" operator="containsText" text="N">
      <formula>NOT(ISERROR(SEARCH("N",E18)))</formula>
    </cfRule>
    <cfRule type="containsText" dxfId="164" priority="32" operator="containsText" text="NON VERIFICA ">
      <formula>NOT(ISERROR(SEARCH("NON VERIFICA ",E18)))</formula>
    </cfRule>
    <cfRule type="cellIs" dxfId="163" priority="33" operator="equal">
      <formula>"NON VERIFICA"</formula>
    </cfRule>
    <cfRule type="cellIs" dxfId="162" priority="34" operator="equal">
      <formula>"NON VERIFICA"</formula>
    </cfRule>
    <cfRule type="cellIs" dxfId="161" priority="35" operator="equal">
      <formula>"VERIFICA"</formula>
    </cfRule>
  </conditionalFormatting>
  <conditionalFormatting sqref="E20">
    <cfRule type="containsText" dxfId="160" priority="8" operator="containsText" text="NON ">
      <formula>NOT(ISERROR(SEARCH("NON ",E20)))</formula>
    </cfRule>
    <cfRule type="containsText" dxfId="159" priority="9" operator="containsText" text="VERIFICA">
      <formula>NOT(ISERROR(SEARCH("VERIFICA",E20)))</formula>
    </cfRule>
    <cfRule type="containsText" dxfId="158" priority="10" operator="containsText" text="N">
      <formula>NOT(ISERROR(SEARCH("N",E20)))</formula>
    </cfRule>
    <cfRule type="containsText" dxfId="157" priority="11" operator="containsText" text="NON VERIFICA ">
      <formula>NOT(ISERROR(SEARCH("NON VERIFICA ",E20)))</formula>
    </cfRule>
    <cfRule type="cellIs" dxfId="156" priority="12" operator="equal">
      <formula>"NON VERIFICA"</formula>
    </cfRule>
    <cfRule type="cellIs" dxfId="155" priority="13" operator="equal">
      <formula>"NON VERIFICA"</formula>
    </cfRule>
    <cfRule type="cellIs" dxfId="154" priority="14" operator="equal">
      <formula>"VERIFICA"</formula>
    </cfRule>
  </conditionalFormatting>
  <conditionalFormatting sqref="E22">
    <cfRule type="containsText" dxfId="153" priority="1" operator="containsText" text="NON ">
      <formula>NOT(ISERROR(SEARCH("NON ",E22)))</formula>
    </cfRule>
    <cfRule type="containsText" dxfId="152" priority="2" operator="containsText" text="VERIFICA">
      <formula>NOT(ISERROR(SEARCH("VERIFICA",E22)))</formula>
    </cfRule>
    <cfRule type="containsText" dxfId="151" priority="3" operator="containsText" text="N">
      <formula>NOT(ISERROR(SEARCH("N",E22)))</formula>
    </cfRule>
    <cfRule type="containsText" dxfId="150" priority="4" operator="containsText" text="NON VERIFICA ">
      <formula>NOT(ISERROR(SEARCH("NON VERIFICA ",E22)))</formula>
    </cfRule>
    <cfRule type="cellIs" dxfId="149" priority="5" operator="equal">
      <formula>"NON VERIFICA"</formula>
    </cfRule>
    <cfRule type="cellIs" dxfId="148" priority="6" operator="equal">
      <formula>"NON VERIFICA"</formula>
    </cfRule>
    <cfRule type="cellIs" dxfId="147" priority="7" operator="equal">
      <formula>"VERIFICA"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3"/>
  <sheetViews>
    <sheetView showGridLines="0" topLeftCell="A13" zoomScale="70" zoomScaleNormal="70" workbookViewId="0">
      <selection activeCell="U54" sqref="A54:U78"/>
    </sheetView>
  </sheetViews>
  <sheetFormatPr defaultRowHeight="15" x14ac:dyDescent="0.25"/>
  <cols>
    <col min="1" max="1" width="21.85546875" customWidth="1"/>
    <col min="2" max="2" width="18.28515625" customWidth="1"/>
    <col min="3" max="3" width="17.28515625" customWidth="1"/>
    <col min="4" max="4" width="21.85546875" customWidth="1"/>
    <col min="5" max="5" width="22.140625" customWidth="1"/>
    <col min="6" max="6" width="26.42578125" customWidth="1"/>
  </cols>
  <sheetData>
    <row r="1" spans="1:10" x14ac:dyDescent="0.25">
      <c r="A1" s="143" t="s">
        <v>152</v>
      </c>
      <c r="B1" s="143"/>
      <c r="C1" s="143"/>
      <c r="D1" s="32"/>
    </row>
    <row r="2" spans="1:10" x14ac:dyDescent="0.25">
      <c r="A2" s="144" t="s">
        <v>188</v>
      </c>
      <c r="B2" s="144"/>
      <c r="C2" s="144"/>
    </row>
    <row r="3" spans="1:10" ht="18" x14ac:dyDescent="0.35">
      <c r="A3" s="11" t="s">
        <v>187</v>
      </c>
      <c r="B3" s="27">
        <f>(2.7+3.14)*2.5/2 + 0.7*2.5</f>
        <v>9.0500000000000007</v>
      </c>
      <c r="C3" s="11" t="s">
        <v>0</v>
      </c>
      <c r="D3" t="s">
        <v>186</v>
      </c>
    </row>
    <row r="4" spans="1:10" ht="18" x14ac:dyDescent="0.35">
      <c r="A4" s="11" t="s">
        <v>125</v>
      </c>
      <c r="B4" s="9">
        <f>MAX(B3:B3)*'Caratteristiche trave V140'!B2^2/8</f>
        <v>707.03125</v>
      </c>
      <c r="C4" s="11" t="s">
        <v>3</v>
      </c>
      <c r="D4" t="s">
        <v>189</v>
      </c>
    </row>
    <row r="5" spans="1:10" x14ac:dyDescent="0.25">
      <c r="A5" s="144" t="s">
        <v>190</v>
      </c>
      <c r="B5" s="144"/>
      <c r="C5" s="144"/>
    </row>
    <row r="6" spans="1:10" ht="17.25" x14ac:dyDescent="0.25">
      <c r="A6" s="8" t="s">
        <v>191</v>
      </c>
      <c r="B6" s="9">
        <f>B4*1000^2/('Caratteristiche trave V140'!B38*'Caratteristiche trave V140'!B46)*'Caratteristiche trave V140'!B44</f>
        <v>0.90452327110861386</v>
      </c>
      <c r="C6" s="11" t="s">
        <v>4</v>
      </c>
      <c r="D6" t="s">
        <v>193</v>
      </c>
    </row>
    <row r="7" spans="1:10" ht="17.25" x14ac:dyDescent="0.25">
      <c r="A7" s="8" t="s">
        <v>192</v>
      </c>
      <c r="B7" s="9">
        <f>B4*1000^2/('Caratteristiche trave V140'!B38*'Caratteristiche trave V140'!B46)*'Caratteristiche trave V140'!B45</f>
        <v>0.51531360195688669</v>
      </c>
      <c r="C7" s="11" t="s">
        <v>4</v>
      </c>
      <c r="D7" t="s">
        <v>195</v>
      </c>
    </row>
    <row r="8" spans="1:10" ht="17.25" x14ac:dyDescent="0.25">
      <c r="A8" s="8" t="s">
        <v>194</v>
      </c>
      <c r="B8" s="9">
        <f>B4*1000^2/('Caratteristiche trave V140'!B46)*'Caratteristiche trave V140'!B45</f>
        <v>0.54196262360901715</v>
      </c>
      <c r="C8" s="11" t="s">
        <v>4</v>
      </c>
      <c r="D8" t="s">
        <v>196</v>
      </c>
    </row>
    <row r="9" spans="1:10" ht="17.25" x14ac:dyDescent="0.25">
      <c r="A9" s="8" t="s">
        <v>197</v>
      </c>
      <c r="B9" s="9">
        <f>-B4*1000^2/('Caratteristiche trave V140'!B46)*'Caratteristiche trave V140'!B43</f>
        <v>-1.7503264188460403</v>
      </c>
      <c r="C9" s="11" t="s">
        <v>4</v>
      </c>
      <c r="D9" t="s">
        <v>198</v>
      </c>
    </row>
    <row r="10" spans="1:10" ht="17.25" x14ac:dyDescent="0.25">
      <c r="A10" s="8" t="s">
        <v>199</v>
      </c>
      <c r="B10" s="9">
        <f>-B4*1000^2/('Caratteristiche trave V140'!B46)*'Caratteristiche trave V140'!B48</f>
        <v>-1.177254158232276</v>
      </c>
      <c r="C10" s="11" t="s">
        <v>4</v>
      </c>
      <c r="D10" t="s">
        <v>200</v>
      </c>
    </row>
    <row r="11" spans="1:10" x14ac:dyDescent="0.25">
      <c r="A11" s="125" t="s">
        <v>206</v>
      </c>
      <c r="B11" s="126"/>
      <c r="C11" s="127"/>
      <c r="H11" s="40"/>
      <c r="I11" s="40"/>
      <c r="J11" s="40"/>
    </row>
    <row r="12" spans="1:10" ht="17.25" x14ac:dyDescent="0.25">
      <c r="A12" s="8" t="s">
        <v>205</v>
      </c>
      <c r="B12" s="27">
        <f>'Perdite di tiro '!B98</f>
        <v>-6.9996133990704585</v>
      </c>
      <c r="C12" s="11" t="s">
        <v>4</v>
      </c>
      <c r="H12" s="40"/>
      <c r="I12" s="40"/>
      <c r="J12" s="40"/>
    </row>
    <row r="13" spans="1:10" x14ac:dyDescent="0.25">
      <c r="A13" s="17" t="s">
        <v>207</v>
      </c>
      <c r="B13" s="9">
        <f>-B12*'Caratteristiche trave V140'!B32/1000</f>
        <v>4374.758374419036</v>
      </c>
      <c r="C13" s="27" t="s">
        <v>6</v>
      </c>
      <c r="H13" s="40"/>
      <c r="I13" s="40"/>
      <c r="J13" s="40"/>
    </row>
    <row r="14" spans="1:10" x14ac:dyDescent="0.25">
      <c r="A14" s="8" t="s">
        <v>208</v>
      </c>
      <c r="B14" s="9">
        <f>B13*('Caratteristiche trave V140'!B44-250)/1000</f>
        <v>1448.0450219327008</v>
      </c>
      <c r="C14" s="11" t="s">
        <v>3</v>
      </c>
      <c r="D14" s="38"/>
      <c r="E14" s="38"/>
      <c r="F14" s="38"/>
    </row>
    <row r="15" spans="1:10" ht="17.25" x14ac:dyDescent="0.25">
      <c r="A15" s="8" t="s">
        <v>191</v>
      </c>
      <c r="B15" s="9">
        <f>B13*1000/('Caratteristiche trave V140'!B38*'Caratteristiche trave V140'!B41) +B14*1000^2/('Caratteristiche trave V140'!B38*'Caratteristiche trave V140'!B46)*'Caratteristiche trave V140'!B44 + B12</f>
        <v>-2.1289441201702717</v>
      </c>
      <c r="C15" s="11" t="s">
        <v>4</v>
      </c>
      <c r="D15" s="39" t="str">
        <f>IF(B15 &lt; 0,"Trazione","Compressione")</f>
        <v>Trazione</v>
      </c>
      <c r="E15" t="s">
        <v>193</v>
      </c>
      <c r="F15" s="38"/>
    </row>
    <row r="16" spans="1:10" ht="17.25" x14ac:dyDescent="0.25">
      <c r="A16" s="8" t="s">
        <v>192</v>
      </c>
      <c r="B16" s="37">
        <f>B13*1000/('Caratteristiche trave V140'!B38*'Caratteristiche trave V140'!B41) +B14*1000^2/('Caratteristiche trave V140'!B38*'Caratteristiche trave V140'!B46)*'Caratteristiche trave V140'!B45 + B12</f>
        <v>-2.9260703064643456</v>
      </c>
      <c r="C16" s="11" t="s">
        <v>4</v>
      </c>
      <c r="D16" s="39" t="str">
        <f t="shared" ref="D16:D19" si="0">IF(B16 &lt; 0,"Trazione","Compressione")</f>
        <v>Trazione</v>
      </c>
      <c r="E16" t="s">
        <v>195</v>
      </c>
      <c r="F16" s="38"/>
    </row>
    <row r="17" spans="1:7" ht="17.25" x14ac:dyDescent="0.25">
      <c r="A17" s="8" t="s">
        <v>194</v>
      </c>
      <c r="B17" s="9">
        <f>B13*1000/('Caratteristiche trave V140'!B41) +B14*1000^2/('Caratteristiche trave V140'!B46)*'Caratteristiche trave V140'!B45</f>
        <v>4.2842030434855563</v>
      </c>
      <c r="C17" s="11" t="s">
        <v>4</v>
      </c>
      <c r="D17" s="39" t="str">
        <f t="shared" si="0"/>
        <v>Compressione</v>
      </c>
      <c r="E17" t="s">
        <v>196</v>
      </c>
      <c r="F17" s="38"/>
    </row>
    <row r="18" spans="1:7" ht="17.25" x14ac:dyDescent="0.25">
      <c r="A18" s="8" t="s">
        <v>197</v>
      </c>
      <c r="B18" s="9">
        <f>B13*1000/('Caratteristiche trave V140'!B41) -B14*1000^2/('Caratteristiche trave V140'!B46)*'Caratteristiche trave V140'!B43</f>
        <v>-0.41055088253669991</v>
      </c>
      <c r="C18" s="11" t="s">
        <v>4</v>
      </c>
      <c r="D18" s="39" t="str">
        <f t="shared" si="0"/>
        <v>Trazione</v>
      </c>
      <c r="E18" t="s">
        <v>198</v>
      </c>
      <c r="F18" s="38"/>
    </row>
    <row r="19" spans="1:7" ht="17.25" x14ac:dyDescent="0.25">
      <c r="A19" s="8" t="s">
        <v>212</v>
      </c>
      <c r="B19" s="9">
        <f>B13*1000/('Caratteristiche trave V140'!B41) -B14*1000^2/('Caratteristiche trave V140'!B46)*('Caratteristiche trave V140'!B43-'Caratteristiche trave V140'!B24)</f>
        <v>0.76313759896886424</v>
      </c>
      <c r="C19" s="11" t="s">
        <v>4</v>
      </c>
      <c r="D19" s="39" t="str">
        <f t="shared" si="0"/>
        <v>Compressione</v>
      </c>
      <c r="E19" t="s">
        <v>200</v>
      </c>
      <c r="F19" s="38"/>
    </row>
    <row r="20" spans="1:7" x14ac:dyDescent="0.25">
      <c r="A20" s="28" t="s">
        <v>134</v>
      </c>
      <c r="B20" s="28"/>
      <c r="C20" s="41"/>
      <c r="D20" s="40"/>
      <c r="E20" s="40"/>
      <c r="F20" s="40"/>
    </row>
    <row r="21" spans="1:7" x14ac:dyDescent="0.25">
      <c r="A21" s="17" t="s">
        <v>135</v>
      </c>
      <c r="B21" s="27">
        <f>'Perdite di tiro '!B112</f>
        <v>180.59251694181177</v>
      </c>
      <c r="C21" s="27" t="s">
        <v>6</v>
      </c>
      <c r="D21" s="40" t="s">
        <v>136</v>
      </c>
      <c r="E21" s="40"/>
      <c r="F21" s="40"/>
    </row>
    <row r="22" spans="1:7" ht="17.25" x14ac:dyDescent="0.25">
      <c r="A22" s="8" t="s">
        <v>191</v>
      </c>
      <c r="B22" s="9">
        <f>-B21*1000/('Caratteristiche trave V140'!B38*'Caratteristiche trave V140'!B41) +B21*1000*'Caratteristiche trave V140'!B48/('Caratteristiche trave V140'!B38*'Caratteristiche trave V140'!B46)*'Caratteristiche trave V140'!B44</f>
        <v>4.152448505467346E-2</v>
      </c>
      <c r="C22" s="11" t="s">
        <v>4</v>
      </c>
      <c r="D22" s="33" t="str">
        <f>IF(B22 &lt; 0,"Trazione","Compressione")</f>
        <v>Compressione</v>
      </c>
      <c r="E22" t="s">
        <v>213</v>
      </c>
      <c r="F22" s="40"/>
    </row>
    <row r="23" spans="1:7" ht="17.25" x14ac:dyDescent="0.25">
      <c r="A23" s="8" t="s">
        <v>192</v>
      </c>
      <c r="B23" s="37">
        <f>-B21*1000/('Caratteristiche trave V140'!B38*'Caratteristiche trave V140'!B41) +B21*1000*'Caratteristiche trave V140'!B48/('Caratteristiche trave V140'!B38*'Caratteristiche trave V140'!B46)*'Caratteristiche trave V140'!B45</f>
        <v>-2.9953722394819013E-2</v>
      </c>
      <c r="C23" s="11" t="s">
        <v>4</v>
      </c>
      <c r="D23" s="33" t="str">
        <f t="shared" ref="D23:D26" si="1">IF(B23 &lt; 0,"Trazione","Compressione")</f>
        <v>Trazione</v>
      </c>
      <c r="E23" t="s">
        <v>195</v>
      </c>
      <c r="F23" s="40"/>
    </row>
    <row r="24" spans="1:7" ht="17.25" x14ac:dyDescent="0.25">
      <c r="A24" s="8" t="s">
        <v>194</v>
      </c>
      <c r="B24" s="36">
        <f>-B21*1000/('Caratteristiche trave V140'!B41) +B21*1000*'Caratteristiche trave V140'!B48/('Caratteristiche trave V140'!B46)*'Caratteristiche trave V140'!B45</f>
        <v>-3.1502754661054858E-2</v>
      </c>
      <c r="C24" s="11" t="s">
        <v>4</v>
      </c>
      <c r="D24" s="33" t="str">
        <f t="shared" si="1"/>
        <v>Trazione</v>
      </c>
      <c r="E24" t="s">
        <v>214</v>
      </c>
      <c r="F24" s="40"/>
    </row>
    <row r="25" spans="1:7" ht="17.25" x14ac:dyDescent="0.25">
      <c r="A25" s="8" t="s">
        <v>197</v>
      </c>
      <c r="B25" s="9">
        <f>-B21*1000/('Caratteristiche trave V140'!B41) -B21*1000*'Caratteristiche trave V140'!B48/('Caratteristiche trave V140'!B46)*'Caratteristiche trave V140'!B43</f>
        <v>-0.45248076393791914</v>
      </c>
      <c r="C25" s="11" t="s">
        <v>4</v>
      </c>
      <c r="D25" s="33" t="str">
        <f t="shared" si="1"/>
        <v>Trazione</v>
      </c>
      <c r="E25" t="s">
        <v>215</v>
      </c>
      <c r="F25" s="40"/>
    </row>
    <row r="26" spans="1:7" ht="17.25" x14ac:dyDescent="0.25">
      <c r="A26" s="8" t="s">
        <v>199</v>
      </c>
      <c r="B26" s="9">
        <f>-B21*1000/('Caratteristiche trave V140'!B41) -B21*1000*'Caratteristiche trave V140'!B48/('Caratteristiche trave V140'!B46)*('Caratteristiche trave V140'!B43-'Caratteristiche trave V140'!B24)</f>
        <v>-0.34723626161870302</v>
      </c>
      <c r="C26" s="11" t="s">
        <v>4</v>
      </c>
      <c r="D26" s="33" t="str">
        <f t="shared" si="1"/>
        <v>Trazione</v>
      </c>
      <c r="E26" t="s">
        <v>216</v>
      </c>
    </row>
    <row r="28" spans="1:7" x14ac:dyDescent="0.25">
      <c r="A28" s="122" t="s">
        <v>219</v>
      </c>
      <c r="B28" s="122"/>
      <c r="C28" s="122"/>
      <c r="D28" s="122"/>
      <c r="E28" s="122"/>
      <c r="F28" s="122"/>
      <c r="G28" s="30" t="s">
        <v>228</v>
      </c>
    </row>
    <row r="29" spans="1:7" ht="17.25" x14ac:dyDescent="0.25">
      <c r="A29" s="17" t="s">
        <v>223</v>
      </c>
      <c r="B29" s="9">
        <f>G47</f>
        <v>-1.1828963640069843</v>
      </c>
      <c r="C29" s="11" t="s">
        <v>4</v>
      </c>
      <c r="D29" s="30" t="str">
        <f>IF(B29 &lt; 0,"Trazione","Compressione")</f>
        <v>Trazione</v>
      </c>
      <c r="E29" s="30" t="str">
        <f>IF(D29 = "Trazione", IF(ABS(B29) &lt; Materiali!$B$22/1.2,"VERIFICA", " NON VERIFICA"), IF(B29 &lt; 0.7*Materiali!$B$16,"VERIFICA", " NON VERIFICA"))</f>
        <v>VERIFICA</v>
      </c>
      <c r="F29" s="6" t="str">
        <f xml:space="preserve"> IF(D29="Trazione","ϭ &gt; fctm(t)/1.2", "ϭ &lt; 0.6fck(t)")</f>
        <v>ϭ &gt; fctm(t)/1.2</v>
      </c>
      <c r="G29" s="30">
        <f>ABS(B29/IF(D29 = "Trazione",  Materiali!$B$22/1.2,  0.7*Materiali!$B$16))</f>
        <v>0.43157733595626013</v>
      </c>
    </row>
    <row r="30" spans="1:7" x14ac:dyDescent="0.25">
      <c r="A30" s="122" t="s">
        <v>218</v>
      </c>
      <c r="B30" s="122"/>
      <c r="C30" s="122"/>
      <c r="D30" s="122"/>
      <c r="E30" s="122"/>
      <c r="F30" s="122"/>
      <c r="G30" s="30"/>
    </row>
    <row r="31" spans="1:7" ht="17.25" x14ac:dyDescent="0.25">
      <c r="A31" s="17" t="s">
        <v>224</v>
      </c>
      <c r="B31" s="9">
        <f>G48</f>
        <v>-2.4407104269022777</v>
      </c>
      <c r="C31" s="11" t="s">
        <v>4</v>
      </c>
      <c r="D31" s="30" t="str">
        <f t="shared" ref="D31" si="2">IF(B31 &lt; 0,"Trazione","Compressione")</f>
        <v>Trazione</v>
      </c>
      <c r="E31" s="30" t="str">
        <f>IF(D31 = "Trazione", IF(ABS(B31) &lt; Materiali!$B$22/1.2,"VERIFICA", " NON VERIFICA"), IF(B31 &lt; 0.7*Materiali!$B$16,"VERIFICA", " NON VERIFICA"))</f>
        <v>VERIFICA</v>
      </c>
      <c r="F31" s="6" t="str">
        <f t="shared" ref="F31:F35" si="3" xml:space="preserve"> IF(D31="Trazione","ϭ &gt; fctm(t)/1.2", "ϭ &lt; 0.6fck(t)")</f>
        <v>ϭ &gt; fctm(t)/1.2</v>
      </c>
      <c r="G31" s="30">
        <f>ABS(B31/IF(D31 = "Trazione",  Materiali!$B$22/1.2,  0.7*Materiali!$B$16))</f>
        <v>0.89048824219475919</v>
      </c>
    </row>
    <row r="32" spans="1:7" x14ac:dyDescent="0.25">
      <c r="A32" s="122" t="s">
        <v>220</v>
      </c>
      <c r="B32" s="122"/>
      <c r="C32" s="122"/>
      <c r="D32" s="122"/>
      <c r="E32" s="122"/>
      <c r="F32" s="122"/>
      <c r="G32" s="30"/>
    </row>
    <row r="33" spans="1:7" ht="17.25" x14ac:dyDescent="0.25">
      <c r="A33" s="17" t="s">
        <v>225</v>
      </c>
      <c r="B33" s="9">
        <f>G51</f>
        <v>16.112005049282558</v>
      </c>
      <c r="C33" s="11" t="s">
        <v>4</v>
      </c>
      <c r="D33" s="30" t="str">
        <f t="shared" ref="D33:D35" si="4">IF(B33 &lt; 0,"Trazione","Compressione")</f>
        <v>Compressione</v>
      </c>
      <c r="E33" s="30" t="str">
        <f>IF(D33 = "Trazione", IF(ABS(B33) &lt; Materiali!$B$22/1.2,"VERIFICA", " NON VERIFICA"), IF(B33 &lt; 0.7*Materiali!$B$16,"VERIFICA", " NON VERIFICA"))</f>
        <v>VERIFICA</v>
      </c>
      <c r="F33" s="6" t="str">
        <f t="shared" si="3"/>
        <v>ϭ &lt; 0.6fck(t)</v>
      </c>
      <c r="G33" s="30">
        <f>ABS(B33/IF(D33 = "Trazione",  Materiali!$B$22/1.2,  0.7*Materiali!$B$16))</f>
        <v>0.5874305972606142</v>
      </c>
    </row>
    <row r="34" spans="1:7" x14ac:dyDescent="0.25">
      <c r="A34" s="122" t="s">
        <v>221</v>
      </c>
      <c r="B34" s="122"/>
      <c r="C34" s="122"/>
      <c r="D34" s="122"/>
      <c r="E34" s="122"/>
      <c r="F34" s="122"/>
      <c r="G34" s="30"/>
    </row>
    <row r="35" spans="1:7" ht="17.25" x14ac:dyDescent="0.25">
      <c r="A35" s="17" t="s">
        <v>226</v>
      </c>
      <c r="B35" s="9">
        <f>G52</f>
        <v>5.6235200208483338</v>
      </c>
      <c r="C35" s="11" t="s">
        <v>4</v>
      </c>
      <c r="D35" s="30" t="str">
        <f t="shared" si="4"/>
        <v>Compressione</v>
      </c>
      <c r="E35" s="30" t="str">
        <f>IF(D35 = "Trazione", IF(ABS(B35) &lt; Materiali!$B$22/1.2,"VERIFICA", " NON VERIFICA"), IF(B35 &lt; 0.7*Materiali!$B$16,"VERIFICA", " NON VERIFICA"))</f>
        <v>VERIFICA</v>
      </c>
      <c r="F35" s="6" t="str">
        <f t="shared" si="3"/>
        <v>ϭ &lt; 0.6fck(t)</v>
      </c>
      <c r="G35" s="30">
        <f>ABS(B35/IF(D35 = "Trazione",  Materiali!$B$22/1.2,  0.7*Materiali!$B$16))</f>
        <v>0.20502896532427878</v>
      </c>
    </row>
    <row r="36" spans="1:7" x14ac:dyDescent="0.25">
      <c r="A36" s="122" t="s">
        <v>236</v>
      </c>
      <c r="B36" s="122"/>
      <c r="C36" s="122"/>
      <c r="D36" s="122"/>
      <c r="E36" s="122"/>
      <c r="F36" s="122"/>
      <c r="G36" s="30"/>
    </row>
    <row r="37" spans="1:7" x14ac:dyDescent="0.25">
      <c r="A37" s="145" t="s">
        <v>229</v>
      </c>
      <c r="B37" s="146"/>
      <c r="C37" s="146"/>
      <c r="D37" s="146"/>
      <c r="E37" s="146"/>
      <c r="F37" s="147"/>
      <c r="G37" s="30"/>
    </row>
    <row r="38" spans="1:7" ht="17.25" x14ac:dyDescent="0.25">
      <c r="A38" s="17" t="s">
        <v>227</v>
      </c>
      <c r="B38" s="9">
        <f>ABS(B26+B19+B10)*'Caratteristiche trave V140'!B37 +'fase 1 '!B25</f>
        <v>1131.2208216848051</v>
      </c>
      <c r="C38" s="11" t="s">
        <v>4</v>
      </c>
      <c r="D38" s="30" t="s">
        <v>96</v>
      </c>
      <c r="E38" s="30" t="str">
        <f>IF(B38&lt;MIN(Materiali!B32:B33),"VERIFICA", " NON VERIFICA")</f>
        <v>VERIFICA</v>
      </c>
      <c r="F38" s="6" t="s">
        <v>115</v>
      </c>
      <c r="G38" s="9">
        <f>B38/MIN(Materiali!B32:B33)</f>
        <v>0.76022904683118619</v>
      </c>
    </row>
    <row r="39" spans="1:7" x14ac:dyDescent="0.25">
      <c r="G39" s="35"/>
    </row>
    <row r="40" spans="1:7" x14ac:dyDescent="0.25">
      <c r="A40" s="51"/>
      <c r="B40" s="35"/>
      <c r="C40" s="33"/>
      <c r="D40" s="39"/>
      <c r="E40" s="39"/>
      <c r="F40" s="44"/>
      <c r="G40" s="35"/>
    </row>
    <row r="41" spans="1:7" x14ac:dyDescent="0.25">
      <c r="A41" s="51"/>
      <c r="B41" s="35"/>
      <c r="C41" s="33"/>
      <c r="D41" s="39"/>
      <c r="E41" s="39"/>
      <c r="F41" s="44"/>
      <c r="G41" s="35"/>
    </row>
    <row r="42" spans="1:7" x14ac:dyDescent="0.25">
      <c r="A42" s="43"/>
      <c r="B42" s="38"/>
      <c r="C42" s="33"/>
      <c r="D42" s="38"/>
      <c r="E42" s="39"/>
      <c r="F42" s="44"/>
    </row>
    <row r="44" spans="1:7" x14ac:dyDescent="0.25">
      <c r="C44" s="27" t="s">
        <v>203</v>
      </c>
      <c r="D44" s="27" t="s">
        <v>210</v>
      </c>
      <c r="E44" s="27" t="s">
        <v>209</v>
      </c>
      <c r="F44" s="27" t="s">
        <v>211</v>
      </c>
    </row>
    <row r="45" spans="1:7" x14ac:dyDescent="0.25">
      <c r="A45" s="27" t="s">
        <v>201</v>
      </c>
      <c r="B45" s="27" t="s">
        <v>202</v>
      </c>
      <c r="C45" s="34" t="s">
        <v>204</v>
      </c>
      <c r="D45" s="34" t="s">
        <v>204</v>
      </c>
      <c r="E45" s="34" t="s">
        <v>204</v>
      </c>
      <c r="F45" s="34" t="s">
        <v>204</v>
      </c>
      <c r="G45" s="34" t="s">
        <v>217</v>
      </c>
    </row>
    <row r="46" spans="1:7" x14ac:dyDescent="0.25">
      <c r="A46" s="27">
        <v>1</v>
      </c>
      <c r="B46" s="27">
        <f>B48+250</f>
        <v>972.6</v>
      </c>
      <c r="C46" s="9">
        <v>0</v>
      </c>
      <c r="D46" s="27">
        <v>0</v>
      </c>
      <c r="E46" s="27">
        <v>0</v>
      </c>
      <c r="F46" s="27">
        <v>0</v>
      </c>
      <c r="G46" s="9">
        <f>SUM(C46:F46)</f>
        <v>0</v>
      </c>
    </row>
    <row r="47" spans="1:7" x14ac:dyDescent="0.25">
      <c r="A47" s="27">
        <v>2</v>
      </c>
      <c r="B47" s="27">
        <f>B48+250</f>
        <v>972.6</v>
      </c>
      <c r="C47" s="9">
        <v>0</v>
      </c>
      <c r="D47" s="9">
        <f>B6</f>
        <v>0.90452327110861386</v>
      </c>
      <c r="E47" s="13">
        <f>B15</f>
        <v>-2.1289441201702717</v>
      </c>
      <c r="F47" s="9">
        <f>B22</f>
        <v>4.152448505467346E-2</v>
      </c>
      <c r="G47" s="9">
        <f t="shared" ref="G47:G53" si="5">SUM(C47:F47)</f>
        <v>-1.1828963640069843</v>
      </c>
    </row>
    <row r="48" spans="1:7" x14ac:dyDescent="0.25">
      <c r="A48" s="27">
        <v>3</v>
      </c>
      <c r="B48" s="27">
        <f>B50</f>
        <v>722.6</v>
      </c>
      <c r="C48" s="9">
        <v>0</v>
      </c>
      <c r="D48" s="9">
        <f>B7</f>
        <v>0.51531360195688669</v>
      </c>
      <c r="E48" s="13">
        <f>B16</f>
        <v>-2.9260703064643456</v>
      </c>
      <c r="F48" s="37">
        <f>B23</f>
        <v>-2.9953722394819013E-2</v>
      </c>
      <c r="G48" s="9">
        <f t="shared" si="5"/>
        <v>-2.4407104269022777</v>
      </c>
    </row>
    <row r="49" spans="1:7" x14ac:dyDescent="0.25">
      <c r="A49" s="27">
        <v>4</v>
      </c>
      <c r="B49" s="27">
        <f>B50</f>
        <v>722.6</v>
      </c>
      <c r="C49" s="9">
        <v>0</v>
      </c>
      <c r="D49" s="9">
        <f>B8</f>
        <v>0.54196262360901715</v>
      </c>
      <c r="E49" s="13">
        <v>0</v>
      </c>
      <c r="F49" s="27">
        <v>0</v>
      </c>
      <c r="G49" s="9">
        <f t="shared" si="5"/>
        <v>0.54196262360901715</v>
      </c>
    </row>
    <row r="50" spans="1:7" x14ac:dyDescent="0.25">
      <c r="A50" s="27">
        <v>5</v>
      </c>
      <c r="B50" s="27">
        <f>'fase 1 '!P30</f>
        <v>722.6</v>
      </c>
      <c r="C50" s="9">
        <f>'fase 1 '!O30</f>
        <v>0</v>
      </c>
      <c r="D50" s="9">
        <f>D49</f>
        <v>0.54196262360901715</v>
      </c>
      <c r="E50" s="13">
        <v>0</v>
      </c>
      <c r="F50" s="27">
        <v>0</v>
      </c>
      <c r="G50" s="9">
        <f t="shared" si="5"/>
        <v>0.54196262360901715</v>
      </c>
    </row>
    <row r="51" spans="1:7" x14ac:dyDescent="0.25">
      <c r="A51" s="27">
        <v>6</v>
      </c>
      <c r="B51" s="27">
        <f>'fase 1 '!P31</f>
        <v>722.6</v>
      </c>
      <c r="C51" s="9">
        <f>'fase 1 '!O31</f>
        <v>11.317342136849042</v>
      </c>
      <c r="D51" s="9">
        <f>D50</f>
        <v>0.54196262360901715</v>
      </c>
      <c r="E51" s="13">
        <f>B17</f>
        <v>4.2842030434855563</v>
      </c>
      <c r="F51" s="36">
        <f>B24</f>
        <v>-3.1502754661054858E-2</v>
      </c>
      <c r="G51" s="9">
        <f t="shared" si="5"/>
        <v>16.112005049282558</v>
      </c>
    </row>
    <row r="52" spans="1:7" x14ac:dyDescent="0.25">
      <c r="A52" s="27">
        <v>7</v>
      </c>
      <c r="B52" s="27">
        <f>'fase 1 '!P32</f>
        <v>-677.4</v>
      </c>
      <c r="C52" s="9">
        <f>'fase 1 '!O32</f>
        <v>8.2368780861689928</v>
      </c>
      <c r="D52" s="9">
        <f>B9</f>
        <v>-1.7503264188460403</v>
      </c>
      <c r="E52" s="13">
        <f>B18</f>
        <v>-0.41055088253669991</v>
      </c>
      <c r="F52" s="9">
        <f>B25</f>
        <v>-0.45248076393791914</v>
      </c>
      <c r="G52" s="9">
        <f t="shared" si="5"/>
        <v>5.6235200208483338</v>
      </c>
    </row>
    <row r="53" spans="1:7" x14ac:dyDescent="0.25">
      <c r="A53" s="27">
        <v>8</v>
      </c>
      <c r="B53" s="27">
        <f>'fase 1 '!P33</f>
        <v>-677.4</v>
      </c>
      <c r="C53" s="9">
        <f>'fase 1 '!O33</f>
        <v>0</v>
      </c>
      <c r="D53" s="9">
        <v>0</v>
      </c>
      <c r="E53" s="27">
        <v>0</v>
      </c>
      <c r="F53" s="27">
        <v>0</v>
      </c>
      <c r="G53" s="9">
        <f t="shared" si="5"/>
        <v>0</v>
      </c>
    </row>
  </sheetData>
  <mergeCells count="10">
    <mergeCell ref="A1:C1"/>
    <mergeCell ref="A2:C2"/>
    <mergeCell ref="A5:C5"/>
    <mergeCell ref="A11:C11"/>
    <mergeCell ref="A37:F37"/>
    <mergeCell ref="A28:F28"/>
    <mergeCell ref="A30:F30"/>
    <mergeCell ref="A32:F32"/>
    <mergeCell ref="A34:F34"/>
    <mergeCell ref="A36:F36"/>
  </mergeCells>
  <phoneticPr fontId="3" type="noConversion"/>
  <conditionalFormatting sqref="E38 E40:E41">
    <cfRule type="containsText" dxfId="146" priority="36" operator="containsText" text="NON ">
      <formula>NOT(ISERROR(SEARCH("NON ",E38)))</formula>
    </cfRule>
    <cfRule type="containsText" dxfId="145" priority="37" operator="containsText" text="VERIFICA">
      <formula>NOT(ISERROR(SEARCH("VERIFICA",E38)))</formula>
    </cfRule>
    <cfRule type="containsText" dxfId="144" priority="38" operator="containsText" text="N">
      <formula>NOT(ISERROR(SEARCH("N",E38)))</formula>
    </cfRule>
    <cfRule type="containsText" dxfId="143" priority="39" operator="containsText" text="NON VERIFICA ">
      <formula>NOT(ISERROR(SEARCH("NON VERIFICA ",E38)))</formula>
    </cfRule>
    <cfRule type="cellIs" dxfId="142" priority="40" operator="equal">
      <formula>"NON VERIFICA"</formula>
    </cfRule>
    <cfRule type="cellIs" dxfId="141" priority="41" operator="equal">
      <formula>"NON VERIFICA"</formula>
    </cfRule>
    <cfRule type="cellIs" dxfId="140" priority="42" operator="equal">
      <formula>"VERIFICA"</formula>
    </cfRule>
  </conditionalFormatting>
  <conditionalFormatting sqref="E42">
    <cfRule type="containsText" dxfId="139" priority="43" operator="containsText" text="NON ">
      <formula>NOT(ISERROR(SEARCH("NON ",E42)))</formula>
    </cfRule>
    <cfRule type="containsText" dxfId="138" priority="44" operator="containsText" text="VERIFICA">
      <formula>NOT(ISERROR(SEARCH("VERIFICA",E42)))</formula>
    </cfRule>
    <cfRule type="containsText" dxfId="137" priority="45" operator="containsText" text="N">
      <formula>NOT(ISERROR(SEARCH("N",E42)))</formula>
    </cfRule>
    <cfRule type="containsText" dxfId="136" priority="46" operator="containsText" text="NON VERIFICA ">
      <formula>NOT(ISERROR(SEARCH("NON VERIFICA ",E42)))</formula>
    </cfRule>
    <cfRule type="cellIs" dxfId="135" priority="47" operator="equal">
      <formula>"NON VERIFICA"</formula>
    </cfRule>
    <cfRule type="cellIs" dxfId="134" priority="48" operator="equal">
      <formula>"NON VERIFICA"</formula>
    </cfRule>
    <cfRule type="cellIs" dxfId="133" priority="49" operator="equal">
      <formula>"VERIFICA"</formula>
    </cfRule>
  </conditionalFormatting>
  <conditionalFormatting sqref="E29">
    <cfRule type="containsText" dxfId="132" priority="22" operator="containsText" text="NON ">
      <formula>NOT(ISERROR(SEARCH("NON ",E29)))</formula>
    </cfRule>
    <cfRule type="containsText" dxfId="131" priority="23" operator="containsText" text="VERIFICA">
      <formula>NOT(ISERROR(SEARCH("VERIFICA",E29)))</formula>
    </cfRule>
    <cfRule type="containsText" dxfId="130" priority="24" operator="containsText" text="N">
      <formula>NOT(ISERROR(SEARCH("N",E29)))</formula>
    </cfRule>
    <cfRule type="containsText" dxfId="129" priority="25" operator="containsText" text="NON VERIFICA ">
      <formula>NOT(ISERROR(SEARCH("NON VERIFICA ",E29)))</formula>
    </cfRule>
    <cfRule type="cellIs" dxfId="128" priority="26" operator="equal">
      <formula>"NON VERIFICA"</formula>
    </cfRule>
    <cfRule type="cellIs" dxfId="127" priority="27" operator="equal">
      <formula>"NON VERIFICA"</formula>
    </cfRule>
    <cfRule type="cellIs" dxfId="126" priority="28" operator="equal">
      <formula>"VERIFICA"</formula>
    </cfRule>
  </conditionalFormatting>
  <conditionalFormatting sqref="E31">
    <cfRule type="containsText" dxfId="125" priority="15" operator="containsText" text="NON ">
      <formula>NOT(ISERROR(SEARCH("NON ",E31)))</formula>
    </cfRule>
    <cfRule type="containsText" dxfId="124" priority="16" operator="containsText" text="VERIFICA">
      <formula>NOT(ISERROR(SEARCH("VERIFICA",E31)))</formula>
    </cfRule>
    <cfRule type="containsText" dxfId="123" priority="17" operator="containsText" text="N">
      <formula>NOT(ISERROR(SEARCH("N",E31)))</formula>
    </cfRule>
    <cfRule type="containsText" dxfId="122" priority="18" operator="containsText" text="NON VERIFICA ">
      <formula>NOT(ISERROR(SEARCH("NON VERIFICA ",E31)))</formula>
    </cfRule>
    <cfRule type="cellIs" dxfId="121" priority="19" operator="equal">
      <formula>"NON VERIFICA"</formula>
    </cfRule>
    <cfRule type="cellIs" dxfId="120" priority="20" operator="equal">
      <formula>"NON VERIFICA"</formula>
    </cfRule>
    <cfRule type="cellIs" dxfId="119" priority="21" operator="equal">
      <formula>"VERIFICA"</formula>
    </cfRule>
  </conditionalFormatting>
  <conditionalFormatting sqref="E33">
    <cfRule type="containsText" dxfId="118" priority="8" operator="containsText" text="NON ">
      <formula>NOT(ISERROR(SEARCH("NON ",E33)))</formula>
    </cfRule>
    <cfRule type="containsText" dxfId="117" priority="9" operator="containsText" text="VERIFICA">
      <formula>NOT(ISERROR(SEARCH("VERIFICA",E33)))</formula>
    </cfRule>
    <cfRule type="containsText" dxfId="116" priority="10" operator="containsText" text="N">
      <formula>NOT(ISERROR(SEARCH("N",E33)))</formula>
    </cfRule>
    <cfRule type="containsText" dxfId="115" priority="11" operator="containsText" text="NON VERIFICA ">
      <formula>NOT(ISERROR(SEARCH("NON VERIFICA ",E33)))</formula>
    </cfRule>
    <cfRule type="cellIs" dxfId="114" priority="12" operator="equal">
      <formula>"NON VERIFICA"</formula>
    </cfRule>
    <cfRule type="cellIs" dxfId="113" priority="13" operator="equal">
      <formula>"NON VERIFICA"</formula>
    </cfRule>
    <cfRule type="cellIs" dxfId="112" priority="14" operator="equal">
      <formula>"VERIFICA"</formula>
    </cfRule>
  </conditionalFormatting>
  <conditionalFormatting sqref="E35">
    <cfRule type="containsText" dxfId="111" priority="1" operator="containsText" text="NON ">
      <formula>NOT(ISERROR(SEARCH("NON ",E35)))</formula>
    </cfRule>
    <cfRule type="containsText" dxfId="110" priority="2" operator="containsText" text="VERIFICA">
      <formula>NOT(ISERROR(SEARCH("VERIFICA",E35)))</formula>
    </cfRule>
    <cfRule type="containsText" dxfId="109" priority="3" operator="containsText" text="N">
      <formula>NOT(ISERROR(SEARCH("N",E35)))</formula>
    </cfRule>
    <cfRule type="containsText" dxfId="108" priority="4" operator="containsText" text="NON VERIFICA ">
      <formula>NOT(ISERROR(SEARCH("NON VERIFICA ",E35)))</formula>
    </cfRule>
    <cfRule type="cellIs" dxfId="107" priority="5" operator="equal">
      <formula>"NON VERIFICA"</formula>
    </cfRule>
    <cfRule type="cellIs" dxfId="106" priority="6" operator="equal">
      <formula>"NON VERIFICA"</formula>
    </cfRule>
    <cfRule type="cellIs" dxfId="105" priority="7" operator="equal">
      <formula>"VERIFICA"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8"/>
  <sheetViews>
    <sheetView topLeftCell="A77" workbookViewId="0">
      <selection activeCell="B53" sqref="B53"/>
    </sheetView>
  </sheetViews>
  <sheetFormatPr defaultRowHeight="15" x14ac:dyDescent="0.25"/>
  <cols>
    <col min="2" max="2" width="16" style="59" customWidth="1"/>
    <col min="3" max="3" width="15.42578125" customWidth="1"/>
    <col min="17" max="17" width="10.7109375" bestFit="1" customWidth="1"/>
  </cols>
  <sheetData>
    <row r="1" spans="1:22" x14ac:dyDescent="0.25">
      <c r="A1" s="144" t="s">
        <v>242</v>
      </c>
      <c r="B1" s="144"/>
      <c r="C1" s="144"/>
      <c r="D1" s="10"/>
      <c r="E1" s="10"/>
      <c r="F1" s="10"/>
      <c r="P1" s="132" t="s">
        <v>398</v>
      </c>
      <c r="Q1" s="132"/>
      <c r="R1" s="132"/>
      <c r="S1" s="16" t="s">
        <v>400</v>
      </c>
    </row>
    <row r="2" spans="1:22" x14ac:dyDescent="0.25">
      <c r="A2" s="22" t="s">
        <v>243</v>
      </c>
      <c r="B2" s="60">
        <f>'Caratteristiche trave V140'!B5/1000^2</f>
        <v>0.69440000000000002</v>
      </c>
      <c r="C2" s="48" t="s">
        <v>2</v>
      </c>
      <c r="D2" t="s">
        <v>277</v>
      </c>
      <c r="P2" s="50" t="s">
        <v>399</v>
      </c>
      <c r="Q2" s="50">
        <v>0.63</v>
      </c>
      <c r="R2" s="50" t="s">
        <v>2</v>
      </c>
      <c r="S2" s="16" t="s">
        <v>402</v>
      </c>
    </row>
    <row r="3" spans="1:22" x14ac:dyDescent="0.25">
      <c r="A3" s="22" t="s">
        <v>244</v>
      </c>
      <c r="B3" s="60">
        <f>9119.7685/1000</f>
        <v>9.1197684999999993</v>
      </c>
      <c r="C3" s="22" t="s">
        <v>2</v>
      </c>
      <c r="D3" t="s">
        <v>278</v>
      </c>
      <c r="P3" s="50" t="s">
        <v>401</v>
      </c>
      <c r="Q3" s="50">
        <v>1.24</v>
      </c>
      <c r="R3" s="50" t="s">
        <v>2</v>
      </c>
      <c r="S3" s="16" t="s">
        <v>404</v>
      </c>
      <c r="T3" s="10"/>
      <c r="U3" s="10"/>
      <c r="V3" s="10"/>
    </row>
    <row r="4" spans="1:22" ht="18" x14ac:dyDescent="0.35">
      <c r="A4" s="52" t="s">
        <v>245</v>
      </c>
      <c r="B4" s="60">
        <f>'Caratteristiche trave V140'!B7/1000</f>
        <v>0.70469999999999999</v>
      </c>
      <c r="C4" s="52" t="s">
        <v>2</v>
      </c>
      <c r="D4" s="10" t="s">
        <v>279</v>
      </c>
      <c r="P4" s="50" t="s">
        <v>403</v>
      </c>
      <c r="Q4" s="50">
        <v>10</v>
      </c>
      <c r="R4" s="50" t="s">
        <v>2</v>
      </c>
      <c r="S4" s="16" t="s">
        <v>406</v>
      </c>
      <c r="T4" s="16"/>
      <c r="U4" s="49"/>
      <c r="V4" s="49"/>
    </row>
    <row r="5" spans="1:22" ht="17.25" x14ac:dyDescent="0.25">
      <c r="A5" s="52" t="s">
        <v>246</v>
      </c>
      <c r="B5" s="60">
        <f>'Caratteristiche trave V140'!B9/1000^4</f>
        <v>0.175763285357</v>
      </c>
      <c r="C5" s="22" t="s">
        <v>247</v>
      </c>
      <c r="D5" s="10" t="s">
        <v>280</v>
      </c>
      <c r="P5" s="50" t="s">
        <v>405</v>
      </c>
      <c r="Q5" s="50">
        <v>0.25</v>
      </c>
      <c r="R5" s="50" t="s">
        <v>2</v>
      </c>
      <c r="S5" s="16" t="s">
        <v>408</v>
      </c>
      <c r="T5" s="16"/>
      <c r="U5" s="49"/>
      <c r="V5" s="49"/>
    </row>
    <row r="6" spans="1:22" ht="18" x14ac:dyDescent="0.35">
      <c r="A6" s="52" t="s">
        <v>1</v>
      </c>
      <c r="B6" s="60">
        <f>'Caratteristiche trave V140'!B2</f>
        <v>25</v>
      </c>
      <c r="C6" s="22" t="s">
        <v>2</v>
      </c>
      <c r="D6" s="10" t="s">
        <v>90</v>
      </c>
      <c r="P6" s="50" t="s">
        <v>407</v>
      </c>
      <c r="Q6" s="50">
        <v>0.22</v>
      </c>
      <c r="R6" s="50" t="s">
        <v>2</v>
      </c>
      <c r="S6" s="16" t="s">
        <v>410</v>
      </c>
      <c r="T6" s="16"/>
      <c r="U6" s="49"/>
      <c r="V6" s="49"/>
    </row>
    <row r="7" spans="1:22" ht="18" x14ac:dyDescent="0.35">
      <c r="A7" s="144" t="s">
        <v>248</v>
      </c>
      <c r="B7" s="144"/>
      <c r="C7" s="144"/>
      <c r="D7" s="10"/>
      <c r="E7" s="10"/>
      <c r="F7" s="10"/>
      <c r="P7" s="50" t="s">
        <v>409</v>
      </c>
      <c r="Q7" s="9">
        <f>(2.3+0.8+1.15)*0.025</f>
        <v>0.10625000000000001</v>
      </c>
      <c r="R7" s="50" t="s">
        <v>2</v>
      </c>
      <c r="S7" s="49"/>
      <c r="T7" s="16"/>
      <c r="U7" s="49"/>
      <c r="V7" s="49"/>
    </row>
    <row r="8" spans="1:22" ht="17.25" x14ac:dyDescent="0.25">
      <c r="A8" s="22" t="s">
        <v>249</v>
      </c>
      <c r="B8" s="60">
        <f>Materiali!B4</f>
        <v>45.65</v>
      </c>
      <c r="C8" s="22" t="s">
        <v>4</v>
      </c>
      <c r="D8" t="s">
        <v>281</v>
      </c>
      <c r="P8" s="132" t="s">
        <v>393</v>
      </c>
      <c r="Q8" s="132"/>
      <c r="R8" s="132"/>
      <c r="S8" s="49"/>
      <c r="T8" s="16"/>
      <c r="U8" s="49"/>
      <c r="V8" s="49"/>
    </row>
    <row r="9" spans="1:22" ht="17.25" x14ac:dyDescent="0.25">
      <c r="A9" s="22" t="s">
        <v>250</v>
      </c>
      <c r="B9" s="60">
        <f>Materiali!B3</f>
        <v>55</v>
      </c>
      <c r="C9" s="22" t="s">
        <v>4</v>
      </c>
      <c r="D9" t="s">
        <v>282</v>
      </c>
      <c r="P9" s="132" t="s">
        <v>394</v>
      </c>
      <c r="Q9" s="132"/>
      <c r="R9" s="132"/>
      <c r="S9" t="s">
        <v>281</v>
      </c>
      <c r="T9" s="16"/>
      <c r="U9" s="49"/>
      <c r="V9" s="49"/>
    </row>
    <row r="10" spans="1:22" ht="17.25" x14ac:dyDescent="0.25">
      <c r="A10" s="144" t="s">
        <v>251</v>
      </c>
      <c r="B10" s="144"/>
      <c r="C10" s="144"/>
      <c r="D10" s="10"/>
      <c r="E10" s="10"/>
      <c r="F10" s="10"/>
      <c r="P10" s="22" t="s">
        <v>249</v>
      </c>
      <c r="Q10" s="22">
        <f>Materiali!K4</f>
        <v>37.35</v>
      </c>
      <c r="R10" s="22" t="s">
        <v>4</v>
      </c>
      <c r="S10" t="s">
        <v>282</v>
      </c>
      <c r="T10" s="49"/>
      <c r="U10" s="49"/>
      <c r="V10" s="49"/>
    </row>
    <row r="11" spans="1:22" ht="17.25" x14ac:dyDescent="0.25">
      <c r="A11" s="22" t="s">
        <v>243</v>
      </c>
      <c r="B11" s="60">
        <f>B2</f>
        <v>0.69440000000000002</v>
      </c>
      <c r="C11" s="22" t="s">
        <v>252</v>
      </c>
      <c r="D11" t="s">
        <v>283</v>
      </c>
      <c r="P11" s="22" t="s">
        <v>250</v>
      </c>
      <c r="Q11" s="22">
        <f>Materiali!K3</f>
        <v>45</v>
      </c>
      <c r="R11" s="22" t="s">
        <v>4</v>
      </c>
      <c r="S11" t="s">
        <v>397</v>
      </c>
      <c r="T11" s="49"/>
      <c r="U11" s="49"/>
      <c r="V11" s="49"/>
    </row>
    <row r="12" spans="1:22" x14ac:dyDescent="0.25">
      <c r="A12" s="22" t="s">
        <v>253</v>
      </c>
      <c r="B12" s="60">
        <f>B3</f>
        <v>9.1197684999999993</v>
      </c>
      <c r="C12" s="22" t="s">
        <v>2</v>
      </c>
      <c r="D12" t="s">
        <v>278</v>
      </c>
      <c r="P12" s="22" t="s">
        <v>395</v>
      </c>
      <c r="Q12" s="22" t="s">
        <v>396</v>
      </c>
      <c r="R12" s="22" t="s">
        <v>258</v>
      </c>
    </row>
    <row r="13" spans="1:22" ht="18" x14ac:dyDescent="0.35">
      <c r="A13" s="22" t="s">
        <v>254</v>
      </c>
      <c r="B13" s="60">
        <f>B11*2/B12*1000</f>
        <v>152.28456731111103</v>
      </c>
      <c r="C13" s="22" t="s">
        <v>5</v>
      </c>
      <c r="D13" t="s">
        <v>304</v>
      </c>
    </row>
    <row r="14" spans="1:22" x14ac:dyDescent="0.25">
      <c r="A14" s="22" t="s">
        <v>255</v>
      </c>
      <c r="B14" s="60">
        <v>80</v>
      </c>
      <c r="C14" s="22" t="s">
        <v>256</v>
      </c>
      <c r="D14" t="s">
        <v>285</v>
      </c>
    </row>
    <row r="15" spans="1:22" ht="18" x14ac:dyDescent="0.35">
      <c r="A15" s="29" t="s">
        <v>257</v>
      </c>
      <c r="B15" s="60">
        <f>1+(1-B14/100)/(0.1*(B13)^(1/3))</f>
        <v>1.3745226012377225</v>
      </c>
      <c r="C15" s="22" t="s">
        <v>258</v>
      </c>
      <c r="D15" t="s">
        <v>286</v>
      </c>
    </row>
    <row r="16" spans="1:22" ht="18" x14ac:dyDescent="0.35">
      <c r="A16" s="29" t="s">
        <v>259</v>
      </c>
      <c r="B16" s="60">
        <f>16.8/SQRT(35+8)</f>
        <v>2.5619759815877585</v>
      </c>
      <c r="C16" s="22" t="s">
        <v>258</v>
      </c>
    </row>
    <row r="17" spans="1:21" ht="18" x14ac:dyDescent="0.35">
      <c r="A17" s="22" t="s">
        <v>260</v>
      </c>
      <c r="B17" s="60">
        <f>1/(0.1+7^0.2)</f>
        <v>0.63460910768913126</v>
      </c>
      <c r="C17" s="22" t="s">
        <v>258</v>
      </c>
      <c r="H17" s="10"/>
      <c r="I17" s="10"/>
      <c r="J17" s="10"/>
    </row>
    <row r="18" spans="1:21" x14ac:dyDescent="0.25">
      <c r="A18" s="22" t="s">
        <v>261</v>
      </c>
      <c r="B18" s="60">
        <f>50*365-7</f>
        <v>18243</v>
      </c>
      <c r="C18" s="22" t="s">
        <v>29</v>
      </c>
    </row>
    <row r="19" spans="1:21" ht="18" x14ac:dyDescent="0.35">
      <c r="A19" s="29" t="s">
        <v>262</v>
      </c>
      <c r="B19" s="60">
        <f>MIN(1.5*(1+(0.012*B14)^18)*B13+250,1500)</f>
        <v>587.98113057894443</v>
      </c>
      <c r="C19" s="22" t="s">
        <v>258</v>
      </c>
      <c r="P19" s="134" t="s">
        <v>392</v>
      </c>
      <c r="Q19" s="134"/>
      <c r="R19" s="134"/>
      <c r="S19" s="134"/>
      <c r="T19" s="134"/>
      <c r="U19" s="134"/>
    </row>
    <row r="20" spans="1:21" ht="17.25" x14ac:dyDescent="0.25">
      <c r="A20" s="22" t="s">
        <v>263</v>
      </c>
      <c r="B20" s="60">
        <f>(B18/(B19+B18))^0.3</f>
        <v>0.99052853918897155</v>
      </c>
      <c r="C20" s="22" t="s">
        <v>258</v>
      </c>
      <c r="P20" s="22" t="s">
        <v>243</v>
      </c>
      <c r="Q20" s="22">
        <f>Q4*Q5</f>
        <v>2.5</v>
      </c>
      <c r="R20" s="22" t="s">
        <v>252</v>
      </c>
      <c r="S20" t="s">
        <v>283</v>
      </c>
    </row>
    <row r="21" spans="1:21" ht="18" x14ac:dyDescent="0.35">
      <c r="A21" s="22" t="s">
        <v>264</v>
      </c>
      <c r="B21" s="60">
        <f>B15*B16*B17</f>
        <v>2.2347720955959884</v>
      </c>
      <c r="C21" s="22" t="s">
        <v>258</v>
      </c>
      <c r="P21" s="22" t="s">
        <v>253</v>
      </c>
      <c r="Q21" s="22">
        <f>2*(Q4+Q5)</f>
        <v>20.5</v>
      </c>
      <c r="R21" s="22" t="s">
        <v>2</v>
      </c>
      <c r="S21" t="s">
        <v>278</v>
      </c>
    </row>
    <row r="22" spans="1:21" ht="18" x14ac:dyDescent="0.35">
      <c r="A22" s="22" t="s">
        <v>265</v>
      </c>
      <c r="B22" s="60">
        <f>B21*B20</f>
        <v>2.2136055392709713</v>
      </c>
      <c r="C22" s="22" t="s">
        <v>258</v>
      </c>
      <c r="D22" t="s">
        <v>305</v>
      </c>
      <c r="P22" s="22" t="s">
        <v>254</v>
      </c>
      <c r="Q22" s="22">
        <f>Q20*2/Q21*1000</f>
        <v>243.90243902439025</v>
      </c>
      <c r="R22" s="22" t="s">
        <v>5</v>
      </c>
      <c r="S22" t="s">
        <v>284</v>
      </c>
    </row>
    <row r="23" spans="1:21" ht="18" x14ac:dyDescent="0.35">
      <c r="A23" s="29" t="s">
        <v>266</v>
      </c>
      <c r="B23" s="60">
        <v>0.55000000000000004</v>
      </c>
      <c r="C23" s="22" t="s">
        <v>258</v>
      </c>
      <c r="D23" t="s">
        <v>306</v>
      </c>
      <c r="P23" s="22" t="s">
        <v>255</v>
      </c>
      <c r="Q23" s="22">
        <v>80</v>
      </c>
      <c r="R23" s="22" t="s">
        <v>256</v>
      </c>
      <c r="S23" t="s">
        <v>285</v>
      </c>
    </row>
    <row r="24" spans="1:21" ht="18" x14ac:dyDescent="0.35">
      <c r="A24" s="29" t="s">
        <v>267</v>
      </c>
      <c r="B24" s="60">
        <v>1.1000000000000001</v>
      </c>
      <c r="C24" s="22" t="s">
        <v>258</v>
      </c>
      <c r="D24" t="s">
        <v>306</v>
      </c>
      <c r="P24" s="29" t="s">
        <v>257</v>
      </c>
      <c r="Q24" s="22">
        <f>1+(1-Q23/100)/(0.1*(Q22)^(1/3))</f>
        <v>1.320104132776631</v>
      </c>
      <c r="R24" s="22" t="s">
        <v>258</v>
      </c>
      <c r="S24" t="s">
        <v>286</v>
      </c>
    </row>
    <row r="25" spans="1:21" ht="18.75" x14ac:dyDescent="0.35">
      <c r="A25" s="29" t="s">
        <v>268</v>
      </c>
      <c r="B25" s="60">
        <f>22000*(($B$8+8)/10)^0.3</f>
        <v>36416.113897745636</v>
      </c>
      <c r="C25" s="22" t="s">
        <v>4</v>
      </c>
      <c r="D25" t="s">
        <v>287</v>
      </c>
      <c r="P25" s="29" t="s">
        <v>259</v>
      </c>
      <c r="Q25" s="22">
        <f>16.8/SQRT(35+8)</f>
        <v>2.5619759815877585</v>
      </c>
      <c r="R25" s="22" t="s">
        <v>258</v>
      </c>
    </row>
    <row r="26" spans="1:21" ht="18.75" x14ac:dyDescent="0.35">
      <c r="A26" s="29" t="s">
        <v>269</v>
      </c>
      <c r="B26" s="60">
        <f>B25/(1+B23+B15)</f>
        <v>12451.985798411521</v>
      </c>
      <c r="C26" s="22" t="s">
        <v>4</v>
      </c>
      <c r="D26" t="s">
        <v>288</v>
      </c>
      <c r="P26" s="22" t="s">
        <v>260</v>
      </c>
      <c r="Q26" s="22">
        <f>1/(0.1+7^0.2)</f>
        <v>0.63460910768913126</v>
      </c>
      <c r="R26" s="22" t="s">
        <v>258</v>
      </c>
    </row>
    <row r="27" spans="1:21" ht="18.75" x14ac:dyDescent="0.35">
      <c r="A27" s="29" t="s">
        <v>270</v>
      </c>
      <c r="B27" s="60">
        <f>B25/(1+B24*B22)</f>
        <v>10601.593410152416</v>
      </c>
      <c r="C27" s="22" t="s">
        <v>4</v>
      </c>
      <c r="D27" t="s">
        <v>289</v>
      </c>
      <c r="P27" s="22" t="s">
        <v>261</v>
      </c>
      <c r="Q27" s="22">
        <f>50*365-7</f>
        <v>18243</v>
      </c>
      <c r="R27" s="22" t="s">
        <v>29</v>
      </c>
    </row>
    <row r="28" spans="1:21" ht="18.75" x14ac:dyDescent="0.35">
      <c r="A28" s="29" t="s">
        <v>271</v>
      </c>
      <c r="B28" s="60">
        <f>B25/2</f>
        <v>18208.056948872818</v>
      </c>
      <c r="C28" s="22" t="s">
        <v>272</v>
      </c>
      <c r="D28" t="s">
        <v>290</v>
      </c>
      <c r="P28" s="29" t="s">
        <v>262</v>
      </c>
      <c r="Q28" s="22">
        <f>MIN(1.5*(1+(0.012*Q23)^18)*Q22+250,1500)</f>
        <v>791.31829342900778</v>
      </c>
      <c r="R28" s="22" t="s">
        <v>258</v>
      </c>
    </row>
    <row r="29" spans="1:21" ht="18" x14ac:dyDescent="0.35">
      <c r="A29" s="29" t="s">
        <v>273</v>
      </c>
      <c r="B29" s="60">
        <f>210000/B25</f>
        <v>5.7666779214736641</v>
      </c>
      <c r="C29" s="22" t="s">
        <v>258</v>
      </c>
      <c r="P29" s="22" t="s">
        <v>263</v>
      </c>
      <c r="Q29" s="22">
        <f>(Q27/(Q28+Q27))^0.3</f>
        <v>0.98734215371780354</v>
      </c>
      <c r="R29" s="22" t="s">
        <v>258</v>
      </c>
    </row>
    <row r="30" spans="1:21" ht="18" x14ac:dyDescent="0.35">
      <c r="A30" s="29" t="s">
        <v>274</v>
      </c>
      <c r="B30" s="60">
        <f>210000/B26</f>
        <v>16.864779915408299</v>
      </c>
      <c r="C30" s="22" t="s">
        <v>258</v>
      </c>
      <c r="H30" s="134"/>
      <c r="I30" s="134"/>
      <c r="P30" s="22" t="s">
        <v>264</v>
      </c>
      <c r="Q30" s="22">
        <f>Q24*Q25*Q26</f>
        <v>2.1462956495248879</v>
      </c>
      <c r="R30" s="22" t="s">
        <v>258</v>
      </c>
    </row>
    <row r="31" spans="1:21" ht="18" x14ac:dyDescent="0.35">
      <c r="A31" s="29" t="s">
        <v>275</v>
      </c>
      <c r="B31" s="60">
        <f>210000/B27</f>
        <v>19.808343130655949</v>
      </c>
      <c r="C31" s="22" t="s">
        <v>258</v>
      </c>
      <c r="H31" t="s">
        <v>249</v>
      </c>
      <c r="I31" s="55" t="s">
        <v>295</v>
      </c>
      <c r="P31" s="22" t="s">
        <v>265</v>
      </c>
      <c r="Q31" s="22">
        <f>Q30*Q29</f>
        <v>2.1191281691170549</v>
      </c>
      <c r="R31" s="22" t="s">
        <v>258</v>
      </c>
    </row>
    <row r="32" spans="1:21" ht="18" x14ac:dyDescent="0.35">
      <c r="A32" s="29" t="s">
        <v>276</v>
      </c>
      <c r="B32" s="60">
        <f>210000/B28</f>
        <v>11.533355842947328</v>
      </c>
      <c r="C32" s="22" t="s">
        <v>258</v>
      </c>
      <c r="H32">
        <v>20</v>
      </c>
      <c r="I32">
        <v>0.3</v>
      </c>
      <c r="P32" s="29" t="s">
        <v>266</v>
      </c>
      <c r="Q32" s="22">
        <v>0.55000000000000004</v>
      </c>
      <c r="R32" s="22" t="s">
        <v>258</v>
      </c>
    </row>
    <row r="33" spans="1:21" ht="18" x14ac:dyDescent="0.35">
      <c r="A33" s="144" t="s">
        <v>291</v>
      </c>
      <c r="B33" s="144"/>
      <c r="C33" s="144"/>
      <c r="D33" s="49"/>
      <c r="H33">
        <v>40</v>
      </c>
      <c r="I33">
        <v>0.24</v>
      </c>
      <c r="P33" s="29" t="s">
        <v>267</v>
      </c>
      <c r="Q33" s="22">
        <v>1.1000000000000001</v>
      </c>
      <c r="R33" s="22" t="s">
        <v>258</v>
      </c>
    </row>
    <row r="34" spans="1:21" ht="18.75" x14ac:dyDescent="0.35">
      <c r="A34" s="53" t="s">
        <v>292</v>
      </c>
      <c r="B34" s="60">
        <f>-2.5*($B$8-10)*10^-6</f>
        <v>-8.9124999999999998E-5</v>
      </c>
      <c r="C34" s="22" t="s">
        <v>258</v>
      </c>
      <c r="D34" t="s">
        <v>293</v>
      </c>
      <c r="H34">
        <v>60</v>
      </c>
      <c r="I34">
        <v>0.19</v>
      </c>
      <c r="P34" s="29" t="s">
        <v>268</v>
      </c>
      <c r="Q34" s="22">
        <f>22000*((Q10+8)/10)^0.3</f>
        <v>34625.485235412678</v>
      </c>
      <c r="R34" s="22" t="s">
        <v>4</v>
      </c>
      <c r="S34" t="s">
        <v>287</v>
      </c>
    </row>
    <row r="35" spans="1:21" ht="18.75" x14ac:dyDescent="0.35">
      <c r="A35" s="22" t="s">
        <v>294</v>
      </c>
      <c r="B35" s="60">
        <f>B18/(B18+0.04*B13^(3/2))</f>
        <v>0.99589643091175872</v>
      </c>
      <c r="C35" s="22" t="s">
        <v>258</v>
      </c>
      <c r="H35">
        <v>80</v>
      </c>
      <c r="I35">
        <v>0.15</v>
      </c>
      <c r="P35" s="29" t="s">
        <v>269</v>
      </c>
      <c r="Q35" s="22">
        <f>Q34/(1+Q32+Q24)</f>
        <v>12064.191274452078</v>
      </c>
      <c r="R35" s="22" t="s">
        <v>4</v>
      </c>
      <c r="S35" t="s">
        <v>288</v>
      </c>
    </row>
    <row r="36" spans="1:21" ht="18.75" x14ac:dyDescent="0.35">
      <c r="A36" s="53" t="s">
        <v>295</v>
      </c>
      <c r="B36" s="60">
        <f>-40/$B$8*0.24</f>
        <v>-0.21029572836801752</v>
      </c>
      <c r="C36" s="22" t="s">
        <v>258</v>
      </c>
      <c r="P36" s="29" t="s">
        <v>270</v>
      </c>
      <c r="Q36" s="22">
        <f>Q34/(1+Q33*Q31)</f>
        <v>10394.794114104519</v>
      </c>
      <c r="R36" s="22" t="s">
        <v>4</v>
      </c>
      <c r="S36" t="s">
        <v>289</v>
      </c>
    </row>
    <row r="37" spans="1:21" ht="18.75" x14ac:dyDescent="0.35">
      <c r="A37" s="53" t="s">
        <v>296</v>
      </c>
      <c r="B37" s="60">
        <f>3*10^-6*B13^2 - 0.0023*B13 + 1.2</f>
        <v>0.91931726350784149</v>
      </c>
      <c r="C37" s="22" t="s">
        <v>258</v>
      </c>
      <c r="H37" t="s">
        <v>302</v>
      </c>
      <c r="I37" t="s">
        <v>303</v>
      </c>
      <c r="P37" s="29" t="s">
        <v>271</v>
      </c>
      <c r="Q37" s="22">
        <f>Q34/2</f>
        <v>17312.742617706339</v>
      </c>
      <c r="R37" s="22" t="s">
        <v>272</v>
      </c>
      <c r="S37" t="s">
        <v>290</v>
      </c>
    </row>
    <row r="38" spans="1:21" ht="18" x14ac:dyDescent="0.35">
      <c r="A38" s="53" t="s">
        <v>295</v>
      </c>
      <c r="B38" s="60">
        <f>-0.3795*EXP(-(0.012*B8))</f>
        <v>-0.21943467868979916</v>
      </c>
      <c r="C38" s="22" t="s">
        <v>258</v>
      </c>
      <c r="H38">
        <v>100</v>
      </c>
      <c r="I38">
        <v>1</v>
      </c>
      <c r="P38" s="29" t="s">
        <v>273</v>
      </c>
      <c r="Q38" s="22">
        <f>210000/Q34</f>
        <v>6.0648969558764696</v>
      </c>
      <c r="R38" s="22" t="s">
        <v>258</v>
      </c>
      <c r="S38" t="s">
        <v>411</v>
      </c>
    </row>
    <row r="39" spans="1:21" ht="18" x14ac:dyDescent="0.35">
      <c r="A39" s="53" t="s">
        <v>297</v>
      </c>
      <c r="B39" s="54">
        <f>B38*B37/1000</f>
        <v>-2.0173008833182862E-4</v>
      </c>
      <c r="C39" s="22" t="s">
        <v>258</v>
      </c>
      <c r="H39">
        <v>200</v>
      </c>
      <c r="I39">
        <v>0.85</v>
      </c>
      <c r="P39" s="29" t="s">
        <v>274</v>
      </c>
      <c r="Q39" s="22">
        <f>210000/Q35</f>
        <v>17.406885817925463</v>
      </c>
      <c r="R39" s="22" t="s">
        <v>258</v>
      </c>
      <c r="S39" t="s">
        <v>412</v>
      </c>
    </row>
    <row r="40" spans="1:21" ht="18" x14ac:dyDescent="0.35">
      <c r="A40" s="53" t="s">
        <v>298</v>
      </c>
      <c r="B40" s="60">
        <f>B35*B39</f>
        <v>-2.0090227497718196E-4</v>
      </c>
      <c r="C40" s="22" t="s">
        <v>258</v>
      </c>
      <c r="D40" t="s">
        <v>299</v>
      </c>
      <c r="H40">
        <v>300</v>
      </c>
      <c r="I40">
        <v>0.75</v>
      </c>
      <c r="P40" s="29" t="s">
        <v>275</v>
      </c>
      <c r="Q40" s="22">
        <f>210000/Q36</f>
        <v>20.202420336065586</v>
      </c>
      <c r="R40" s="22" t="s">
        <v>258</v>
      </c>
      <c r="S40" t="s">
        <v>413</v>
      </c>
    </row>
    <row r="41" spans="1:21" ht="18" x14ac:dyDescent="0.35">
      <c r="A41" s="53" t="s">
        <v>300</v>
      </c>
      <c r="B41" s="60">
        <f>B40+B34</f>
        <v>-2.9002727497718197E-4</v>
      </c>
      <c r="C41" s="22" t="s">
        <v>258</v>
      </c>
      <c r="D41" t="s">
        <v>301</v>
      </c>
      <c r="H41">
        <v>500</v>
      </c>
      <c r="I41">
        <v>0.7</v>
      </c>
      <c r="P41" s="29" t="s">
        <v>276</v>
      </c>
      <c r="Q41" s="22">
        <f>210000/Q37</f>
        <v>12.129793911752939</v>
      </c>
      <c r="R41" s="22" t="s">
        <v>258</v>
      </c>
      <c r="S41" t="s">
        <v>414</v>
      </c>
    </row>
    <row r="42" spans="1:21" x14ac:dyDescent="0.25">
      <c r="P42" s="132" t="s">
        <v>291</v>
      </c>
      <c r="Q42" s="132"/>
      <c r="R42" s="132"/>
      <c r="S42" s="10"/>
      <c r="T42" s="10"/>
      <c r="U42" s="10"/>
    </row>
    <row r="43" spans="1:21" ht="18" x14ac:dyDescent="0.35">
      <c r="A43" s="10"/>
      <c r="C43" s="10"/>
      <c r="P43" s="53" t="s">
        <v>292</v>
      </c>
      <c r="Q43" s="22">
        <f>-2.5*(Q10-10)*10^-6</f>
        <v>-6.8374999999999995E-5</v>
      </c>
      <c r="R43" s="22" t="s">
        <v>258</v>
      </c>
      <c r="S43" t="s">
        <v>293</v>
      </c>
    </row>
    <row r="44" spans="1:21" ht="18" x14ac:dyDescent="0.35">
      <c r="P44" s="22" t="s">
        <v>294</v>
      </c>
      <c r="Q44" s="22">
        <f>Q27/(Q27+0.04*Q22^(3/2))</f>
        <v>0.99171722612303714</v>
      </c>
      <c r="R44" s="22" t="s">
        <v>258</v>
      </c>
    </row>
    <row r="45" spans="1:21" ht="18" x14ac:dyDescent="0.35">
      <c r="P45" s="53" t="s">
        <v>295</v>
      </c>
      <c r="Q45" s="22">
        <f>-40/Q10*0.24</f>
        <v>-0.25702811244979917</v>
      </c>
      <c r="R45" s="22" t="s">
        <v>258</v>
      </c>
    </row>
    <row r="46" spans="1:21" ht="18" x14ac:dyDescent="0.35">
      <c r="A46" s="144" t="s">
        <v>307</v>
      </c>
      <c r="B46" s="144"/>
      <c r="C46" s="144"/>
      <c r="D46" s="10"/>
      <c r="E46" s="10"/>
      <c r="P46" s="53" t="s">
        <v>296</v>
      </c>
      <c r="Q46" s="22">
        <f>3*10^-6*Q22^2 - 0.0023*Q22 + 1.2</f>
        <v>0.81748958953004169</v>
      </c>
      <c r="R46" s="22" t="s">
        <v>258</v>
      </c>
    </row>
    <row r="47" spans="1:21" ht="18" x14ac:dyDescent="0.35">
      <c r="A47" s="144" t="s">
        <v>308</v>
      </c>
      <c r="B47" s="144"/>
      <c r="C47" s="144"/>
      <c r="D47" s="10"/>
      <c r="P47" s="53" t="s">
        <v>295</v>
      </c>
      <c r="Q47" s="22">
        <f>-0.3795*EXP(-(0.012*35))</f>
        <v>-0.24934926811981403</v>
      </c>
      <c r="R47" s="22" t="s">
        <v>258</v>
      </c>
    </row>
    <row r="48" spans="1:21" ht="18" x14ac:dyDescent="0.35">
      <c r="A48" s="29" t="s">
        <v>159</v>
      </c>
      <c r="B48" s="60">
        <f>Materiali!B25</f>
        <v>15.2</v>
      </c>
      <c r="C48" s="22" t="s">
        <v>5</v>
      </c>
      <c r="D48" t="s">
        <v>309</v>
      </c>
      <c r="P48" s="53" t="s">
        <v>297</v>
      </c>
      <c r="Q48" s="54">
        <f>Q47*Q46/1000</f>
        <v>-2.038404308448831E-4</v>
      </c>
      <c r="R48" s="22" t="s">
        <v>258</v>
      </c>
    </row>
    <row r="49" spans="1:19" ht="18.75" x14ac:dyDescent="0.35">
      <c r="A49" s="22" t="s">
        <v>310</v>
      </c>
      <c r="B49" s="75">
        <f>Materiali!B26</f>
        <v>139</v>
      </c>
      <c r="C49" s="22" t="s">
        <v>7</v>
      </c>
      <c r="D49" t="s">
        <v>311</v>
      </c>
      <c r="P49" s="53" t="s">
        <v>298</v>
      </c>
      <c r="Q49" s="22">
        <f>Q44*Q48</f>
        <v>-2.0215206664921226E-4</v>
      </c>
      <c r="R49" s="22" t="s">
        <v>258</v>
      </c>
      <c r="S49" t="s">
        <v>299</v>
      </c>
    </row>
    <row r="50" spans="1:19" ht="18.75" x14ac:dyDescent="0.35">
      <c r="A50" s="22" t="s">
        <v>52</v>
      </c>
      <c r="B50" s="60">
        <f>Materiali!B28</f>
        <v>1860</v>
      </c>
      <c r="C50" s="22" t="s">
        <v>4</v>
      </c>
      <c r="D50" t="s">
        <v>312</v>
      </c>
      <c r="P50" s="53" t="s">
        <v>300</v>
      </c>
      <c r="Q50" s="22">
        <f>Q49+Q43</f>
        <v>-2.7052706664921225E-4</v>
      </c>
      <c r="R50" s="22" t="s">
        <v>258</v>
      </c>
      <c r="S50" t="s">
        <v>301</v>
      </c>
    </row>
    <row r="51" spans="1:19" ht="18.75" x14ac:dyDescent="0.35">
      <c r="A51" s="22" t="s">
        <v>313</v>
      </c>
      <c r="B51" s="75">
        <f>Materiali!B29</f>
        <v>1670</v>
      </c>
      <c r="C51" s="22" t="s">
        <v>4</v>
      </c>
      <c r="D51" t="s">
        <v>314</v>
      </c>
    </row>
    <row r="52" spans="1:19" ht="18.75" x14ac:dyDescent="0.35">
      <c r="A52" s="22" t="s">
        <v>54</v>
      </c>
      <c r="B52" s="60">
        <f>Materiali!B27</f>
        <v>195000</v>
      </c>
      <c r="C52" s="22" t="s">
        <v>4</v>
      </c>
      <c r="D52" t="s">
        <v>315</v>
      </c>
    </row>
    <row r="53" spans="1:19" ht="18" x14ac:dyDescent="0.35">
      <c r="A53" s="22" t="s">
        <v>316</v>
      </c>
      <c r="B53" s="60">
        <f>'Caratteristiche trave V140'!B13</f>
        <v>60</v>
      </c>
      <c r="C53" s="22" t="s">
        <v>258</v>
      </c>
      <c r="D53" t="s">
        <v>317</v>
      </c>
    </row>
    <row r="54" spans="1:19" x14ac:dyDescent="0.25">
      <c r="A54" s="22" t="s">
        <v>86</v>
      </c>
      <c r="B54" s="60">
        <f>'Caratteristiche trave V140'!B25/1000</f>
        <v>0.32739999999999997</v>
      </c>
      <c r="C54" s="22" t="s">
        <v>2</v>
      </c>
      <c r="D54" t="s">
        <v>318</v>
      </c>
    </row>
    <row r="55" spans="1:19" x14ac:dyDescent="0.25">
      <c r="A55" s="22" t="s">
        <v>319</v>
      </c>
      <c r="B55" s="60" t="s">
        <v>320</v>
      </c>
      <c r="C55" s="22" t="s">
        <v>258</v>
      </c>
    </row>
    <row r="56" spans="1:19" ht="18" x14ac:dyDescent="0.35">
      <c r="A56" s="29" t="s">
        <v>321</v>
      </c>
      <c r="B56" s="60">
        <v>2.5</v>
      </c>
      <c r="C56" s="22" t="s">
        <v>258</v>
      </c>
      <c r="D56" t="s">
        <v>322</v>
      </c>
    </row>
    <row r="57" spans="1:19" ht="18" x14ac:dyDescent="0.35">
      <c r="A57" s="29" t="s">
        <v>323</v>
      </c>
      <c r="B57" s="23">
        <f>B58/B50</f>
        <v>0.64464557386348986</v>
      </c>
      <c r="C57" s="22" t="s">
        <v>324</v>
      </c>
    </row>
    <row r="58" spans="1:19" ht="18.75" x14ac:dyDescent="0.35">
      <c r="A58" s="22" t="s">
        <v>325</v>
      </c>
      <c r="B58" s="9">
        <f>'fase 0 '!B6</f>
        <v>1199.0407673860911</v>
      </c>
      <c r="C58" s="22" t="s">
        <v>4</v>
      </c>
      <c r="D58" t="s">
        <v>326</v>
      </c>
    </row>
    <row r="59" spans="1:19" ht="18.75" x14ac:dyDescent="0.35">
      <c r="A59" s="29" t="s">
        <v>327</v>
      </c>
      <c r="B59" s="9">
        <f>0.66*B56*EXP(9.1*B57)*(B60/1000)^(0.75*(1-B57))*10^(-5)*B58</f>
        <v>36.587003128518134</v>
      </c>
      <c r="C59" s="22" t="s">
        <v>4</v>
      </c>
      <c r="D59" t="s">
        <v>328</v>
      </c>
    </row>
    <row r="60" spans="1:19" x14ac:dyDescent="0.25">
      <c r="A60" s="29" t="s">
        <v>28</v>
      </c>
      <c r="B60" s="60">
        <v>500000</v>
      </c>
      <c r="C60" s="22" t="s">
        <v>329</v>
      </c>
      <c r="D60" t="s">
        <v>330</v>
      </c>
    </row>
    <row r="61" spans="1:19" x14ac:dyDescent="0.25">
      <c r="A61" s="119" t="s">
        <v>331</v>
      </c>
      <c r="B61" s="119"/>
      <c r="C61" s="119"/>
      <c r="D61" s="10"/>
      <c r="E61" s="10"/>
    </row>
    <row r="62" spans="1:19" ht="17.25" x14ac:dyDescent="0.25">
      <c r="A62" s="29" t="s">
        <v>246</v>
      </c>
      <c r="B62" s="9">
        <f>'Caratteristiche trave V140'!B20/1000^4</f>
        <v>0.187020932394</v>
      </c>
      <c r="C62" s="22" t="s">
        <v>247</v>
      </c>
    </row>
    <row r="63" spans="1:19" ht="17.25" x14ac:dyDescent="0.25">
      <c r="A63" s="29" t="s">
        <v>243</v>
      </c>
      <c r="B63" s="13">
        <f>'Caratteristiche trave V140'!B17/1000^2</f>
        <v>0.74443999999999999</v>
      </c>
      <c r="C63" s="22" t="s">
        <v>252</v>
      </c>
    </row>
    <row r="64" spans="1:19" x14ac:dyDescent="0.25">
      <c r="A64" s="29" t="s">
        <v>61</v>
      </c>
      <c r="B64" s="13">
        <f>'Caratteristiche trave V140'!B16</f>
        <v>6</v>
      </c>
      <c r="C64" s="22" t="s">
        <v>258</v>
      </c>
    </row>
    <row r="65" spans="1:5" x14ac:dyDescent="0.25">
      <c r="A65" s="29" t="s">
        <v>332</v>
      </c>
      <c r="B65" s="13">
        <f>'Caratteristiche trave V140'!B18/1000</f>
        <v>0.6774</v>
      </c>
      <c r="C65" s="22" t="s">
        <v>2</v>
      </c>
    </row>
    <row r="66" spans="1:5" x14ac:dyDescent="0.25">
      <c r="A66" s="119" t="s">
        <v>333</v>
      </c>
      <c r="B66" s="119"/>
      <c r="C66" s="119"/>
      <c r="D66" s="10"/>
      <c r="E66" s="10"/>
    </row>
    <row r="67" spans="1:5" ht="17.25" x14ac:dyDescent="0.25">
      <c r="A67" s="29" t="s">
        <v>246</v>
      </c>
      <c r="B67" s="9">
        <f>'Caratteristiche trave V140'!B46/1000^4</f>
        <v>0.43181454505400002</v>
      </c>
      <c r="C67" s="22" t="s">
        <v>247</v>
      </c>
    </row>
    <row r="68" spans="1:5" ht="17.25" x14ac:dyDescent="0.25">
      <c r="A68" s="29" t="s">
        <v>243</v>
      </c>
      <c r="B68" s="9">
        <f>'Caratteristiche trave V140'!B39/1000^2</f>
        <v>1.3193999999999999</v>
      </c>
      <c r="C68" s="22" t="s">
        <v>252</v>
      </c>
    </row>
    <row r="69" spans="1:5" x14ac:dyDescent="0.25">
      <c r="A69" s="29" t="s">
        <v>61</v>
      </c>
      <c r="B69" s="9">
        <f>'Caratteristiche trave V140'!B16</f>
        <v>6</v>
      </c>
      <c r="C69" s="22" t="s">
        <v>258</v>
      </c>
    </row>
    <row r="70" spans="1:5" x14ac:dyDescent="0.25">
      <c r="A70" s="29" t="s">
        <v>334</v>
      </c>
      <c r="B70" s="9">
        <f>'Caratteristiche trave V140'!B38</f>
        <v>1.051714182491849</v>
      </c>
      <c r="C70" s="22" t="s">
        <v>258</v>
      </c>
    </row>
    <row r="71" spans="1:5" x14ac:dyDescent="0.25">
      <c r="A71" s="29" t="s">
        <v>332</v>
      </c>
      <c r="B71" s="9">
        <f>'Caratteristiche trave V140'!B43/1000</f>
        <v>1.069</v>
      </c>
      <c r="C71" s="22" t="s">
        <v>2</v>
      </c>
    </row>
    <row r="72" spans="1:5" x14ac:dyDescent="0.25">
      <c r="A72" s="118" t="s">
        <v>335</v>
      </c>
      <c r="B72" s="119"/>
      <c r="C72" s="120"/>
      <c r="D72" s="10"/>
      <c r="E72" s="10"/>
    </row>
    <row r="73" spans="1:5" x14ac:dyDescent="0.25">
      <c r="A73" s="118" t="s">
        <v>336</v>
      </c>
      <c r="B73" s="119"/>
      <c r="C73" s="120"/>
      <c r="D73" s="10"/>
      <c r="E73" s="10"/>
    </row>
    <row r="74" spans="1:5" x14ac:dyDescent="0.25">
      <c r="A74" s="118" t="s">
        <v>337</v>
      </c>
      <c r="B74" s="119"/>
      <c r="C74" s="120"/>
    </row>
    <row r="75" spans="1:5" ht="18" x14ac:dyDescent="0.35">
      <c r="A75" s="29" t="s">
        <v>338</v>
      </c>
      <c r="B75" s="23">
        <f>(B58*B49*B53/1000)*(1/B63+(B65)/B62*B65)/(B25*1000)</f>
        <v>1.0426349432309031E-3</v>
      </c>
      <c r="C75" s="22" t="s">
        <v>258</v>
      </c>
      <c r="D75" t="s">
        <v>339</v>
      </c>
    </row>
    <row r="76" spans="1:5" ht="18.75" x14ac:dyDescent="0.35">
      <c r="A76" s="29" t="s">
        <v>340</v>
      </c>
      <c r="B76" s="9">
        <f>B75*(B54)/(B65)*B52</f>
        <v>98.265342014600733</v>
      </c>
      <c r="C76" s="22" t="s">
        <v>4</v>
      </c>
      <c r="D76" t="s">
        <v>341</v>
      </c>
    </row>
    <row r="77" spans="1:5" x14ac:dyDescent="0.25">
      <c r="A77" s="144" t="s">
        <v>342</v>
      </c>
      <c r="B77" s="144"/>
      <c r="C77" s="144"/>
    </row>
    <row r="78" spans="1:5" ht="18.75" x14ac:dyDescent="0.35">
      <c r="A78" s="29" t="s">
        <v>343</v>
      </c>
      <c r="B78" s="9">
        <f>B59</f>
        <v>36.587003128518134</v>
      </c>
      <c r="C78" s="22" t="s">
        <v>4</v>
      </c>
      <c r="D78" t="s">
        <v>328</v>
      </c>
    </row>
    <row r="79" spans="1:5" x14ac:dyDescent="0.25">
      <c r="A79" s="144" t="s">
        <v>344</v>
      </c>
      <c r="B79" s="144"/>
      <c r="C79" s="144"/>
    </row>
    <row r="80" spans="1:5" ht="18.75" x14ac:dyDescent="0.35">
      <c r="A80" s="29" t="s">
        <v>345</v>
      </c>
      <c r="B80" s="9">
        <f>-B41*B52</f>
        <v>56.555318620550487</v>
      </c>
      <c r="C80" s="22" t="s">
        <v>4</v>
      </c>
      <c r="D80" t="s">
        <v>346</v>
      </c>
    </row>
    <row r="81" spans="1:4" x14ac:dyDescent="0.25">
      <c r="A81" s="144" t="s">
        <v>347</v>
      </c>
      <c r="B81" s="144"/>
      <c r="C81" s="144"/>
    </row>
    <row r="82" spans="1:4" x14ac:dyDescent="0.25">
      <c r="A82" s="22" t="s">
        <v>348</v>
      </c>
      <c r="B82" s="66">
        <f>B2*25*B6^2/8+25/4*Q5*Q4*B6^2/8</f>
        <v>2576.953125</v>
      </c>
      <c r="C82" s="22" t="s">
        <v>349</v>
      </c>
      <c r="D82" t="s">
        <v>350</v>
      </c>
    </row>
    <row r="83" spans="1:4" x14ac:dyDescent="0.25">
      <c r="A83" s="22" t="s">
        <v>348</v>
      </c>
      <c r="B83" s="60">
        <f>(25*10*0.3*1.4)*B6/3</f>
        <v>875</v>
      </c>
      <c r="C83" s="22" t="s">
        <v>349</v>
      </c>
      <c r="D83" t="s">
        <v>351</v>
      </c>
    </row>
    <row r="84" spans="1:4" ht="18" x14ac:dyDescent="0.35">
      <c r="A84" s="29" t="s">
        <v>352</v>
      </c>
      <c r="B84" s="36">
        <f>(B82/B62+B83/B62)*(B54)/1000/B27</f>
        <v>5.7000964281477137E-4</v>
      </c>
      <c r="C84" s="22" t="s">
        <v>258</v>
      </c>
      <c r="D84" t="s">
        <v>353</v>
      </c>
    </row>
    <row r="85" spans="1:4" ht="18.75" x14ac:dyDescent="0.35">
      <c r="A85" s="29" t="s">
        <v>354</v>
      </c>
      <c r="B85" s="36">
        <f>B84*B52</f>
        <v>111.15188034888041</v>
      </c>
      <c r="C85" s="22" t="s">
        <v>4</v>
      </c>
      <c r="D85" t="s">
        <v>355</v>
      </c>
    </row>
    <row r="87" spans="1:4" x14ac:dyDescent="0.25">
      <c r="A87" s="148" t="s">
        <v>356</v>
      </c>
      <c r="B87" s="148"/>
      <c r="C87" s="148"/>
    </row>
    <row r="88" spans="1:4" ht="18.75" x14ac:dyDescent="0.35">
      <c r="A88" s="29" t="s">
        <v>357</v>
      </c>
      <c r="B88" s="9">
        <f>B76</f>
        <v>98.265342014600733</v>
      </c>
      <c r="C88" s="22" t="s">
        <v>4</v>
      </c>
      <c r="D88" t="s">
        <v>358</v>
      </c>
    </row>
    <row r="89" spans="1:4" ht="18.75" x14ac:dyDescent="0.35">
      <c r="A89" s="29" t="s">
        <v>359</v>
      </c>
      <c r="B89" s="9">
        <f>B58-B88</f>
        <v>1100.7754253714904</v>
      </c>
      <c r="C89" s="22" t="s">
        <v>4</v>
      </c>
      <c r="D89" t="s">
        <v>360</v>
      </c>
    </row>
    <row r="90" spans="1:4" ht="18" x14ac:dyDescent="0.35">
      <c r="A90" s="56" t="s">
        <v>361</v>
      </c>
      <c r="B90" s="67">
        <f>B88*B53*B49/1000</f>
        <v>819.53295240177022</v>
      </c>
      <c r="C90" s="57" t="s">
        <v>362</v>
      </c>
    </row>
    <row r="91" spans="1:4" x14ac:dyDescent="0.25">
      <c r="A91" s="148" t="s">
        <v>363</v>
      </c>
      <c r="B91" s="148"/>
      <c r="C91" s="148"/>
    </row>
    <row r="92" spans="1:4" ht="18.75" x14ac:dyDescent="0.35">
      <c r="A92" s="29" t="s">
        <v>364</v>
      </c>
      <c r="B92" s="9">
        <f>(B76+0.8*B78+B80+B85)/(1+(B52*B53*B49)/(B25*B2*1000^2)*(1+B2/B5*('Caratteristiche trave V140'!B25/1000)^2)*(1+0.8*B22*B24))</f>
        <v>232.49572298127055</v>
      </c>
      <c r="C92" s="22" t="s">
        <v>4</v>
      </c>
      <c r="D92" t="s">
        <v>365</v>
      </c>
    </row>
    <row r="93" spans="1:4" ht="18.75" x14ac:dyDescent="0.35">
      <c r="A93" s="29" t="s">
        <v>359</v>
      </c>
      <c r="B93" s="9">
        <f>B58-B92</f>
        <v>966.5450444048206</v>
      </c>
      <c r="C93" s="22" t="s">
        <v>4</v>
      </c>
      <c r="D93" t="s">
        <v>366</v>
      </c>
    </row>
    <row r="94" spans="1:4" ht="18" x14ac:dyDescent="0.35">
      <c r="A94" s="56" t="s">
        <v>367</v>
      </c>
      <c r="B94" s="67">
        <f>B92*B53*B49/1000</f>
        <v>1939.0143296637962</v>
      </c>
      <c r="C94" s="57" t="s">
        <v>362</v>
      </c>
    </row>
    <row r="95" spans="1:4" x14ac:dyDescent="0.25">
      <c r="A95" s="148" t="s">
        <v>368</v>
      </c>
      <c r="B95" s="148"/>
      <c r="C95" s="148"/>
    </row>
    <row r="96" spans="1:4" x14ac:dyDescent="0.25">
      <c r="A96" s="144" t="s">
        <v>369</v>
      </c>
      <c r="B96" s="144"/>
      <c r="C96" s="144"/>
    </row>
    <row r="97" spans="1:4" ht="18" x14ac:dyDescent="0.35">
      <c r="A97" s="53" t="s">
        <v>370</v>
      </c>
      <c r="B97" s="65">
        <f>Q49</f>
        <v>-2.0215206664921226E-4</v>
      </c>
      <c r="C97" s="58" t="s">
        <v>258</v>
      </c>
      <c r="D97" t="s">
        <v>371</v>
      </c>
    </row>
    <row r="98" spans="1:4" ht="18.75" x14ac:dyDescent="0.35">
      <c r="A98" s="56" t="s">
        <v>372</v>
      </c>
      <c r="B98" s="64">
        <f>B97*Q34</f>
        <v>-6.9996133990704585</v>
      </c>
      <c r="C98" s="57" t="s">
        <v>4</v>
      </c>
      <c r="D98" t="s">
        <v>346</v>
      </c>
    </row>
    <row r="99" spans="1:4" x14ac:dyDescent="0.25">
      <c r="A99" s="53" t="s">
        <v>373</v>
      </c>
      <c r="B99" s="9">
        <f>B98*Q4*Q5/4*1000</f>
        <v>-4374.758374419036</v>
      </c>
      <c r="C99" s="58" t="s">
        <v>362</v>
      </c>
      <c r="D99" t="s">
        <v>374</v>
      </c>
    </row>
    <row r="100" spans="1:4" x14ac:dyDescent="0.25">
      <c r="A100" s="53" t="s">
        <v>348</v>
      </c>
      <c r="B100" s="9">
        <f>B99*(B71-'Caratteristiche trave V140'!B4/1000)</f>
        <v>1448.0450219327008</v>
      </c>
      <c r="C100" s="58" t="s">
        <v>349</v>
      </c>
      <c r="D100" t="s">
        <v>375</v>
      </c>
    </row>
    <row r="101" spans="1:4" ht="18.75" x14ac:dyDescent="0.35">
      <c r="A101" s="29" t="s">
        <v>376</v>
      </c>
      <c r="B101" s="9">
        <f>(B99/B68+B100/B67*('Caratteristiche trave V140'!B4/1000-B71))/1000</f>
        <v>-2.2057440703343056</v>
      </c>
      <c r="C101" s="22" t="s">
        <v>4</v>
      </c>
      <c r="D101" t="s">
        <v>377</v>
      </c>
    </row>
    <row r="102" spans="1:4" ht="18.75" x14ac:dyDescent="0.35">
      <c r="A102" s="29" t="s">
        <v>378</v>
      </c>
      <c r="B102" s="9">
        <f>(B99/B68+B100/B67*(B71))/1000</f>
        <v>0.26906192781171284</v>
      </c>
      <c r="C102" s="22" t="s">
        <v>4</v>
      </c>
      <c r="D102" t="s">
        <v>379</v>
      </c>
    </row>
    <row r="103" spans="1:4" ht="18.75" x14ac:dyDescent="0.35">
      <c r="A103" s="29" t="s">
        <v>380</v>
      </c>
      <c r="B103" s="9">
        <f>(B99/B68+B100/B67*('Caratteristiche trave V140'!B48/1000))/1000*B69</f>
        <v>-5.4277593221631077</v>
      </c>
      <c r="C103" s="22" t="s">
        <v>4</v>
      </c>
      <c r="D103" t="s">
        <v>381</v>
      </c>
    </row>
    <row r="104" spans="1:4" x14ac:dyDescent="0.25">
      <c r="A104" s="144" t="s">
        <v>347</v>
      </c>
      <c r="B104" s="144"/>
      <c r="C104" s="144"/>
    </row>
    <row r="105" spans="1:4" x14ac:dyDescent="0.25">
      <c r="A105" s="22" t="s">
        <v>348</v>
      </c>
      <c r="B105" s="9">
        <f>'fase 2 '!B4</f>
        <v>707.03125</v>
      </c>
      <c r="C105" s="22" t="s">
        <v>349</v>
      </c>
      <c r="D105" t="s">
        <v>350</v>
      </c>
    </row>
    <row r="106" spans="1:4" ht="18" x14ac:dyDescent="0.35">
      <c r="A106" s="29" t="s">
        <v>352</v>
      </c>
      <c r="B106" s="9">
        <f>(B105/B67)*('Caratteristiche trave V140'!B48/1000)/1000/B27</f>
        <v>1.1104502056312598E-4</v>
      </c>
      <c r="C106" s="22" t="s">
        <v>258</v>
      </c>
      <c r="D106" t="s">
        <v>353</v>
      </c>
    </row>
    <row r="107" spans="1:4" ht="18.75" x14ac:dyDescent="0.35">
      <c r="A107" s="29" t="s">
        <v>354</v>
      </c>
      <c r="B107" s="9">
        <f>B106*B52</f>
        <v>21.653779009809565</v>
      </c>
      <c r="C107" s="22" t="s">
        <v>4</v>
      </c>
      <c r="D107" t="s">
        <v>382</v>
      </c>
    </row>
    <row r="108" spans="1:4" x14ac:dyDescent="0.25">
      <c r="A108" s="144" t="s">
        <v>342</v>
      </c>
      <c r="B108" s="144"/>
      <c r="C108" s="144"/>
    </row>
    <row r="109" spans="1:4" ht="18.75" x14ac:dyDescent="0.35">
      <c r="A109" s="29" t="s">
        <v>343</v>
      </c>
      <c r="B109" s="60">
        <v>0</v>
      </c>
      <c r="C109" s="22" t="s">
        <v>4</v>
      </c>
      <c r="D109" t="s">
        <v>328</v>
      </c>
    </row>
    <row r="110" spans="1:4" x14ac:dyDescent="0.25">
      <c r="A110" s="149" t="s">
        <v>383</v>
      </c>
      <c r="B110" s="149"/>
      <c r="C110" s="149"/>
    </row>
    <row r="111" spans="1:4" ht="18.75" x14ac:dyDescent="0.35">
      <c r="A111" s="29" t="s">
        <v>384</v>
      </c>
      <c r="B111" s="9">
        <f>B109+B107</f>
        <v>21.653779009809565</v>
      </c>
      <c r="C111" s="22" t="s">
        <v>4</v>
      </c>
    </row>
    <row r="112" spans="1:4" ht="18" x14ac:dyDescent="0.35">
      <c r="A112" s="56" t="s">
        <v>367</v>
      </c>
      <c r="B112" s="63">
        <f>B111*B53*B49/1000</f>
        <v>180.59251694181177</v>
      </c>
      <c r="C112" s="57" t="s">
        <v>362</v>
      </c>
    </row>
    <row r="113" spans="1:4" x14ac:dyDescent="0.25">
      <c r="A113" s="150" t="s">
        <v>385</v>
      </c>
      <c r="B113" s="150"/>
      <c r="C113" s="150"/>
    </row>
    <row r="114" spans="1:4" x14ac:dyDescent="0.25">
      <c r="A114" s="132" t="s">
        <v>386</v>
      </c>
      <c r="B114" s="132"/>
      <c r="C114" s="132"/>
    </row>
    <row r="115" spans="1:4" x14ac:dyDescent="0.25">
      <c r="A115" s="22" t="s">
        <v>387</v>
      </c>
      <c r="B115" s="60">
        <v>300</v>
      </c>
      <c r="C115" s="22" t="s">
        <v>362</v>
      </c>
      <c r="D115" t="s">
        <v>415</v>
      </c>
    </row>
    <row r="116" spans="1:4" ht="17.25" x14ac:dyDescent="0.25">
      <c r="A116" s="22" t="s">
        <v>388</v>
      </c>
      <c r="B116" s="60">
        <v>9</v>
      </c>
      <c r="C116" s="22" t="s">
        <v>389</v>
      </c>
      <c r="D116" t="s">
        <v>416</v>
      </c>
    </row>
    <row r="117" spans="1:4" x14ac:dyDescent="0.25">
      <c r="A117" s="22" t="s">
        <v>390</v>
      </c>
      <c r="B117" s="9">
        <v>1300</v>
      </c>
      <c r="C117" s="22" t="s">
        <v>349</v>
      </c>
      <c r="D117" t="s">
        <v>478</v>
      </c>
    </row>
    <row r="118" spans="1:4" ht="18.75" x14ac:dyDescent="0.35">
      <c r="A118" s="29" t="s">
        <v>391</v>
      </c>
      <c r="B118" s="9">
        <f>B117/B67*('Caratteristiche trave V140'!B48/1000)*B69/1000</f>
        <v>12.987519906951427</v>
      </c>
      <c r="C118" s="22" t="s">
        <v>389</v>
      </c>
      <c r="D118" t="s">
        <v>417</v>
      </c>
    </row>
  </sheetData>
  <mergeCells count="29">
    <mergeCell ref="A110:C110"/>
    <mergeCell ref="A113:C113"/>
    <mergeCell ref="A114:C114"/>
    <mergeCell ref="P19:U19"/>
    <mergeCell ref="P42:R42"/>
    <mergeCell ref="A108:C108"/>
    <mergeCell ref="A46:C46"/>
    <mergeCell ref="A47:C47"/>
    <mergeCell ref="A61:C61"/>
    <mergeCell ref="A66:C66"/>
    <mergeCell ref="A73:C73"/>
    <mergeCell ref="A74:C74"/>
    <mergeCell ref="A79:C79"/>
    <mergeCell ref="A81:C81"/>
    <mergeCell ref="A87:C87"/>
    <mergeCell ref="A91:C91"/>
    <mergeCell ref="P8:R8"/>
    <mergeCell ref="P9:R9"/>
    <mergeCell ref="P1:R1"/>
    <mergeCell ref="A96:C96"/>
    <mergeCell ref="A104:C104"/>
    <mergeCell ref="A95:C95"/>
    <mergeCell ref="A72:C72"/>
    <mergeCell ref="A77:C77"/>
    <mergeCell ref="A33:C33"/>
    <mergeCell ref="H30:I30"/>
    <mergeCell ref="A1:C1"/>
    <mergeCell ref="A7:C7"/>
    <mergeCell ref="A10:C1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6"/>
  <sheetViews>
    <sheetView showGridLines="0" zoomScale="70" zoomScaleNormal="70" workbookViewId="0">
      <selection activeCell="D5" sqref="D5"/>
    </sheetView>
  </sheetViews>
  <sheetFormatPr defaultRowHeight="15" x14ac:dyDescent="0.25"/>
  <cols>
    <col min="1" max="1" width="13.5703125" customWidth="1"/>
    <col min="2" max="2" width="13.85546875" customWidth="1"/>
    <col min="3" max="3" width="11.28515625" customWidth="1"/>
    <col min="4" max="4" width="38.5703125" customWidth="1"/>
    <col min="5" max="5" width="19.7109375" customWidth="1"/>
    <col min="6" max="6" width="28.140625" customWidth="1"/>
    <col min="7" max="7" width="9.5703125" customWidth="1"/>
  </cols>
  <sheetData>
    <row r="1" spans="1:7" x14ac:dyDescent="0.25">
      <c r="A1" s="32" t="s">
        <v>230</v>
      </c>
    </row>
    <row r="2" spans="1:7" x14ac:dyDescent="0.25">
      <c r="A2" s="47" t="s">
        <v>231</v>
      </c>
      <c r="B2" s="9">
        <f xml:space="preserve"> 3700 -'fase 0 '!$B$3/3 -'fase 1 '!$B$5/3-'fase 2 '!B4/2</f>
        <v>2419.0311543436173</v>
      </c>
      <c r="C2" s="48" t="s">
        <v>3</v>
      </c>
    </row>
    <row r="3" spans="1:7" x14ac:dyDescent="0.25">
      <c r="A3" s="144" t="s">
        <v>190</v>
      </c>
      <c r="B3" s="144"/>
      <c r="C3" s="144"/>
    </row>
    <row r="4" spans="1:7" ht="17.25" x14ac:dyDescent="0.25">
      <c r="A4" s="8" t="s">
        <v>191</v>
      </c>
      <c r="B4" s="9">
        <f>B2*1000^2/('Caratteristiche trave V140'!B38*'Caratteristiche trave V140'!B46)*'Caratteristiche trave V140'!B44</f>
        <v>3.0947288010827454</v>
      </c>
      <c r="C4" s="11" t="s">
        <v>4</v>
      </c>
      <c r="D4" t="s">
        <v>193</v>
      </c>
    </row>
    <row r="5" spans="1:7" ht="17.25" x14ac:dyDescent="0.25">
      <c r="A5" s="8" t="s">
        <v>192</v>
      </c>
      <c r="B5" s="9">
        <f>B2*1000^2/('Caratteristiche trave V140'!B38*'Caratteristiche trave V140'!B46)*'Caratteristiche trave V140'!B45</f>
        <v>1.7630899021659014</v>
      </c>
      <c r="C5" s="11" t="s">
        <v>4</v>
      </c>
      <c r="D5" t="s">
        <v>195</v>
      </c>
    </row>
    <row r="6" spans="1:7" ht="17.25" x14ac:dyDescent="0.25">
      <c r="A6" s="8" t="s">
        <v>194</v>
      </c>
      <c r="B6" s="9">
        <f>B2*1000^2/('Caratteristiche trave V140'!B46)*'Caratteristiche trave V140'!B45</f>
        <v>1.8542666551160452</v>
      </c>
      <c r="C6" s="11" t="s">
        <v>4</v>
      </c>
      <c r="D6" t="s">
        <v>196</v>
      </c>
    </row>
    <row r="7" spans="1:7" ht="17.25" x14ac:dyDescent="0.25">
      <c r="A7" s="8" t="s">
        <v>197</v>
      </c>
      <c r="B7" s="9">
        <f>-B2*1000^2/('Caratteristiche trave V140'!B46)*'Caratteristiche trave V140'!B43</f>
        <v>-5.9885530341965323</v>
      </c>
      <c r="C7" s="11" t="s">
        <v>4</v>
      </c>
      <c r="D7" t="s">
        <v>198</v>
      </c>
    </row>
    <row r="8" spans="1:7" ht="17.25" x14ac:dyDescent="0.25">
      <c r="A8" s="8" t="s">
        <v>199</v>
      </c>
      <c r="B8" s="9">
        <f>-B2*1000^2/('Caratteristiche trave V140'!B46)*('Caratteristiche trave V140'!B43-'Caratteristiche trave V140'!B24)</f>
        <v>-4.027848111868388</v>
      </c>
      <c r="C8" s="11" t="s">
        <v>4</v>
      </c>
      <c r="D8" t="s">
        <v>200</v>
      </c>
    </row>
    <row r="9" spans="1:7" ht="17.25" x14ac:dyDescent="0.25">
      <c r="A9" s="8" t="s">
        <v>232</v>
      </c>
      <c r="B9" s="9">
        <f>-B2*1000^2/('Caratteristiche trave V140'!B16*'Caratteristiche trave V140'!B46)*('Caratteristiche trave V140'!B43-'Caratteristiche trave V140'!B24)</f>
        <v>-0.67130801864473133</v>
      </c>
      <c r="C9" s="11" t="s">
        <v>4</v>
      </c>
      <c r="D9" t="s">
        <v>200</v>
      </c>
    </row>
    <row r="11" spans="1:7" x14ac:dyDescent="0.25">
      <c r="A11" s="122" t="s">
        <v>219</v>
      </c>
      <c r="B11" s="122"/>
      <c r="C11" s="122"/>
      <c r="D11" s="122"/>
      <c r="E11" s="122"/>
      <c r="F11" s="122"/>
      <c r="G11" s="47" t="s">
        <v>228</v>
      </c>
    </row>
    <row r="12" spans="1:7" ht="17.25" x14ac:dyDescent="0.25">
      <c r="A12" s="17" t="s">
        <v>240</v>
      </c>
      <c r="B12" s="9">
        <f>E30</f>
        <v>1.9118324370757611</v>
      </c>
      <c r="C12" s="11" t="s">
        <v>4</v>
      </c>
      <c r="D12" s="47" t="str">
        <f>IF(B12 &lt; 0,"Trazione","Compressione")</f>
        <v>Compressione</v>
      </c>
      <c r="E12" s="47" t="str">
        <f>IF(D12 = "Trazione", IF(ABS(B12) &lt; Materiali!$B$22/1.2,"VERIFICA", " NON VERIFICA"), IF(B12 &lt; 0.7*Materiali!$B$16,"VERIFICA", " NON VERIFICA"))</f>
        <v>VERIFICA</v>
      </c>
      <c r="F12" s="6" t="str">
        <f xml:space="preserve"> IF(D12="Trazione","ϭ &gt; fctm(t)/1.2", "ϭ &lt; 0.6fck(t)")</f>
        <v>ϭ &lt; 0.6fck(t)</v>
      </c>
      <c r="G12" s="9">
        <f>ABS(B12/IF(D12 = "Trazione",  Materiali!$B$22/1.2,  0.7*Materiali!$B$16))</f>
        <v>6.9703855413304899E-2</v>
      </c>
    </row>
    <row r="13" spans="1:7" x14ac:dyDescent="0.25">
      <c r="A13" s="122" t="s">
        <v>218</v>
      </c>
      <c r="B13" s="122"/>
      <c r="C13" s="122"/>
      <c r="D13" s="122"/>
      <c r="E13" s="122"/>
      <c r="F13" s="122"/>
      <c r="G13" s="9"/>
    </row>
    <row r="14" spans="1:7" ht="17.25" x14ac:dyDescent="0.25">
      <c r="A14" s="17" t="s">
        <v>224</v>
      </c>
      <c r="B14" s="9">
        <f>E31</f>
        <v>-0.67762052473637624</v>
      </c>
      <c r="C14" s="11" t="s">
        <v>4</v>
      </c>
      <c r="D14" s="47" t="str">
        <f t="shared" ref="D14" si="0">IF(B14 &lt; 0,"Trazione","Compressione")</f>
        <v>Trazione</v>
      </c>
      <c r="E14" s="47" t="str">
        <f>IF(D14 = "Trazione", IF(ABS(B14) &lt; Materiali!$B$22/1.2,"VERIFICA", " NON VERIFICA"), IF(B14 &lt; 0.7*Materiali!$B$16,"VERIFICA", " NON VERIFICA"))</f>
        <v>VERIFICA</v>
      </c>
      <c r="F14" s="6" t="str">
        <f t="shared" ref="F14:F18" si="1" xml:space="preserve"> IF(D14="Trazione","ϭ &gt; fctm(t)/1.2", "ϭ &lt; 0.6fck(t)")</f>
        <v>ϭ &gt; fctm(t)/1.2</v>
      </c>
      <c r="G14" s="9">
        <f>ABS(B14/IF(D14 = "Trazione",  Materiali!$B$22/1.2,  0.7*Materiali!$B$16))</f>
        <v>0.2472284722089835</v>
      </c>
    </row>
    <row r="15" spans="1:7" x14ac:dyDescent="0.25">
      <c r="A15" s="122" t="s">
        <v>220</v>
      </c>
      <c r="B15" s="122"/>
      <c r="C15" s="122"/>
      <c r="D15" s="122"/>
      <c r="E15" s="122"/>
      <c r="F15" s="122"/>
      <c r="G15" s="9"/>
    </row>
    <row r="16" spans="1:7" ht="17.25" x14ac:dyDescent="0.25">
      <c r="A16" s="17" t="s">
        <v>239</v>
      </c>
      <c r="B16" s="9">
        <f>E34</f>
        <v>17.966271704398604</v>
      </c>
      <c r="C16" s="11" t="s">
        <v>4</v>
      </c>
      <c r="D16" s="47" t="str">
        <f t="shared" ref="D16:D18" si="2">IF(B16 &lt; 0,"Trazione","Compressione")</f>
        <v>Compressione</v>
      </c>
      <c r="E16" s="47" t="str">
        <f>IF(D16 = "Trazione", IF(ABS(B16) &lt; Materiali!$B$22/1.2,"VERIFICA", " NON VERIFICA"), IF(B16 &lt; 0.7*Materiali!$B$16,"VERIFICA", " NON VERIFICA"))</f>
        <v>VERIFICA</v>
      </c>
      <c r="F16" s="6" t="str">
        <f t="shared" si="1"/>
        <v>ϭ &lt; 0.6fck(t)</v>
      </c>
      <c r="G16" s="9">
        <f>ABS(B16/IF(D16 = "Trazione",  Materiali!$B$22/1.2,  0.7*Materiali!$B$16))</f>
        <v>0.65503565109243156</v>
      </c>
    </row>
    <row r="17" spans="1:7" x14ac:dyDescent="0.25">
      <c r="A17" s="122" t="s">
        <v>221</v>
      </c>
      <c r="B17" s="122"/>
      <c r="C17" s="122"/>
      <c r="D17" s="122"/>
      <c r="E17" s="122"/>
      <c r="F17" s="122"/>
      <c r="G17" s="9"/>
    </row>
    <row r="18" spans="1:7" ht="17.25" x14ac:dyDescent="0.25">
      <c r="A18" s="17" t="s">
        <v>238</v>
      </c>
      <c r="B18" s="9">
        <f>E35</f>
        <v>-0.36503301334819849</v>
      </c>
      <c r="C18" s="11" t="s">
        <v>4</v>
      </c>
      <c r="D18" s="47" t="str">
        <f t="shared" si="2"/>
        <v>Trazione</v>
      </c>
      <c r="E18" s="47" t="str">
        <f>IF(D18 = "Trazione", IF(ABS(B18) &lt; Materiali!$B$22/1.2,"VERIFICA", " NON VERIFICA"), IF(B18 &lt; 0.7*Materiali!$B$16,"VERIFICA", " NON VERIFICA"))</f>
        <v>VERIFICA</v>
      </c>
      <c r="F18" s="6" t="str">
        <f t="shared" si="1"/>
        <v>ϭ &gt; fctm(t)/1.2</v>
      </c>
      <c r="G18" s="9">
        <f>ABS(B18/IF(D18 = "Trazione",  Materiali!$B$22/1.2,  0.7*Materiali!$B$16))</f>
        <v>0.13318155354138131</v>
      </c>
    </row>
    <row r="19" spans="1:7" x14ac:dyDescent="0.25">
      <c r="A19" s="122" t="s">
        <v>222</v>
      </c>
      <c r="B19" s="122"/>
      <c r="C19" s="122"/>
      <c r="D19" s="122"/>
      <c r="E19" s="122"/>
      <c r="F19" s="122"/>
      <c r="G19" s="47"/>
    </row>
    <row r="20" spans="1:7" x14ac:dyDescent="0.25">
      <c r="A20" s="145" t="s">
        <v>229</v>
      </c>
      <c r="B20" s="146"/>
      <c r="C20" s="146"/>
      <c r="D20" s="146"/>
      <c r="E20" s="146"/>
      <c r="F20" s="147"/>
      <c r="G20" s="47"/>
    </row>
    <row r="21" spans="1:7" ht="17.25" x14ac:dyDescent="0.25">
      <c r="A21" s="17" t="s">
        <v>237</v>
      </c>
      <c r="B21" s="9">
        <f>'fase 2 '!B38+ABS('fase 3'!B9)</f>
        <v>1131.8921297034499</v>
      </c>
      <c r="C21" s="11" t="s">
        <v>4</v>
      </c>
      <c r="D21" s="47" t="s">
        <v>96</v>
      </c>
      <c r="E21" s="47" t="str">
        <f>IF(B21&lt;MIN(Materiali!B32:B33),"VERIFICA", " NON VERIFICA")</f>
        <v>VERIFICA</v>
      </c>
      <c r="F21" s="6" t="s">
        <v>115</v>
      </c>
      <c r="G21" s="9">
        <f>B21/MIN(Materiali!B32:B33)</f>
        <v>0.76068019469317871</v>
      </c>
    </row>
    <row r="22" spans="1:7" x14ac:dyDescent="0.25">
      <c r="A22" s="122" t="s">
        <v>235</v>
      </c>
      <c r="B22" s="122"/>
      <c r="C22" s="122"/>
      <c r="D22" s="122"/>
      <c r="E22" s="122"/>
      <c r="F22" s="122"/>
    </row>
    <row r="23" spans="1:7" ht="17.25" x14ac:dyDescent="0.25">
      <c r="A23" s="8" t="s">
        <v>241</v>
      </c>
      <c r="B23" s="47">
        <v>37.31</v>
      </c>
      <c r="C23" s="11" t="s">
        <v>4</v>
      </c>
    </row>
    <row r="24" spans="1:7" ht="17.25" x14ac:dyDescent="0.25">
      <c r="A24" s="17" t="s">
        <v>237</v>
      </c>
      <c r="B24" s="9">
        <f>B21+B23</f>
        <v>1169.2021297034498</v>
      </c>
      <c r="C24" s="11" t="s">
        <v>4</v>
      </c>
      <c r="D24" s="47" t="s">
        <v>96</v>
      </c>
      <c r="E24" s="47" t="str">
        <f>IF(B24&lt;MIN(Materiali!B32:B33),"VERIFICA", " NON VERIFICA")</f>
        <v>VERIFICA</v>
      </c>
      <c r="F24" s="6" t="s">
        <v>115</v>
      </c>
      <c r="G24" s="9">
        <f>B24/MIN(Materiali!B32:B33)</f>
        <v>0.78575411942436146</v>
      </c>
    </row>
    <row r="27" spans="1:7" x14ac:dyDescent="0.25">
      <c r="C27" s="42" t="s">
        <v>233</v>
      </c>
      <c r="D27" s="42" t="s">
        <v>234</v>
      </c>
    </row>
    <row r="28" spans="1:7" x14ac:dyDescent="0.25">
      <c r="A28" s="42" t="s">
        <v>201</v>
      </c>
      <c r="B28" s="42" t="s">
        <v>202</v>
      </c>
      <c r="C28" s="34" t="s">
        <v>204</v>
      </c>
      <c r="D28" s="34" t="s">
        <v>204</v>
      </c>
      <c r="E28" s="34" t="s">
        <v>217</v>
      </c>
    </row>
    <row r="29" spans="1:7" x14ac:dyDescent="0.25">
      <c r="A29" s="42">
        <v>1</v>
      </c>
      <c r="B29" s="42">
        <f>'fase 2 '!B46</f>
        <v>972.6</v>
      </c>
      <c r="C29" s="9">
        <f>'fase 2 '!G46</f>
        <v>0</v>
      </c>
      <c r="D29" s="42">
        <v>0</v>
      </c>
      <c r="E29" s="9">
        <f>SUM(C29:D29)</f>
        <v>0</v>
      </c>
    </row>
    <row r="30" spans="1:7" x14ac:dyDescent="0.25">
      <c r="A30" s="42">
        <v>2</v>
      </c>
      <c r="B30" s="42">
        <f>'fase 2 '!B47</f>
        <v>972.6</v>
      </c>
      <c r="C30" s="9">
        <f>'fase 2 '!G47</f>
        <v>-1.1828963640069843</v>
      </c>
      <c r="D30" s="9">
        <f>B4</f>
        <v>3.0947288010827454</v>
      </c>
      <c r="E30" s="9">
        <f t="shared" ref="E30:E36" si="3">SUM(C30:D30)</f>
        <v>1.9118324370757611</v>
      </c>
    </row>
    <row r="31" spans="1:7" x14ac:dyDescent="0.25">
      <c r="A31" s="42">
        <v>3</v>
      </c>
      <c r="B31" s="42">
        <f>'fase 2 '!B48</f>
        <v>722.6</v>
      </c>
      <c r="C31" s="9">
        <f>'fase 2 '!G48</f>
        <v>-2.4407104269022777</v>
      </c>
      <c r="D31" s="9">
        <f>B5</f>
        <v>1.7630899021659014</v>
      </c>
      <c r="E31" s="9">
        <f t="shared" si="3"/>
        <v>-0.67762052473637624</v>
      </c>
    </row>
    <row r="32" spans="1:7" x14ac:dyDescent="0.25">
      <c r="A32" s="42">
        <v>4</v>
      </c>
      <c r="B32" s="42">
        <f>'fase 2 '!B49</f>
        <v>722.6</v>
      </c>
      <c r="C32" s="9">
        <f>'fase 2 '!G49</f>
        <v>0.54196262360901715</v>
      </c>
      <c r="D32" s="9">
        <v>0</v>
      </c>
      <c r="E32" s="9">
        <f t="shared" si="3"/>
        <v>0.54196262360901715</v>
      </c>
    </row>
    <row r="33" spans="1:5" x14ac:dyDescent="0.25">
      <c r="A33" s="42">
        <v>5</v>
      </c>
      <c r="B33" s="42">
        <f>'fase 2 '!B50</f>
        <v>722.6</v>
      </c>
      <c r="C33" s="9">
        <f>'fase 2 '!G50</f>
        <v>0.54196262360901715</v>
      </c>
      <c r="D33" s="9">
        <f>B6</f>
        <v>1.8542666551160452</v>
      </c>
      <c r="E33" s="9">
        <f t="shared" si="3"/>
        <v>2.3962292787250625</v>
      </c>
    </row>
    <row r="34" spans="1:5" x14ac:dyDescent="0.25">
      <c r="A34" s="42">
        <v>6</v>
      </c>
      <c r="B34" s="42">
        <f>'fase 2 '!B51</f>
        <v>722.6</v>
      </c>
      <c r="C34" s="9">
        <f>'fase 2 '!G51</f>
        <v>16.112005049282558</v>
      </c>
      <c r="D34" s="9">
        <f>D33</f>
        <v>1.8542666551160452</v>
      </c>
      <c r="E34" s="9">
        <f t="shared" si="3"/>
        <v>17.966271704398604</v>
      </c>
    </row>
    <row r="35" spans="1:5" x14ac:dyDescent="0.25">
      <c r="A35" s="42">
        <v>7</v>
      </c>
      <c r="B35" s="42">
        <f>'fase 2 '!B52</f>
        <v>-677.4</v>
      </c>
      <c r="C35" s="9">
        <f>'fase 2 '!G52</f>
        <v>5.6235200208483338</v>
      </c>
      <c r="D35" s="9">
        <f>B7</f>
        <v>-5.9885530341965323</v>
      </c>
      <c r="E35" s="9">
        <f t="shared" si="3"/>
        <v>-0.36503301334819849</v>
      </c>
    </row>
    <row r="36" spans="1:5" x14ac:dyDescent="0.25">
      <c r="A36" s="42">
        <v>8</v>
      </c>
      <c r="B36" s="42">
        <f>'fase 2 '!B53</f>
        <v>-677.4</v>
      </c>
      <c r="C36" s="9">
        <f>'fase 2 '!G53</f>
        <v>0</v>
      </c>
      <c r="D36" s="9">
        <v>0</v>
      </c>
      <c r="E36" s="9">
        <f t="shared" si="3"/>
        <v>0</v>
      </c>
    </row>
  </sheetData>
  <mergeCells count="8">
    <mergeCell ref="A19:F19"/>
    <mergeCell ref="A20:F20"/>
    <mergeCell ref="A22:F22"/>
    <mergeCell ref="A3:C3"/>
    <mergeCell ref="A11:F11"/>
    <mergeCell ref="A13:F13"/>
    <mergeCell ref="A15:F15"/>
    <mergeCell ref="A17:F17"/>
  </mergeCells>
  <conditionalFormatting sqref="E21">
    <cfRule type="containsText" dxfId="104" priority="36" operator="containsText" text="NON ">
      <formula>NOT(ISERROR(SEARCH("NON ",E21)))</formula>
    </cfRule>
    <cfRule type="containsText" dxfId="103" priority="37" operator="containsText" text="VERIFICA">
      <formula>NOT(ISERROR(SEARCH("VERIFICA",E21)))</formula>
    </cfRule>
    <cfRule type="containsText" dxfId="102" priority="38" operator="containsText" text="N">
      <formula>NOT(ISERROR(SEARCH("N",E21)))</formula>
    </cfRule>
    <cfRule type="containsText" dxfId="101" priority="39" operator="containsText" text="NON VERIFICA ">
      <formula>NOT(ISERROR(SEARCH("NON VERIFICA ",E21)))</formula>
    </cfRule>
    <cfRule type="cellIs" dxfId="100" priority="40" operator="equal">
      <formula>"NON VERIFICA"</formula>
    </cfRule>
    <cfRule type="cellIs" dxfId="99" priority="41" operator="equal">
      <formula>"NON VERIFICA"</formula>
    </cfRule>
    <cfRule type="cellIs" dxfId="98" priority="42" operator="equal">
      <formula>"VERIFICA"</formula>
    </cfRule>
  </conditionalFormatting>
  <conditionalFormatting sqref="E12">
    <cfRule type="containsText" dxfId="97" priority="29" operator="containsText" text="NON ">
      <formula>NOT(ISERROR(SEARCH("NON ",E12)))</formula>
    </cfRule>
    <cfRule type="containsText" dxfId="96" priority="30" operator="containsText" text="VERIFICA">
      <formula>NOT(ISERROR(SEARCH("VERIFICA",E12)))</formula>
    </cfRule>
    <cfRule type="containsText" dxfId="95" priority="31" operator="containsText" text="N">
      <formula>NOT(ISERROR(SEARCH("N",E12)))</formula>
    </cfRule>
    <cfRule type="containsText" dxfId="94" priority="32" operator="containsText" text="NON VERIFICA ">
      <formula>NOT(ISERROR(SEARCH("NON VERIFICA ",E12)))</formula>
    </cfRule>
    <cfRule type="cellIs" dxfId="93" priority="33" operator="equal">
      <formula>"NON VERIFICA"</formula>
    </cfRule>
    <cfRule type="cellIs" dxfId="92" priority="34" operator="equal">
      <formula>"NON VERIFICA"</formula>
    </cfRule>
    <cfRule type="cellIs" dxfId="91" priority="35" operator="equal">
      <formula>"VERIFICA"</formula>
    </cfRule>
  </conditionalFormatting>
  <conditionalFormatting sqref="E14">
    <cfRule type="containsText" dxfId="90" priority="22" operator="containsText" text="NON ">
      <formula>NOT(ISERROR(SEARCH("NON ",E14)))</formula>
    </cfRule>
    <cfRule type="containsText" dxfId="89" priority="23" operator="containsText" text="VERIFICA">
      <formula>NOT(ISERROR(SEARCH("VERIFICA",E14)))</formula>
    </cfRule>
    <cfRule type="containsText" dxfId="88" priority="24" operator="containsText" text="N">
      <formula>NOT(ISERROR(SEARCH("N",E14)))</formula>
    </cfRule>
    <cfRule type="containsText" dxfId="87" priority="25" operator="containsText" text="NON VERIFICA ">
      <formula>NOT(ISERROR(SEARCH("NON VERIFICA ",E14)))</formula>
    </cfRule>
    <cfRule type="cellIs" dxfId="86" priority="26" operator="equal">
      <formula>"NON VERIFICA"</formula>
    </cfRule>
    <cfRule type="cellIs" dxfId="85" priority="27" operator="equal">
      <formula>"NON VERIFICA"</formula>
    </cfRule>
    <cfRule type="cellIs" dxfId="84" priority="28" operator="equal">
      <formula>"VERIFICA"</formula>
    </cfRule>
  </conditionalFormatting>
  <conditionalFormatting sqref="E16">
    <cfRule type="containsText" dxfId="83" priority="15" operator="containsText" text="NON ">
      <formula>NOT(ISERROR(SEARCH("NON ",E16)))</formula>
    </cfRule>
    <cfRule type="containsText" dxfId="82" priority="16" operator="containsText" text="VERIFICA">
      <formula>NOT(ISERROR(SEARCH("VERIFICA",E16)))</formula>
    </cfRule>
    <cfRule type="containsText" dxfId="81" priority="17" operator="containsText" text="N">
      <formula>NOT(ISERROR(SEARCH("N",E16)))</formula>
    </cfRule>
    <cfRule type="containsText" dxfId="80" priority="18" operator="containsText" text="NON VERIFICA ">
      <formula>NOT(ISERROR(SEARCH("NON VERIFICA ",E16)))</formula>
    </cfRule>
    <cfRule type="cellIs" dxfId="79" priority="19" operator="equal">
      <formula>"NON VERIFICA"</formula>
    </cfRule>
    <cfRule type="cellIs" dxfId="78" priority="20" operator="equal">
      <formula>"NON VERIFICA"</formula>
    </cfRule>
    <cfRule type="cellIs" dxfId="77" priority="21" operator="equal">
      <formula>"VERIFICA"</formula>
    </cfRule>
  </conditionalFormatting>
  <conditionalFormatting sqref="E18">
    <cfRule type="containsText" dxfId="76" priority="8" operator="containsText" text="NON ">
      <formula>NOT(ISERROR(SEARCH("NON ",E18)))</formula>
    </cfRule>
    <cfRule type="containsText" dxfId="75" priority="9" operator="containsText" text="VERIFICA">
      <formula>NOT(ISERROR(SEARCH("VERIFICA",E18)))</formula>
    </cfRule>
    <cfRule type="containsText" dxfId="74" priority="10" operator="containsText" text="N">
      <formula>NOT(ISERROR(SEARCH("N",E18)))</formula>
    </cfRule>
    <cfRule type="containsText" dxfId="73" priority="11" operator="containsText" text="NON VERIFICA ">
      <formula>NOT(ISERROR(SEARCH("NON VERIFICA ",E18)))</formula>
    </cfRule>
    <cfRule type="cellIs" dxfId="72" priority="12" operator="equal">
      <formula>"NON VERIFICA"</formula>
    </cfRule>
    <cfRule type="cellIs" dxfId="71" priority="13" operator="equal">
      <formula>"NON VERIFICA"</formula>
    </cfRule>
    <cfRule type="cellIs" dxfId="70" priority="14" operator="equal">
      <formula>"VERIFICA"</formula>
    </cfRule>
  </conditionalFormatting>
  <conditionalFormatting sqref="E24">
    <cfRule type="containsText" dxfId="69" priority="1" operator="containsText" text="NON ">
      <formula>NOT(ISERROR(SEARCH("NON ",E24)))</formula>
    </cfRule>
    <cfRule type="containsText" dxfId="68" priority="2" operator="containsText" text="VERIFICA">
      <formula>NOT(ISERROR(SEARCH("VERIFICA",E24)))</formula>
    </cfRule>
    <cfRule type="containsText" dxfId="67" priority="3" operator="containsText" text="N">
      <formula>NOT(ISERROR(SEARCH("N",E24)))</formula>
    </cfRule>
    <cfRule type="containsText" dxfId="66" priority="4" operator="containsText" text="NON VERIFICA ">
      <formula>NOT(ISERROR(SEARCH("NON VERIFICA ",E24)))</formula>
    </cfRule>
    <cfRule type="cellIs" dxfId="65" priority="5" operator="equal">
      <formula>"NON VERIFICA"</formula>
    </cfRule>
    <cfRule type="cellIs" dxfId="64" priority="6" operator="equal">
      <formula>"NON VERIFICA"</formula>
    </cfRule>
    <cfRule type="cellIs" dxfId="63" priority="7" operator="equal">
      <formula>"VERIFICA"</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77"/>
  <sheetViews>
    <sheetView workbookViewId="0">
      <selection activeCell="G9" sqref="G9"/>
    </sheetView>
  </sheetViews>
  <sheetFormatPr defaultRowHeight="15" x14ac:dyDescent="0.25"/>
  <cols>
    <col min="1" max="1" width="13.5703125" style="59" customWidth="1"/>
    <col min="2" max="2" width="21" style="59" customWidth="1"/>
    <col min="3" max="3" width="15.140625" style="59" customWidth="1"/>
    <col min="4" max="4" width="20.140625" style="59" customWidth="1"/>
  </cols>
  <sheetData>
    <row r="1" spans="1:15" x14ac:dyDescent="0.25">
      <c r="A1" s="132" t="s">
        <v>448</v>
      </c>
      <c r="B1" s="132"/>
      <c r="C1" s="132"/>
      <c r="D1" s="132"/>
      <c r="H1" t="s">
        <v>486</v>
      </c>
    </row>
    <row r="2" spans="1:15" x14ac:dyDescent="0.25">
      <c r="A2" s="132" t="s">
        <v>423</v>
      </c>
      <c r="B2" s="132"/>
      <c r="C2" s="132" t="s">
        <v>485</v>
      </c>
      <c r="D2" s="132"/>
      <c r="H2" t="s">
        <v>487</v>
      </c>
      <c r="I2" t="s">
        <v>488</v>
      </c>
      <c r="L2" s="80" t="s">
        <v>489</v>
      </c>
      <c r="M2" t="s">
        <v>490</v>
      </c>
      <c r="N2" s="82" t="s">
        <v>491</v>
      </c>
      <c r="O2" s="71" t="s">
        <v>43</v>
      </c>
    </row>
    <row r="3" spans="1:15" x14ac:dyDescent="0.25">
      <c r="A3" s="59" t="s">
        <v>422</v>
      </c>
      <c r="B3" s="59" t="s">
        <v>421</v>
      </c>
      <c r="C3" s="59" t="s">
        <v>422</v>
      </c>
      <c r="D3" s="59" t="s">
        <v>421</v>
      </c>
      <c r="H3">
        <v>13572.9</v>
      </c>
      <c r="I3">
        <v>0</v>
      </c>
      <c r="L3">
        <f>MAX(A4:A77)</f>
        <v>25945.7</v>
      </c>
      <c r="M3">
        <v>1000</v>
      </c>
      <c r="N3" s="10">
        <f>M3/$L$3</f>
        <v>3.854203201301179E-2</v>
      </c>
    </row>
    <row r="4" spans="1:15" x14ac:dyDescent="0.25">
      <c r="A4">
        <v>-13070.3</v>
      </c>
      <c r="B4">
        <v>4191</v>
      </c>
      <c r="C4" s="59">
        <v>-10341.6</v>
      </c>
      <c r="D4" s="59">
        <v>7394.24</v>
      </c>
      <c r="H4">
        <v>13071.7</v>
      </c>
      <c r="I4">
        <v>-5482.34</v>
      </c>
    </row>
    <row r="5" spans="1:15" x14ac:dyDescent="0.25">
      <c r="A5">
        <v>-13070.3</v>
      </c>
      <c r="B5">
        <v>4191</v>
      </c>
      <c r="C5" s="59">
        <v>-10341.6</v>
      </c>
      <c r="D5" s="59">
        <v>7394.24</v>
      </c>
      <c r="H5">
        <v>12647.6</v>
      </c>
      <c r="I5">
        <v>-6478.65</v>
      </c>
    </row>
    <row r="6" spans="1:15" x14ac:dyDescent="0.25">
      <c r="A6">
        <v>-13070.3</v>
      </c>
      <c r="B6">
        <v>4191</v>
      </c>
      <c r="C6" s="59">
        <v>-10341.6</v>
      </c>
      <c r="D6" s="59">
        <v>7394.24</v>
      </c>
      <c r="H6">
        <v>12151.5</v>
      </c>
      <c r="I6">
        <v>-6976.51</v>
      </c>
    </row>
    <row r="7" spans="1:15" x14ac:dyDescent="0.25">
      <c r="A7">
        <v>-13070.3</v>
      </c>
      <c r="B7">
        <v>4191</v>
      </c>
      <c r="C7" s="59">
        <v>-10341.6</v>
      </c>
      <c r="D7" s="59">
        <v>7394.24</v>
      </c>
      <c r="H7">
        <v>11374.2</v>
      </c>
      <c r="I7">
        <v>-7557.26</v>
      </c>
    </row>
    <row r="8" spans="1:15" x14ac:dyDescent="0.25">
      <c r="A8">
        <v>-12331.4</v>
      </c>
      <c r="B8">
        <v>4739.62</v>
      </c>
      <c r="C8" s="59">
        <v>-10341.6</v>
      </c>
      <c r="D8" s="59">
        <v>7394.24</v>
      </c>
      <c r="H8">
        <v>10090.799999999999</v>
      </c>
      <c r="I8">
        <v>-8045.09</v>
      </c>
    </row>
    <row r="9" spans="1:15" x14ac:dyDescent="0.25">
      <c r="A9">
        <v>-10660.3</v>
      </c>
      <c r="B9">
        <v>5980.4</v>
      </c>
      <c r="C9" s="59">
        <v>-10341.6</v>
      </c>
      <c r="D9" s="59">
        <v>7394.24</v>
      </c>
      <c r="H9">
        <v>8837.84</v>
      </c>
      <c r="I9">
        <v>-7802.48</v>
      </c>
    </row>
    <row r="10" spans="1:15" x14ac:dyDescent="0.25">
      <c r="A10">
        <v>-8835</v>
      </c>
      <c r="B10">
        <v>7335.7</v>
      </c>
      <c r="C10" s="59">
        <v>-10341.6</v>
      </c>
      <c r="D10" s="59">
        <v>7394.24</v>
      </c>
      <c r="H10">
        <v>7407.35</v>
      </c>
      <c r="I10">
        <v>-7910.26</v>
      </c>
    </row>
    <row r="11" spans="1:15" x14ac:dyDescent="0.25">
      <c r="A11">
        <v>-6430.83</v>
      </c>
      <c r="B11">
        <v>9084.9</v>
      </c>
      <c r="C11" s="59">
        <v>-10139.4</v>
      </c>
      <c r="D11" s="59">
        <v>7559.4</v>
      </c>
      <c r="H11">
        <v>3181.19</v>
      </c>
      <c r="I11">
        <v>-7287.66</v>
      </c>
    </row>
    <row r="12" spans="1:15" x14ac:dyDescent="0.25">
      <c r="A12">
        <v>-2000.48</v>
      </c>
      <c r="B12">
        <v>12329.7</v>
      </c>
      <c r="C12" s="59">
        <v>-9632.11</v>
      </c>
      <c r="D12" s="59">
        <v>7971.88</v>
      </c>
      <c r="H12">
        <v>84.785600000000002</v>
      </c>
      <c r="I12">
        <v>-4693.29</v>
      </c>
    </row>
    <row r="13" spans="1:15" x14ac:dyDescent="0.25">
      <c r="A13">
        <v>7673.44</v>
      </c>
      <c r="B13">
        <v>17978.599999999999</v>
      </c>
      <c r="C13" s="59">
        <v>-8952.6299999999992</v>
      </c>
      <c r="D13" s="59">
        <v>8519</v>
      </c>
      <c r="H13">
        <v>-2079.4</v>
      </c>
      <c r="I13">
        <v>-2035.91</v>
      </c>
    </row>
    <row r="14" spans="1:15" x14ac:dyDescent="0.25">
      <c r="A14">
        <v>9651.23</v>
      </c>
      <c r="B14">
        <v>18965.3</v>
      </c>
      <c r="C14" s="59">
        <v>-8229.67</v>
      </c>
      <c r="D14" s="59">
        <v>9093.26</v>
      </c>
      <c r="H14">
        <v>-2983.98</v>
      </c>
      <c r="I14">
        <v>-648.221</v>
      </c>
    </row>
    <row r="15" spans="1:15" x14ac:dyDescent="0.25">
      <c r="A15">
        <v>11210.3</v>
      </c>
      <c r="B15">
        <v>19577.099999999999</v>
      </c>
      <c r="C15" s="59">
        <v>-7523.85</v>
      </c>
      <c r="D15" s="59">
        <v>9644.76</v>
      </c>
      <c r="H15">
        <v>-3245.15</v>
      </c>
      <c r="I15" s="81">
        <v>-1.5006699999999999E-12</v>
      </c>
    </row>
    <row r="16" spans="1:15" x14ac:dyDescent="0.25">
      <c r="A16">
        <v>13671.2</v>
      </c>
      <c r="B16">
        <v>19852.5</v>
      </c>
      <c r="C16" s="59">
        <v>-6833.62</v>
      </c>
      <c r="D16" s="59">
        <v>10175.700000000001</v>
      </c>
      <c r="H16">
        <v>-2983.98</v>
      </c>
      <c r="I16">
        <v>648.221</v>
      </c>
    </row>
    <row r="17" spans="1:9" x14ac:dyDescent="0.25">
      <c r="A17">
        <v>14679.7</v>
      </c>
      <c r="B17">
        <v>19789.5</v>
      </c>
      <c r="C17" s="59">
        <v>-6292.16</v>
      </c>
      <c r="D17" s="59">
        <v>10585.5</v>
      </c>
      <c r="H17">
        <v>-2079.4</v>
      </c>
      <c r="I17">
        <v>2035.91</v>
      </c>
    </row>
    <row r="18" spans="1:9" x14ac:dyDescent="0.25">
      <c r="A18">
        <v>16559.7</v>
      </c>
      <c r="B18">
        <v>19133.7</v>
      </c>
      <c r="C18" s="59">
        <v>-5557.14</v>
      </c>
      <c r="D18" s="59">
        <v>11132.9</v>
      </c>
      <c r="H18">
        <v>84.785600000000002</v>
      </c>
      <c r="I18">
        <v>4693.29</v>
      </c>
    </row>
    <row r="19" spans="1:9" x14ac:dyDescent="0.25">
      <c r="A19">
        <v>19667.3</v>
      </c>
      <c r="B19">
        <v>17515</v>
      </c>
      <c r="C19" s="59">
        <v>-4483.51</v>
      </c>
      <c r="D19" s="59">
        <v>11915</v>
      </c>
      <c r="H19">
        <v>3181.19</v>
      </c>
      <c r="I19">
        <v>7287.66</v>
      </c>
    </row>
    <row r="20" spans="1:9" x14ac:dyDescent="0.25">
      <c r="A20">
        <v>22720.1</v>
      </c>
      <c r="B20">
        <v>15444.1</v>
      </c>
      <c r="C20" s="59">
        <v>-2784.21</v>
      </c>
      <c r="D20" s="59">
        <v>13110.3</v>
      </c>
      <c r="H20">
        <v>7407.35</v>
      </c>
      <c r="I20">
        <v>7910.26</v>
      </c>
    </row>
    <row r="21" spans="1:9" x14ac:dyDescent="0.25">
      <c r="A21">
        <v>24812.9</v>
      </c>
      <c r="B21">
        <v>14010.7</v>
      </c>
      <c r="C21" s="59">
        <v>314.26100000000002</v>
      </c>
      <c r="D21" s="59">
        <v>15154.9</v>
      </c>
      <c r="H21">
        <v>8837.84</v>
      </c>
      <c r="I21">
        <v>7802.48</v>
      </c>
    </row>
    <row r="22" spans="1:9" x14ac:dyDescent="0.25">
      <c r="A22">
        <v>25945.7</v>
      </c>
      <c r="B22">
        <v>13214.8</v>
      </c>
      <c r="C22" s="59">
        <v>5686.74</v>
      </c>
      <c r="D22" s="59">
        <v>18278.3</v>
      </c>
      <c r="H22">
        <v>10090.799999999999</v>
      </c>
      <c r="I22">
        <v>8045.09</v>
      </c>
    </row>
    <row r="23" spans="1:9" x14ac:dyDescent="0.25">
      <c r="A23">
        <v>25945.7</v>
      </c>
      <c r="B23">
        <v>13214.8</v>
      </c>
      <c r="C23" s="59">
        <v>6535.57</v>
      </c>
      <c r="D23" s="59">
        <v>18703</v>
      </c>
      <c r="H23">
        <v>11374.2</v>
      </c>
      <c r="I23">
        <v>7557.26</v>
      </c>
    </row>
    <row r="24" spans="1:9" x14ac:dyDescent="0.25">
      <c r="A24">
        <v>24422.6</v>
      </c>
      <c r="B24">
        <v>11597.4</v>
      </c>
      <c r="C24" s="59">
        <v>7355.36</v>
      </c>
      <c r="D24" s="59">
        <v>19084.400000000001</v>
      </c>
      <c r="H24">
        <v>12151.5</v>
      </c>
      <c r="I24">
        <v>6976.51</v>
      </c>
    </row>
    <row r="25" spans="1:9" x14ac:dyDescent="0.25">
      <c r="A25">
        <v>19799.400000000001</v>
      </c>
      <c r="B25">
        <v>7944.65</v>
      </c>
      <c r="C25" s="59">
        <v>8108.37</v>
      </c>
      <c r="D25" s="59">
        <v>19402.5</v>
      </c>
      <c r="H25">
        <v>12647.6</v>
      </c>
      <c r="I25">
        <v>6478.65</v>
      </c>
    </row>
    <row r="26" spans="1:9" x14ac:dyDescent="0.25">
      <c r="A26">
        <v>12105.7</v>
      </c>
      <c r="B26">
        <v>2277.19</v>
      </c>
      <c r="C26" s="59">
        <v>8823.06</v>
      </c>
      <c r="D26" s="59">
        <v>19657.5</v>
      </c>
      <c r="H26">
        <v>13071.7</v>
      </c>
      <c r="I26">
        <v>5482.34</v>
      </c>
    </row>
    <row r="27" spans="1:9" x14ac:dyDescent="0.25">
      <c r="A27">
        <v>4102.2700000000004</v>
      </c>
      <c r="B27">
        <v>-2128.13</v>
      </c>
      <c r="C27" s="59">
        <v>9605.84</v>
      </c>
      <c r="D27" s="59">
        <v>19852.5</v>
      </c>
      <c r="H27">
        <v>13572.9</v>
      </c>
      <c r="I27" s="81">
        <v>1.70914E-11</v>
      </c>
    </row>
    <row r="28" spans="1:9" x14ac:dyDescent="0.25">
      <c r="A28">
        <v>1839.82</v>
      </c>
      <c r="B28">
        <v>-2865.59</v>
      </c>
      <c r="C28" s="59">
        <v>11034.3</v>
      </c>
      <c r="D28" s="59">
        <v>19676.900000000001</v>
      </c>
    </row>
    <row r="29" spans="1:9" x14ac:dyDescent="0.25">
      <c r="A29">
        <v>288.67500000000001</v>
      </c>
      <c r="B29">
        <v>-3239.9</v>
      </c>
      <c r="C29" s="59">
        <v>11806</v>
      </c>
      <c r="D29" s="59">
        <v>19377.400000000001</v>
      </c>
    </row>
    <row r="30" spans="1:9" x14ac:dyDescent="0.25">
      <c r="A30">
        <v>-2202.16</v>
      </c>
      <c r="B30">
        <v>-2817.09</v>
      </c>
      <c r="C30" s="59">
        <v>12633.7</v>
      </c>
      <c r="D30" s="59">
        <v>19049.3</v>
      </c>
    </row>
    <row r="31" spans="1:9" x14ac:dyDescent="0.25">
      <c r="A31">
        <v>-3609.55</v>
      </c>
      <c r="B31">
        <v>-2341.52</v>
      </c>
      <c r="C31" s="59">
        <v>13532.4</v>
      </c>
      <c r="D31" s="59">
        <v>18678.3</v>
      </c>
    </row>
    <row r="32" spans="1:9" x14ac:dyDescent="0.25">
      <c r="A32">
        <v>-4361.5200000000004</v>
      </c>
      <c r="B32">
        <v>-1946.15</v>
      </c>
      <c r="C32" s="59">
        <v>14522.2</v>
      </c>
      <c r="D32" s="59">
        <v>18241.8</v>
      </c>
    </row>
    <row r="33" spans="1:4" x14ac:dyDescent="0.25">
      <c r="A33">
        <v>-7130.9</v>
      </c>
      <c r="B33">
        <v>-155.00700000000001</v>
      </c>
      <c r="C33" s="59">
        <v>15680.5</v>
      </c>
      <c r="D33" s="59">
        <v>17672.2</v>
      </c>
    </row>
    <row r="34" spans="1:4" x14ac:dyDescent="0.25">
      <c r="A34">
        <v>-9902.57</v>
      </c>
      <c r="B34">
        <v>1863.32</v>
      </c>
      <c r="C34" s="59">
        <v>17626.599999999999</v>
      </c>
      <c r="D34" s="59">
        <v>16503.3</v>
      </c>
    </row>
    <row r="35" spans="1:4" x14ac:dyDescent="0.25">
      <c r="A35">
        <v>-11402.3</v>
      </c>
      <c r="B35">
        <v>2952.49</v>
      </c>
      <c r="C35" s="59">
        <v>19392.2</v>
      </c>
      <c r="D35" s="59">
        <v>15309.7</v>
      </c>
    </row>
    <row r="36" spans="1:4" x14ac:dyDescent="0.25">
      <c r="A36">
        <v>-12121.1</v>
      </c>
      <c r="B36">
        <v>3486.26</v>
      </c>
      <c r="C36" s="59">
        <v>20896.3</v>
      </c>
      <c r="D36" s="59">
        <v>14290.5</v>
      </c>
    </row>
    <row r="37" spans="1:4" x14ac:dyDescent="0.25">
      <c r="A37">
        <v>-12779.3</v>
      </c>
      <c r="B37">
        <v>3974.93</v>
      </c>
      <c r="C37" s="59">
        <v>22139</v>
      </c>
      <c r="D37" s="59">
        <v>13445.7</v>
      </c>
    </row>
    <row r="38" spans="1:4" x14ac:dyDescent="0.25">
      <c r="A38">
        <v>-13070.3</v>
      </c>
      <c r="B38">
        <v>4191</v>
      </c>
      <c r="C38" s="59">
        <v>23120.1</v>
      </c>
      <c r="D38" s="59">
        <v>12775.5</v>
      </c>
    </row>
    <row r="39" spans="1:4" x14ac:dyDescent="0.25">
      <c r="A39">
        <v>-13070.3</v>
      </c>
      <c r="B39">
        <v>4191</v>
      </c>
      <c r="C39" s="59">
        <v>23839.8</v>
      </c>
      <c r="D39" s="59">
        <v>12279.7</v>
      </c>
    </row>
    <row r="40" spans="1:4" x14ac:dyDescent="0.25">
      <c r="A40">
        <v>-13070.3</v>
      </c>
      <c r="B40">
        <v>4191</v>
      </c>
      <c r="C40" s="59">
        <v>24297.9</v>
      </c>
      <c r="D40" s="59">
        <v>11958.3</v>
      </c>
    </row>
    <row r="41" spans="1:4" x14ac:dyDescent="0.25">
      <c r="A41">
        <v>-13070.3</v>
      </c>
      <c r="B41">
        <v>4191</v>
      </c>
      <c r="C41" s="59">
        <v>24297.9</v>
      </c>
      <c r="D41" s="59">
        <v>11958.3</v>
      </c>
    </row>
    <row r="42" spans="1:4" x14ac:dyDescent="0.25">
      <c r="C42" s="59">
        <v>24172.9</v>
      </c>
      <c r="D42" s="59">
        <v>11549.2</v>
      </c>
    </row>
    <row r="43" spans="1:4" x14ac:dyDescent="0.25">
      <c r="C43" s="59">
        <v>23328.400000000001</v>
      </c>
      <c r="D43" s="59">
        <v>10657.4</v>
      </c>
    </row>
    <row r="44" spans="1:4" x14ac:dyDescent="0.25">
      <c r="C44" s="59">
        <v>21764.400000000001</v>
      </c>
      <c r="D44" s="59">
        <v>9282.98</v>
      </c>
    </row>
    <row r="45" spans="1:4" x14ac:dyDescent="0.25">
      <c r="C45" s="59">
        <v>19481</v>
      </c>
      <c r="D45" s="59">
        <v>7425.97</v>
      </c>
    </row>
    <row r="46" spans="1:4" x14ac:dyDescent="0.25">
      <c r="C46" s="59">
        <v>16478</v>
      </c>
      <c r="D46" s="59">
        <v>5086.34</v>
      </c>
    </row>
    <row r="47" spans="1:4" x14ac:dyDescent="0.25">
      <c r="C47" s="59">
        <v>12755.5</v>
      </c>
      <c r="D47" s="59">
        <v>2264.09</v>
      </c>
    </row>
    <row r="48" spans="1:4" x14ac:dyDescent="0.25">
      <c r="C48" s="59">
        <v>8478.8700000000008</v>
      </c>
      <c r="D48" s="59">
        <v>-267.65300000000002</v>
      </c>
    </row>
    <row r="49" spans="3:4" x14ac:dyDescent="0.25">
      <c r="C49" s="59">
        <v>6503.09</v>
      </c>
      <c r="D49" s="59">
        <v>-1156.49</v>
      </c>
    </row>
    <row r="50" spans="3:4" x14ac:dyDescent="0.25">
      <c r="C50" s="59">
        <v>5609.66</v>
      </c>
      <c r="D50" s="59">
        <v>-1403.86</v>
      </c>
    </row>
    <row r="51" spans="3:4" x14ac:dyDescent="0.25">
      <c r="C51" s="59">
        <v>5058.1000000000004</v>
      </c>
      <c r="D51" s="59">
        <v>-1474.86</v>
      </c>
    </row>
    <row r="52" spans="3:4" x14ac:dyDescent="0.25">
      <c r="C52" s="59">
        <v>4608.8999999999996</v>
      </c>
      <c r="D52" s="59">
        <v>-1491.69</v>
      </c>
    </row>
    <row r="53" spans="3:4" x14ac:dyDescent="0.25">
      <c r="C53" s="59">
        <v>4215.46</v>
      </c>
      <c r="D53" s="59">
        <v>-1480.42</v>
      </c>
    </row>
    <row r="54" spans="3:4" x14ac:dyDescent="0.25">
      <c r="C54" s="59">
        <v>3084.47</v>
      </c>
      <c r="D54" s="59">
        <v>-1314.85</v>
      </c>
    </row>
    <row r="55" spans="3:4" x14ac:dyDescent="0.25">
      <c r="C55" s="59">
        <v>2293.37</v>
      </c>
      <c r="D55" s="59">
        <v>-1084.8499999999999</v>
      </c>
    </row>
    <row r="56" spans="3:4" x14ac:dyDescent="0.25">
      <c r="C56" s="59">
        <v>1696.72</v>
      </c>
      <c r="D56" s="59">
        <v>-852.35199999999998</v>
      </c>
    </row>
    <row r="57" spans="3:4" x14ac:dyDescent="0.25">
      <c r="C57" s="59">
        <v>1220.8699999999999</v>
      </c>
      <c r="D57" s="59">
        <v>-632.84400000000005</v>
      </c>
    </row>
    <row r="58" spans="3:4" x14ac:dyDescent="0.25">
      <c r="C58" s="59">
        <v>823.34699999999998</v>
      </c>
      <c r="D58" s="59">
        <v>-428.09</v>
      </c>
    </row>
    <row r="59" spans="3:4" x14ac:dyDescent="0.25">
      <c r="C59" s="59">
        <v>475.63900000000001</v>
      </c>
      <c r="D59" s="59">
        <v>-234.52500000000001</v>
      </c>
    </row>
    <row r="60" spans="3:4" x14ac:dyDescent="0.25">
      <c r="C60" s="59">
        <v>-1598.15</v>
      </c>
      <c r="D60" s="59">
        <v>1083.1099999999999</v>
      </c>
    </row>
    <row r="61" spans="3:4" x14ac:dyDescent="0.25">
      <c r="C61" s="59">
        <v>-3531.94</v>
      </c>
      <c r="D61" s="59">
        <v>2404.3200000000002</v>
      </c>
    </row>
    <row r="62" spans="3:4" x14ac:dyDescent="0.25">
      <c r="C62" s="59">
        <v>-4968.0200000000004</v>
      </c>
      <c r="D62" s="59">
        <v>3423.15</v>
      </c>
    </row>
    <row r="63" spans="3:4" x14ac:dyDescent="0.25">
      <c r="C63" s="59">
        <v>-6151.54</v>
      </c>
      <c r="D63" s="59">
        <v>4275.0600000000004</v>
      </c>
    </row>
    <row r="64" spans="3:4" x14ac:dyDescent="0.25">
      <c r="C64" s="59">
        <v>-7199.71</v>
      </c>
      <c r="D64" s="59">
        <v>5033.1000000000004</v>
      </c>
    </row>
    <row r="65" spans="3:4" x14ac:dyDescent="0.25">
      <c r="C65" s="59">
        <v>-8170.93</v>
      </c>
      <c r="D65" s="59">
        <v>5736.39</v>
      </c>
    </row>
    <row r="66" spans="3:4" x14ac:dyDescent="0.25">
      <c r="C66" s="59">
        <v>-9042.91</v>
      </c>
      <c r="D66" s="59">
        <v>6374.47</v>
      </c>
    </row>
    <row r="67" spans="3:4" x14ac:dyDescent="0.25">
      <c r="C67" s="59">
        <v>-9525.4500000000007</v>
      </c>
      <c r="D67" s="59">
        <v>6737.7</v>
      </c>
    </row>
    <row r="68" spans="3:4" x14ac:dyDescent="0.25">
      <c r="C68" s="59">
        <v>-9805.7099999999991</v>
      </c>
      <c r="D68" s="59">
        <v>6960.31</v>
      </c>
    </row>
    <row r="69" spans="3:4" x14ac:dyDescent="0.25">
      <c r="C69" s="59">
        <v>-10068.200000000001</v>
      </c>
      <c r="D69" s="59">
        <v>7171.69</v>
      </c>
    </row>
    <row r="70" spans="3:4" x14ac:dyDescent="0.25">
      <c r="C70" s="59">
        <v>-10263.799999999999</v>
      </c>
      <c r="D70" s="59">
        <v>7330.66</v>
      </c>
    </row>
    <row r="71" spans="3:4" x14ac:dyDescent="0.25">
      <c r="C71" s="59">
        <v>-10341.6</v>
      </c>
      <c r="D71" s="59">
        <v>7394.24</v>
      </c>
    </row>
    <row r="72" spans="3:4" x14ac:dyDescent="0.25">
      <c r="C72" s="59">
        <v>-10341.6</v>
      </c>
      <c r="D72" s="59">
        <v>7394.24</v>
      </c>
    </row>
    <row r="73" spans="3:4" x14ac:dyDescent="0.25">
      <c r="C73" s="59">
        <v>-10341.6</v>
      </c>
      <c r="D73" s="59">
        <v>7394.24</v>
      </c>
    </row>
    <row r="74" spans="3:4" x14ac:dyDescent="0.25">
      <c r="C74" s="59">
        <v>-10341.6</v>
      </c>
      <c r="D74" s="59">
        <v>7394.24</v>
      </c>
    </row>
    <row r="75" spans="3:4" x14ac:dyDescent="0.25">
      <c r="C75" s="59">
        <v>-10341.6</v>
      </c>
      <c r="D75" s="59">
        <v>7394.24</v>
      </c>
    </row>
    <row r="76" spans="3:4" x14ac:dyDescent="0.25">
      <c r="C76" s="59">
        <v>-10341.6</v>
      </c>
      <c r="D76" s="59">
        <v>7394.24</v>
      </c>
    </row>
    <row r="77" spans="3:4" x14ac:dyDescent="0.25">
      <c r="C77" s="59">
        <v>-10341.6</v>
      </c>
      <c r="D77" s="59">
        <v>7394.24</v>
      </c>
    </row>
  </sheetData>
  <mergeCells count="3">
    <mergeCell ref="A2:B2"/>
    <mergeCell ref="C2:D2"/>
    <mergeCell ref="A1:D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117"/>
  <sheetViews>
    <sheetView showGridLines="0" topLeftCell="S1" zoomScale="70" zoomScaleNormal="70" workbookViewId="0">
      <selection activeCell="AI1" sqref="AI1:AK22"/>
    </sheetView>
  </sheetViews>
  <sheetFormatPr defaultRowHeight="15" x14ac:dyDescent="0.25"/>
  <cols>
    <col min="2" max="2" width="11.7109375" customWidth="1"/>
    <col min="3" max="3" width="12.28515625" customWidth="1"/>
    <col min="13" max="13" width="12.85546875" customWidth="1"/>
    <col min="14" max="14" width="12.42578125" customWidth="1"/>
    <col min="19" max="19" width="15.28515625" customWidth="1"/>
    <col min="20" max="20" width="11.7109375" customWidth="1"/>
    <col min="28" max="28" width="13" customWidth="1"/>
    <col min="29" max="29" width="15.85546875" customWidth="1"/>
    <col min="30" max="30" width="10.5703125" customWidth="1"/>
    <col min="34" max="34" width="21.7109375" customWidth="1"/>
    <col min="35" max="35" width="15.28515625" customWidth="1"/>
    <col min="36" max="36" width="14.85546875" bestFit="1" customWidth="1"/>
    <col min="37" max="37" width="12.140625" customWidth="1"/>
  </cols>
  <sheetData>
    <row r="1" spans="1:42" x14ac:dyDescent="0.25">
      <c r="B1" s="118" t="s">
        <v>424</v>
      </c>
      <c r="C1" s="120"/>
      <c r="L1" s="144" t="s">
        <v>426</v>
      </c>
      <c r="M1" s="144"/>
      <c r="N1" s="144"/>
      <c r="S1" s="144" t="s">
        <v>492</v>
      </c>
      <c r="T1" s="144"/>
      <c r="U1" s="144"/>
      <c r="AI1" s="154" t="s">
        <v>551</v>
      </c>
      <c r="AJ1" s="154"/>
      <c r="AK1" s="154"/>
    </row>
    <row r="2" spans="1:42" x14ac:dyDescent="0.25">
      <c r="A2" s="79" t="s">
        <v>36</v>
      </c>
      <c r="B2" s="79" t="s">
        <v>425</v>
      </c>
      <c r="C2" s="79" t="s">
        <v>348</v>
      </c>
      <c r="AI2" s="154"/>
      <c r="AJ2" s="154"/>
      <c r="AK2" s="154"/>
    </row>
    <row r="3" spans="1:42" x14ac:dyDescent="0.25">
      <c r="A3" s="80" t="s">
        <v>2</v>
      </c>
      <c r="B3" s="79" t="s">
        <v>6</v>
      </c>
      <c r="C3" s="79" t="s">
        <v>3</v>
      </c>
      <c r="L3" s="151" t="s">
        <v>424</v>
      </c>
      <c r="M3" s="152"/>
      <c r="N3" s="152"/>
      <c r="P3" s="68"/>
      <c r="Q3" s="80"/>
      <c r="R3" s="80"/>
      <c r="S3" s="144" t="s">
        <v>424</v>
      </c>
      <c r="T3" s="144"/>
      <c r="U3" s="144"/>
      <c r="X3" s="80"/>
      <c r="Y3" s="80"/>
      <c r="AI3" s="79" t="s">
        <v>493</v>
      </c>
      <c r="AJ3" s="79">
        <v>2500</v>
      </c>
      <c r="AK3" s="79" t="s">
        <v>5</v>
      </c>
    </row>
    <row r="4" spans="1:42" ht="18.75" thickBot="1" x14ac:dyDescent="0.4">
      <c r="A4">
        <v>7.2115400000000003</v>
      </c>
      <c r="B4" s="79">
        <v>-570.43399999999997</v>
      </c>
      <c r="C4" s="80">
        <v>6636.4178000000002</v>
      </c>
      <c r="L4" s="60" t="s">
        <v>441</v>
      </c>
      <c r="M4" s="60">
        <v>1480</v>
      </c>
      <c r="N4" s="60" t="s">
        <v>6</v>
      </c>
      <c r="P4" s="68"/>
      <c r="Q4" s="80"/>
      <c r="R4" s="80"/>
      <c r="S4" s="79" t="s">
        <v>494</v>
      </c>
      <c r="T4" s="79">
        <v>500</v>
      </c>
      <c r="U4" s="79" t="s">
        <v>3</v>
      </c>
      <c r="X4" s="80"/>
      <c r="Y4" s="80"/>
      <c r="AI4" s="79" t="s">
        <v>495</v>
      </c>
      <c r="AJ4" s="79">
        <v>900</v>
      </c>
      <c r="AK4" s="79" t="s">
        <v>5</v>
      </c>
    </row>
    <row r="5" spans="1:42" ht="18" x14ac:dyDescent="0.35">
      <c r="A5">
        <v>7.2115400000000003</v>
      </c>
      <c r="B5" s="79">
        <v>-523.25099999999998</v>
      </c>
      <c r="C5" s="80">
        <v>6656.3248000000003</v>
      </c>
      <c r="L5" s="60" t="s">
        <v>442</v>
      </c>
      <c r="M5" s="60">
        <f>M4/2</f>
        <v>740</v>
      </c>
      <c r="N5" s="60" t="s">
        <v>6</v>
      </c>
      <c r="O5" s="80"/>
      <c r="P5" s="68"/>
      <c r="Q5" s="80"/>
      <c r="S5" s="80"/>
      <c r="T5" s="68"/>
      <c r="AB5" s="155" t="s">
        <v>496</v>
      </c>
      <c r="AC5" s="156"/>
      <c r="AD5" s="157"/>
      <c r="AI5" s="79" t="s">
        <v>497</v>
      </c>
      <c r="AJ5" s="79">
        <f>'Caratteristiche trave V140'!B45 - 'Caratteristiche trave V140'!B31*1000/2</f>
        <v>206</v>
      </c>
      <c r="AK5" s="79" t="s">
        <v>5</v>
      </c>
    </row>
    <row r="6" spans="1:42" ht="15.75" thickBot="1" x14ac:dyDescent="0.3">
      <c r="A6">
        <v>8.1730800000000006</v>
      </c>
      <c r="B6" s="79">
        <v>-523.58500000000004</v>
      </c>
      <c r="C6" s="80">
        <v>7010.6535000000003</v>
      </c>
      <c r="P6" s="68"/>
      <c r="Q6" s="80"/>
      <c r="R6" s="20"/>
      <c r="S6" s="161" t="s">
        <v>498</v>
      </c>
      <c r="T6" s="161"/>
      <c r="U6" s="161"/>
      <c r="X6" s="80"/>
      <c r="Y6" s="80"/>
      <c r="AB6" s="158"/>
      <c r="AC6" s="159"/>
      <c r="AD6" s="160"/>
      <c r="AI6" s="79" t="s">
        <v>499</v>
      </c>
      <c r="AJ6" s="79">
        <f>'Caratteristiche trave V140'!B45 -AC8/2</f>
        <v>181</v>
      </c>
      <c r="AK6" s="79" t="s">
        <v>5</v>
      </c>
    </row>
    <row r="7" spans="1:42" ht="21" customHeight="1" x14ac:dyDescent="0.25">
      <c r="A7">
        <v>8.1730800000000006</v>
      </c>
      <c r="B7" s="79">
        <v>-481.50200000000001</v>
      </c>
      <c r="C7" s="80">
        <v>7027.4467999999997</v>
      </c>
      <c r="L7" s="118" t="s">
        <v>443</v>
      </c>
      <c r="M7" s="119"/>
      <c r="N7" s="120"/>
      <c r="P7" s="68"/>
      <c r="Q7" s="71"/>
      <c r="R7" s="69"/>
      <c r="S7" s="83" t="s">
        <v>500</v>
      </c>
      <c r="T7" s="84">
        <v>1515893</v>
      </c>
      <c r="U7" s="85" t="s">
        <v>7</v>
      </c>
      <c r="V7" t="s">
        <v>503</v>
      </c>
      <c r="X7" s="80"/>
      <c r="Y7" s="80"/>
      <c r="AB7" s="46" t="s">
        <v>501</v>
      </c>
      <c r="AC7" s="46">
        <f>'Caratteristiche trave V140'!B4</f>
        <v>1400</v>
      </c>
      <c r="AD7" s="46" t="s">
        <v>5</v>
      </c>
      <c r="AE7" t="s">
        <v>502</v>
      </c>
      <c r="AI7" s="162" t="s">
        <v>552</v>
      </c>
      <c r="AJ7" s="163"/>
      <c r="AK7" s="164"/>
    </row>
    <row r="8" spans="1:42" ht="17.25" customHeight="1" x14ac:dyDescent="0.35">
      <c r="A8">
        <v>9.13462</v>
      </c>
      <c r="B8" s="79">
        <v>-481.83600000000001</v>
      </c>
      <c r="C8" s="80">
        <v>7295.9943999999996</v>
      </c>
      <c r="L8" s="11" t="s">
        <v>435</v>
      </c>
      <c r="M8" s="11">
        <v>240</v>
      </c>
      <c r="N8" s="58" t="s">
        <v>5</v>
      </c>
      <c r="P8" s="68"/>
      <c r="Q8" s="71"/>
      <c r="R8" s="70"/>
      <c r="S8" s="86" t="s">
        <v>253</v>
      </c>
      <c r="T8" s="87">
        <v>5012</v>
      </c>
      <c r="U8" s="88" t="s">
        <v>5</v>
      </c>
      <c r="V8" t="s">
        <v>506</v>
      </c>
      <c r="X8" s="80"/>
      <c r="Y8" s="80"/>
      <c r="AB8" s="79" t="s">
        <v>504</v>
      </c>
      <c r="AC8" s="79">
        <v>300</v>
      </c>
      <c r="AD8" s="79" t="s">
        <v>5</v>
      </c>
      <c r="AE8" t="s">
        <v>505</v>
      </c>
      <c r="AI8" s="136" t="s">
        <v>525</v>
      </c>
      <c r="AJ8" s="136"/>
      <c r="AK8" s="136"/>
    </row>
    <row r="9" spans="1:42" x14ac:dyDescent="0.25">
      <c r="A9">
        <v>9.13462</v>
      </c>
      <c r="B9" s="79">
        <v>-447.084</v>
      </c>
      <c r="C9" s="80">
        <v>7308.7129000000004</v>
      </c>
      <c r="L9" s="11" t="s">
        <v>427</v>
      </c>
      <c r="M9" s="11">
        <v>1400</v>
      </c>
      <c r="N9" s="58" t="s">
        <v>5</v>
      </c>
      <c r="P9" s="68"/>
      <c r="Q9" s="80"/>
      <c r="R9" s="2"/>
      <c r="S9" s="89" t="s">
        <v>28</v>
      </c>
      <c r="T9" s="90">
        <f>T7/T8</f>
        <v>302.45271348762969</v>
      </c>
      <c r="U9" s="88" t="s">
        <v>5</v>
      </c>
      <c r="V9" t="s">
        <v>510</v>
      </c>
      <c r="X9" s="80"/>
      <c r="Y9" s="80"/>
      <c r="AB9" s="79" t="s">
        <v>507</v>
      </c>
      <c r="AC9" s="9">
        <f>T4*(AC7-AC8)/1000/(2*T7/1000^2)*T18</f>
        <v>208.17596328824959</v>
      </c>
      <c r="AD9" s="79" t="s">
        <v>6</v>
      </c>
      <c r="AE9" t="s">
        <v>508</v>
      </c>
      <c r="AI9" s="17" t="s">
        <v>509</v>
      </c>
      <c r="AJ9" s="92">
        <f>T10</f>
        <v>12</v>
      </c>
      <c r="AK9" s="79" t="s">
        <v>5</v>
      </c>
    </row>
    <row r="10" spans="1:42" ht="18" x14ac:dyDescent="0.25">
      <c r="A10">
        <v>10.09615</v>
      </c>
      <c r="B10" s="79">
        <v>-447.41899999999998</v>
      </c>
      <c r="C10" s="80">
        <v>7494.3082999999997</v>
      </c>
      <c r="L10" s="34" t="s">
        <v>159</v>
      </c>
      <c r="M10" s="11">
        <v>12</v>
      </c>
      <c r="N10" s="11" t="s">
        <v>5</v>
      </c>
      <c r="P10" s="68"/>
      <c r="R10" s="80"/>
      <c r="S10" s="91" t="s">
        <v>509</v>
      </c>
      <c r="T10" s="92">
        <v>12</v>
      </c>
      <c r="U10" s="88" t="s">
        <v>5</v>
      </c>
      <c r="X10" s="80"/>
      <c r="Y10" s="80"/>
      <c r="AB10" s="79" t="s">
        <v>511</v>
      </c>
      <c r="AC10" s="9">
        <f>AC9+M5</f>
        <v>948.17596328824959</v>
      </c>
      <c r="AD10" s="79" t="s">
        <v>6</v>
      </c>
      <c r="AE10" t="s">
        <v>512</v>
      </c>
      <c r="AI10" s="96" t="s">
        <v>518</v>
      </c>
      <c r="AJ10" s="12">
        <v>20</v>
      </c>
      <c r="AK10" s="12"/>
    </row>
    <row r="11" spans="1:42" ht="18" x14ac:dyDescent="0.25">
      <c r="A11">
        <v>10.09615</v>
      </c>
      <c r="B11" s="79">
        <v>-440.84</v>
      </c>
      <c r="C11" s="80">
        <v>7503.5946999999996</v>
      </c>
      <c r="L11" s="11" t="s">
        <v>428</v>
      </c>
      <c r="M11" s="11">
        <v>200</v>
      </c>
      <c r="N11" s="11" t="s">
        <v>5</v>
      </c>
      <c r="P11" s="68"/>
      <c r="R11" s="80"/>
      <c r="S11" s="93" t="s">
        <v>513</v>
      </c>
      <c r="T11" s="12">
        <f>18*2</f>
        <v>36</v>
      </c>
      <c r="U11" s="94"/>
      <c r="V11" t="s">
        <v>516</v>
      </c>
      <c r="X11" s="80"/>
      <c r="Y11" s="80"/>
      <c r="AB11" s="136" t="s">
        <v>514</v>
      </c>
      <c r="AC11" s="136"/>
      <c r="AD11" s="136"/>
      <c r="AI11" s="99" t="s">
        <v>519</v>
      </c>
      <c r="AJ11" s="98">
        <f>AJ10*AJ9^2/4*PI()</f>
        <v>2261.9467105846511</v>
      </c>
      <c r="AK11" s="12" t="s">
        <v>7</v>
      </c>
    </row>
    <row r="12" spans="1:42" ht="18" x14ac:dyDescent="0.25">
      <c r="A12">
        <v>11.057689999999999</v>
      </c>
      <c r="B12" s="79">
        <v>-441.17500000000001</v>
      </c>
      <c r="C12" s="80">
        <v>7607.4867000000004</v>
      </c>
      <c r="L12" s="17" t="s">
        <v>544</v>
      </c>
      <c r="M12" s="79">
        <v>2</v>
      </c>
      <c r="N12" s="22"/>
      <c r="R12" s="80"/>
      <c r="S12" s="93" t="s">
        <v>515</v>
      </c>
      <c r="T12" s="95">
        <v>30</v>
      </c>
      <c r="U12" s="94"/>
      <c r="V12" t="s">
        <v>520</v>
      </c>
      <c r="X12" s="80"/>
      <c r="Y12" s="80"/>
      <c r="AB12" s="117" t="s">
        <v>517</v>
      </c>
      <c r="AC12" s="12">
        <f>2*8</f>
        <v>16</v>
      </c>
      <c r="AD12" s="12"/>
      <c r="AE12" t="s">
        <v>547</v>
      </c>
      <c r="AI12" s="79" t="s">
        <v>527</v>
      </c>
      <c r="AJ12" s="9">
        <f>T4*1000*(AJ4-T9)/(2*T7)</f>
        <v>98.547075306827452</v>
      </c>
      <c r="AK12" s="79" t="s">
        <v>6</v>
      </c>
    </row>
    <row r="13" spans="1:42" ht="18" x14ac:dyDescent="0.35">
      <c r="A13">
        <v>11.057689999999999</v>
      </c>
      <c r="B13" s="79">
        <v>-437.416</v>
      </c>
      <c r="C13" s="80">
        <v>7613.0478999999996</v>
      </c>
      <c r="L13" s="34" t="s">
        <v>429</v>
      </c>
      <c r="M13" s="72">
        <f>ASIN(SQRT(2*M10^2/4*PI()*Materiali!$O$4/($M$8*M11*0.5*Materiali!$B$5)))</f>
        <v>0.38718115624080374</v>
      </c>
      <c r="N13" s="11" t="s">
        <v>433</v>
      </c>
      <c r="O13" t="s">
        <v>446</v>
      </c>
      <c r="P13" s="68"/>
      <c r="S13" s="97" t="s">
        <v>519</v>
      </c>
      <c r="T13" s="98">
        <f>(T12+T11)*T10^2/4*PI()</f>
        <v>7464.4241449293486</v>
      </c>
      <c r="U13" s="94" t="s">
        <v>7</v>
      </c>
      <c r="X13" s="80"/>
      <c r="Y13" s="80"/>
      <c r="AB13" s="99" t="s">
        <v>519</v>
      </c>
      <c r="AC13" s="98">
        <f>AC12*T10^2/4*PI()</f>
        <v>1809.5573684677208</v>
      </c>
      <c r="AD13" s="12" t="s">
        <v>7</v>
      </c>
      <c r="AE13" t="s">
        <v>548</v>
      </c>
      <c r="AI13" s="79" t="s">
        <v>522</v>
      </c>
      <c r="AJ13" s="9">
        <f>AJ11*Materiali!O4/1000</f>
        <v>885.10958240268963</v>
      </c>
      <c r="AK13" s="12" t="s">
        <v>6</v>
      </c>
      <c r="AN13" s="22" t="s">
        <v>522</v>
      </c>
      <c r="AO13" s="9">
        <f>AJ11*Materiali!O4/1000</f>
        <v>885.10958240268963</v>
      </c>
      <c r="AP13" s="12" t="s">
        <v>6</v>
      </c>
    </row>
    <row r="14" spans="1:42" ht="17.25" x14ac:dyDescent="0.25">
      <c r="A14">
        <v>12.01923</v>
      </c>
      <c r="B14" s="79">
        <v>-437.75</v>
      </c>
      <c r="C14" s="80">
        <v>7637.5213999999996</v>
      </c>
      <c r="L14" s="34" t="s">
        <v>429</v>
      </c>
      <c r="M14" s="73">
        <f>DEGREES(M13)</f>
        <v>22.183846159593369</v>
      </c>
      <c r="N14" s="11" t="s">
        <v>434</v>
      </c>
      <c r="S14" s="97" t="s">
        <v>521</v>
      </c>
      <c r="T14" s="98">
        <f>M12*M10^2/4*PI()</f>
        <v>226.1946710584651</v>
      </c>
      <c r="U14" s="94" t="s">
        <v>7</v>
      </c>
      <c r="X14" s="80"/>
      <c r="Y14" s="80"/>
      <c r="AB14" s="22" t="s">
        <v>522</v>
      </c>
      <c r="AC14" s="9">
        <f>AC13*Materiali!O4/1000</f>
        <v>708.0876659221517</v>
      </c>
      <c r="AD14" s="12" t="s">
        <v>6</v>
      </c>
      <c r="AE14" t="s">
        <v>549</v>
      </c>
      <c r="AI14" s="79" t="s">
        <v>228</v>
      </c>
      <c r="AJ14" s="23">
        <f>AJ12/AJ13</f>
        <v>0.11133884127580539</v>
      </c>
      <c r="AK14" s="79" t="str">
        <f>IF((AJ14 &lt; 1),"VERIFICA", " NON VERIFICA")</f>
        <v>VERIFICA</v>
      </c>
      <c r="AN14" s="79" t="s">
        <v>228</v>
      </c>
      <c r="AO14" s="23" t="e">
        <f>#REF!/AO13</f>
        <v>#REF!</v>
      </c>
      <c r="AP14" s="79" t="e">
        <f>IF((AO14 &lt; 1),"VERIFICA", " NON VERIFICA")</f>
        <v>#REF!</v>
      </c>
    </row>
    <row r="15" spans="1:42" ht="27.75" customHeight="1" x14ac:dyDescent="0.25">
      <c r="A15">
        <v>12.01923</v>
      </c>
      <c r="B15" s="79">
        <v>-439.25200000000001</v>
      </c>
      <c r="C15" s="80">
        <v>7639.0194000000001</v>
      </c>
      <c r="L15" s="34" t="s">
        <v>429</v>
      </c>
      <c r="M15" s="73">
        <f>IF(M14&lt;21.8,21.8,M14)</f>
        <v>22.183846159593369</v>
      </c>
      <c r="N15" s="11" t="s">
        <v>434</v>
      </c>
      <c r="O15" t="s">
        <v>447</v>
      </c>
      <c r="S15" s="97" t="s">
        <v>523</v>
      </c>
      <c r="T15" s="12">
        <f>M11</f>
        <v>200</v>
      </c>
      <c r="U15" s="94" t="s">
        <v>5</v>
      </c>
      <c r="X15" s="80"/>
      <c r="Y15" s="80"/>
      <c r="AB15" s="79" t="s">
        <v>228</v>
      </c>
      <c r="AC15" s="23">
        <f>AC9/AC14</f>
        <v>0.29399744312328807</v>
      </c>
      <c r="AD15" s="79" t="str">
        <f>IF((AC15 &lt; 1),"VERIFICA", " NON VERIFICA")</f>
        <v>VERIFICA</v>
      </c>
      <c r="AI15" s="154" t="s">
        <v>553</v>
      </c>
      <c r="AJ15" s="154"/>
      <c r="AK15" s="154"/>
    </row>
    <row r="16" spans="1:42" ht="22.5" customHeight="1" x14ac:dyDescent="0.25">
      <c r="A16">
        <v>12.98077</v>
      </c>
      <c r="B16" s="79">
        <v>-439.58600000000001</v>
      </c>
      <c r="C16" s="80">
        <v>7593.5294999999996</v>
      </c>
      <c r="L16" s="34" t="s">
        <v>429</v>
      </c>
      <c r="M16" s="73">
        <f>RADIANS(M15)</f>
        <v>0.38718115624080374</v>
      </c>
      <c r="N16" s="11" t="s">
        <v>433</v>
      </c>
      <c r="S16" s="97" t="s">
        <v>524</v>
      </c>
      <c r="T16" s="12">
        <f>T13/T8</f>
        <v>1.4893104838246904</v>
      </c>
      <c r="U16" s="94" t="s">
        <v>5</v>
      </c>
      <c r="X16" s="80"/>
      <c r="Y16" s="80"/>
      <c r="AB16" s="136" t="s">
        <v>550</v>
      </c>
      <c r="AC16" s="136"/>
      <c r="AD16" s="136"/>
      <c r="AI16" s="136" t="s">
        <v>525</v>
      </c>
      <c r="AJ16" s="136"/>
      <c r="AK16" s="136"/>
    </row>
    <row r="17" spans="1:37" ht="18" x14ac:dyDescent="0.35">
      <c r="A17">
        <v>12.98077</v>
      </c>
      <c r="B17" s="79">
        <v>-443.23399999999998</v>
      </c>
      <c r="C17" s="80">
        <v>7591.0852000000004</v>
      </c>
      <c r="L17" s="11" t="s">
        <v>430</v>
      </c>
      <c r="M17" s="74">
        <f>(0.9*($M$9-30)*(M12*PI()*M10^2/4)/M11*Materiali!$O$4)/1000*_xlfn.COT(M16)</f>
        <v>1338.202023698296</v>
      </c>
      <c r="N17" s="11" t="s">
        <v>6</v>
      </c>
      <c r="O17" s="16" t="s">
        <v>444</v>
      </c>
      <c r="S17" s="109" t="s">
        <v>526</v>
      </c>
      <c r="T17" s="107">
        <f>T14/T15</f>
        <v>1.1309733552923256</v>
      </c>
      <c r="U17" s="110" t="s">
        <v>5</v>
      </c>
      <c r="X17" s="80"/>
      <c r="Y17" s="80"/>
      <c r="AB17" s="95" t="s">
        <v>521</v>
      </c>
      <c r="AC17" s="98">
        <f>M12*M10^2/4*PI()</f>
        <v>226.1946710584651</v>
      </c>
      <c r="AD17" s="12" t="s">
        <v>7</v>
      </c>
      <c r="AI17" s="17" t="s">
        <v>509</v>
      </c>
      <c r="AJ17" s="92">
        <v>12</v>
      </c>
      <c r="AK17" s="79" t="s">
        <v>5</v>
      </c>
    </row>
    <row r="18" spans="1:37" ht="18" x14ac:dyDescent="0.35">
      <c r="A18">
        <v>13.942310000000001</v>
      </c>
      <c r="B18" s="79">
        <v>-443.56799999999998</v>
      </c>
      <c r="C18" s="80">
        <v>7465.9490999999998</v>
      </c>
      <c r="L18" s="11" t="s">
        <v>431</v>
      </c>
      <c r="M18" s="74">
        <f>(0.9*($M$9-30)*$M$8*0.5*Materiali!$B$5)*(_xlfn.COT(M16))/(1+_xlfn.COT(M16)^2)/1000</f>
        <v>1338.202023698296</v>
      </c>
      <c r="N18" s="11" t="s">
        <v>6</v>
      </c>
      <c r="O18" s="16" t="s">
        <v>445</v>
      </c>
      <c r="S18" s="93" t="s">
        <v>528</v>
      </c>
      <c r="T18" s="100">
        <f>(T16/T17)^(1/2)</f>
        <v>1.1475363109705983</v>
      </c>
      <c r="U18" s="94" t="s">
        <v>433</v>
      </c>
      <c r="V18" s="108" t="str">
        <f>IF(T18&lt;=2.5,"OK","NO")</f>
        <v>OK</v>
      </c>
      <c r="X18" s="80"/>
      <c r="Y18" s="80"/>
      <c r="AB18" s="79" t="s">
        <v>36</v>
      </c>
      <c r="AC18" s="79">
        <f>T15</f>
        <v>200</v>
      </c>
      <c r="AD18" s="12" t="s">
        <v>5</v>
      </c>
      <c r="AI18" s="96" t="s">
        <v>518</v>
      </c>
      <c r="AJ18" s="12">
        <f>T11</f>
        <v>36</v>
      </c>
      <c r="AK18" s="12"/>
    </row>
    <row r="19" spans="1:37" ht="24" customHeight="1" thickBot="1" x14ac:dyDescent="0.4">
      <c r="A19">
        <v>13.942310000000001</v>
      </c>
      <c r="B19" s="79">
        <v>-448.00200000000001</v>
      </c>
      <c r="C19" s="80">
        <v>7460.1657999999998</v>
      </c>
      <c r="L19" s="11" t="s">
        <v>432</v>
      </c>
      <c r="M19" s="74">
        <f>MIN(M17:M18)</f>
        <v>1338.202023698296</v>
      </c>
      <c r="N19" s="11" t="s">
        <v>6</v>
      </c>
      <c r="S19" s="111" t="s">
        <v>429</v>
      </c>
      <c r="T19" s="112">
        <f>_xlfn.ACOT(T18)</f>
        <v>0.71680567675313123</v>
      </c>
      <c r="U19" s="113" t="s">
        <v>433</v>
      </c>
      <c r="X19" s="80"/>
      <c r="Y19" s="80"/>
      <c r="AB19" s="79" t="s">
        <v>529</v>
      </c>
      <c r="AC19" s="9">
        <f>AC17*Materiali!O4*T18/AC18</f>
        <v>507.84769249755459</v>
      </c>
      <c r="AD19" s="79" t="s">
        <v>6</v>
      </c>
      <c r="AI19" s="99" t="s">
        <v>519</v>
      </c>
      <c r="AJ19" s="98">
        <f>AJ18*AJ17^2/4*PI()</f>
        <v>4071.5040790523717</v>
      </c>
      <c r="AK19" s="12" t="s">
        <v>7</v>
      </c>
    </row>
    <row r="20" spans="1:37" ht="19.5" customHeight="1" thickBot="1" x14ac:dyDescent="0.3">
      <c r="A20">
        <v>14.90385</v>
      </c>
      <c r="B20" s="79">
        <v>-448.33600000000001</v>
      </c>
      <c r="C20" s="80">
        <v>7254.1620000000003</v>
      </c>
      <c r="L20" s="11" t="s">
        <v>228</v>
      </c>
      <c r="M20" s="9">
        <f>M5/M19</f>
        <v>0.55298078085019886</v>
      </c>
      <c r="N20" s="60" t="str">
        <f>IF((M20 &lt; 1),"VERIFICA", " NON VERIFICA")</f>
        <v>VERIFICA</v>
      </c>
      <c r="S20" s="153" t="s">
        <v>530</v>
      </c>
      <c r="T20" s="153"/>
      <c r="U20" s="153"/>
      <c r="AB20" s="79" t="s">
        <v>228</v>
      </c>
      <c r="AC20" s="23">
        <f>AC9/AC19</f>
        <v>0.40991810411593432</v>
      </c>
      <c r="AD20" s="79" t="str">
        <f>IF((AC20 &lt; 1),"VERIFICA", " NON VERIFICA")</f>
        <v>VERIFICA</v>
      </c>
      <c r="AI20" s="79" t="s">
        <v>527</v>
      </c>
      <c r="AJ20" s="9">
        <f>T4*1000*(AJ3)/(2*T7)</f>
        <v>412.29822949245096</v>
      </c>
      <c r="AK20" s="79" t="s">
        <v>6</v>
      </c>
    </row>
    <row r="21" spans="1:37" ht="19.5" customHeight="1" x14ac:dyDescent="0.25">
      <c r="A21">
        <v>14.90385</v>
      </c>
      <c r="B21" s="79">
        <v>-454.25</v>
      </c>
      <c r="C21" s="80">
        <v>7245.7947999999997</v>
      </c>
      <c r="L21" s="59"/>
      <c r="S21" s="101" t="s">
        <v>531</v>
      </c>
      <c r="T21" s="102">
        <f>0.85*(1-Materiali!B4/250)*Materiali!B5</f>
        <v>17.973059316666664</v>
      </c>
      <c r="U21" s="103" t="s">
        <v>4</v>
      </c>
      <c r="AB21" s="136" t="s">
        <v>532</v>
      </c>
      <c r="AC21" s="136"/>
      <c r="AD21" s="136"/>
      <c r="AI21" s="79" t="s">
        <v>522</v>
      </c>
      <c r="AJ21" s="9">
        <f>AJ19*Materiali!O4/1000</f>
        <v>1593.1972483248412</v>
      </c>
      <c r="AK21" s="12" t="s">
        <v>6</v>
      </c>
    </row>
    <row r="22" spans="1:37" ht="17.25" x14ac:dyDescent="0.25">
      <c r="A22">
        <v>15.86538</v>
      </c>
      <c r="B22" s="79">
        <v>-454.584</v>
      </c>
      <c r="C22" s="80">
        <v>6958.9490999999998</v>
      </c>
      <c r="L22" s="59"/>
      <c r="M22" s="59"/>
      <c r="N22" s="59"/>
      <c r="O22" s="80"/>
      <c r="S22" s="91" t="s">
        <v>533</v>
      </c>
      <c r="T22" s="13">
        <f>(2*T7*T9*T21*T18/(1+T18^2))/1000^2</f>
        <v>8162.9757765095901</v>
      </c>
      <c r="U22" s="88" t="s">
        <v>3</v>
      </c>
      <c r="V22" t="s">
        <v>546</v>
      </c>
      <c r="X22" s="80"/>
      <c r="Y22" s="80"/>
      <c r="AB22" s="79" t="s">
        <v>534</v>
      </c>
      <c r="AC22" s="9">
        <f>0.7*T21</f>
        <v>12.581141521666664</v>
      </c>
      <c r="AD22" s="12" t="s">
        <v>4</v>
      </c>
      <c r="AE22" t="s">
        <v>535</v>
      </c>
      <c r="AI22" s="79" t="s">
        <v>228</v>
      </c>
      <c r="AJ22" s="23">
        <f>AJ20/AJ21</f>
        <v>0.25878668189137266</v>
      </c>
      <c r="AK22" s="79" t="str">
        <f>IF((AJ22 &lt; 1),"VERIFICA", " NON VERIFICA")</f>
        <v>VERIFICA</v>
      </c>
    </row>
    <row r="23" spans="1:37" ht="18" x14ac:dyDescent="0.35">
      <c r="A23">
        <v>15.86538</v>
      </c>
      <c r="B23" s="79">
        <v>-460.99200000000002</v>
      </c>
      <c r="C23" s="80">
        <v>6948.1866</v>
      </c>
      <c r="O23" s="80"/>
      <c r="S23" s="91" t="s">
        <v>536</v>
      </c>
      <c r="T23" s="13">
        <f>(2*T7*T14/T15*Materiali!O4*T18)/1000^2</f>
        <v>1539.6855242463907</v>
      </c>
      <c r="U23" s="88" t="s">
        <v>3</v>
      </c>
      <c r="V23" t="s">
        <v>540</v>
      </c>
      <c r="X23" s="80"/>
      <c r="AB23" s="79" t="s">
        <v>537</v>
      </c>
      <c r="AC23" s="36">
        <f>AC22*COS(T19)*SIN(T19)</f>
        <v>6.2314701557541143</v>
      </c>
      <c r="AD23" s="12" t="s">
        <v>4</v>
      </c>
      <c r="AE23" t="s">
        <v>538</v>
      </c>
    </row>
    <row r="24" spans="1:37" ht="18" x14ac:dyDescent="0.35">
      <c r="A24">
        <v>16.826920000000001</v>
      </c>
      <c r="B24" s="79">
        <v>-461.327</v>
      </c>
      <c r="C24" s="80">
        <v>6577.3703999999998</v>
      </c>
      <c r="L24" s="59"/>
      <c r="M24" s="59"/>
      <c r="N24" s="59"/>
      <c r="O24" s="80"/>
      <c r="S24" s="91" t="s">
        <v>539</v>
      </c>
      <c r="T24" s="13">
        <f>(2*T7*T13/T8*Materiali!O4/T18)/1000^2</f>
        <v>1539.6855242463912</v>
      </c>
      <c r="U24" s="88" t="s">
        <v>3</v>
      </c>
      <c r="V24" t="s">
        <v>545</v>
      </c>
      <c r="X24" s="80"/>
      <c r="Y24" s="80"/>
      <c r="AB24" s="79" t="s">
        <v>541</v>
      </c>
      <c r="AC24" s="23">
        <f>AC10*1000/(2*T7)</f>
        <v>0.31274501672883559</v>
      </c>
      <c r="AD24" s="12" t="s">
        <v>4</v>
      </c>
    </row>
    <row r="25" spans="1:37" ht="18.75" thickBot="1" x14ac:dyDescent="0.4">
      <c r="A25">
        <v>16.826920000000001</v>
      </c>
      <c r="B25" s="79">
        <v>-476.524</v>
      </c>
      <c r="C25" s="80">
        <v>6566.3612999999996</v>
      </c>
      <c r="L25" s="59"/>
      <c r="M25" s="59"/>
      <c r="N25" s="59"/>
      <c r="O25" s="80"/>
      <c r="S25" s="104" t="s">
        <v>542</v>
      </c>
      <c r="T25" s="105">
        <f>MIN(T22:T24)</f>
        <v>1539.6855242463907</v>
      </c>
      <c r="U25" s="106" t="s">
        <v>3</v>
      </c>
      <c r="V25" t="s">
        <v>543</v>
      </c>
      <c r="X25" s="80"/>
      <c r="Y25" s="80"/>
      <c r="AB25" s="79" t="s">
        <v>228</v>
      </c>
      <c r="AC25" s="9">
        <f>AC24/AC23</f>
        <v>5.0187998804752054E-2</v>
      </c>
      <c r="AD25" s="79" t="str">
        <f>IF((AC25 &lt; 1),"VERIFICA", " NON VERIFICA")</f>
        <v>VERIFICA</v>
      </c>
    </row>
    <row r="26" spans="1:37" ht="15.75" thickBot="1" x14ac:dyDescent="0.3">
      <c r="A26">
        <v>17.788460000000001</v>
      </c>
      <c r="B26" s="79">
        <v>-476.858</v>
      </c>
      <c r="C26" s="80">
        <v>6107.3476000000001</v>
      </c>
      <c r="L26" s="59"/>
      <c r="M26" s="59"/>
      <c r="N26" s="59"/>
      <c r="O26" s="80"/>
      <c r="S26" s="114" t="s">
        <v>228</v>
      </c>
      <c r="T26" s="116">
        <f>T4/T25</f>
        <v>0.32474163855293003</v>
      </c>
      <c r="U26" s="115" t="str">
        <f>IF((T26 &lt; 1),"VERIFICA", " NON VERIFICA")</f>
        <v>VERIFICA</v>
      </c>
      <c r="X26" s="80"/>
      <c r="Y26" s="80"/>
    </row>
    <row r="27" spans="1:37" x14ac:dyDescent="0.25">
      <c r="A27">
        <v>17.788460000000001</v>
      </c>
      <c r="B27" s="79">
        <v>-493.733</v>
      </c>
      <c r="C27" s="80">
        <v>6098.7227999999996</v>
      </c>
      <c r="L27" s="59"/>
      <c r="M27" s="59"/>
      <c r="N27" s="59"/>
      <c r="O27" s="80"/>
      <c r="X27" s="80"/>
      <c r="Y27" s="80"/>
    </row>
    <row r="28" spans="1:37" x14ac:dyDescent="0.25">
      <c r="A28">
        <v>18.75</v>
      </c>
      <c r="B28" s="79">
        <v>-494.06700000000001</v>
      </c>
      <c r="C28" s="80">
        <v>5549.6439</v>
      </c>
      <c r="L28" s="59"/>
      <c r="M28" s="59"/>
      <c r="N28" s="59"/>
    </row>
    <row r="29" spans="1:37" x14ac:dyDescent="0.25">
      <c r="A29">
        <v>18.75</v>
      </c>
      <c r="B29" s="79">
        <v>-525.27200000000005</v>
      </c>
      <c r="C29" s="80">
        <v>5567.8074999999999</v>
      </c>
      <c r="L29" s="59"/>
      <c r="M29" s="59"/>
      <c r="N29" s="59"/>
      <c r="O29" s="59"/>
      <c r="U29" s="20"/>
      <c r="X29" s="59"/>
      <c r="Y29" s="59"/>
    </row>
    <row r="30" spans="1:37" x14ac:dyDescent="0.25">
      <c r="A30">
        <v>7.2115400000000003</v>
      </c>
      <c r="B30" s="79">
        <v>-274.61200000000002</v>
      </c>
      <c r="C30" s="80">
        <v>4373.9043000000001</v>
      </c>
    </row>
    <row r="31" spans="1:37" x14ac:dyDescent="0.25">
      <c r="A31">
        <v>7.2115400000000003</v>
      </c>
      <c r="B31" s="79">
        <v>-245.62799999999999</v>
      </c>
      <c r="C31" s="80">
        <v>4384.4012000000002</v>
      </c>
    </row>
    <row r="32" spans="1:37" x14ac:dyDescent="0.25">
      <c r="A32">
        <v>8.1730800000000006</v>
      </c>
      <c r="B32" s="79">
        <v>-245.96299999999999</v>
      </c>
      <c r="C32" s="80">
        <v>4615.9993000000004</v>
      </c>
    </row>
    <row r="33" spans="1:3" x14ac:dyDescent="0.25">
      <c r="A33">
        <v>8.1730800000000006</v>
      </c>
      <c r="B33" s="79">
        <v>-204.62700000000001</v>
      </c>
      <c r="C33" s="80">
        <v>4626.0661</v>
      </c>
    </row>
    <row r="34" spans="1:3" x14ac:dyDescent="0.25">
      <c r="A34">
        <v>9.13462</v>
      </c>
      <c r="B34" s="79">
        <v>-204.96100000000001</v>
      </c>
      <c r="C34" s="80">
        <v>4801.4657999999999</v>
      </c>
    </row>
    <row r="35" spans="1:3" x14ac:dyDescent="0.25">
      <c r="A35">
        <v>9.13462</v>
      </c>
      <c r="B35" s="79">
        <v>-162.72499999999999</v>
      </c>
      <c r="C35" s="80">
        <v>4809.3581000000004</v>
      </c>
    </row>
    <row r="36" spans="1:3" x14ac:dyDescent="0.25">
      <c r="A36">
        <v>10.09615</v>
      </c>
      <c r="B36" s="79">
        <v>-163.059</v>
      </c>
      <c r="C36" s="80">
        <v>4930.8280999999997</v>
      </c>
    </row>
    <row r="37" spans="1:3" x14ac:dyDescent="0.25">
      <c r="A37">
        <v>10.09615</v>
      </c>
      <c r="B37" s="79">
        <v>-126.739</v>
      </c>
      <c r="C37" s="80">
        <v>4936.0411000000004</v>
      </c>
    </row>
    <row r="38" spans="1:3" x14ac:dyDescent="0.25">
      <c r="A38">
        <v>11.057689999999999</v>
      </c>
      <c r="B38" s="79">
        <v>-127.07299999999999</v>
      </c>
      <c r="C38" s="80">
        <v>5004.5717000000004</v>
      </c>
    </row>
    <row r="39" spans="1:3" x14ac:dyDescent="0.25">
      <c r="A39">
        <v>11.057689999999999</v>
      </c>
      <c r="B39" s="79">
        <v>-103.45399999999999</v>
      </c>
      <c r="C39" s="80">
        <v>5007.0016999999998</v>
      </c>
    </row>
    <row r="40" spans="1:3" x14ac:dyDescent="0.25">
      <c r="A40">
        <v>12.01923</v>
      </c>
      <c r="B40" s="79">
        <v>-103.788</v>
      </c>
      <c r="C40" s="80">
        <v>5023.1855999999998</v>
      </c>
    </row>
    <row r="41" spans="1:3" x14ac:dyDescent="0.25">
      <c r="A41">
        <v>12.01923</v>
      </c>
      <c r="B41" s="79">
        <v>-95.216999999999999</v>
      </c>
      <c r="C41" s="80">
        <v>5022.8386</v>
      </c>
    </row>
    <row r="42" spans="1:3" x14ac:dyDescent="0.25">
      <c r="A42">
        <v>12.98077</v>
      </c>
      <c r="B42" s="79">
        <v>-95.551000000000002</v>
      </c>
      <c r="C42" s="80">
        <v>4986.9322000000002</v>
      </c>
    </row>
    <row r="43" spans="1:3" x14ac:dyDescent="0.25">
      <c r="A43">
        <v>12.98077</v>
      </c>
      <c r="B43" s="79">
        <v>-101.702</v>
      </c>
      <c r="C43" s="80">
        <v>4983.9480000000003</v>
      </c>
    </row>
    <row r="44" spans="1:3" x14ac:dyDescent="0.25">
      <c r="A44">
        <v>13.942310000000001</v>
      </c>
      <c r="B44" s="79">
        <v>-102.036</v>
      </c>
      <c r="C44" s="80">
        <v>4895.9072999999999</v>
      </c>
    </row>
    <row r="45" spans="1:3" x14ac:dyDescent="0.25">
      <c r="A45">
        <v>13.942310000000001</v>
      </c>
      <c r="B45" s="79">
        <v>-122.324</v>
      </c>
      <c r="C45" s="80">
        <v>4890.5581000000002</v>
      </c>
    </row>
    <row r="46" spans="1:3" x14ac:dyDescent="0.25">
      <c r="A46">
        <v>14.90385</v>
      </c>
      <c r="B46" s="79">
        <v>-122.658</v>
      </c>
      <c r="C46" s="80">
        <v>4750.058</v>
      </c>
    </row>
    <row r="47" spans="1:3" x14ac:dyDescent="0.25">
      <c r="A47">
        <v>14.90385</v>
      </c>
      <c r="B47" s="79">
        <v>-153.964</v>
      </c>
      <c r="C47" s="80">
        <v>4742.8504000000003</v>
      </c>
    </row>
    <row r="48" spans="1:3" x14ac:dyDescent="0.25">
      <c r="A48">
        <v>15.86538</v>
      </c>
      <c r="B48" s="79">
        <v>-154.298</v>
      </c>
      <c r="C48" s="80">
        <v>4548.1710999999996</v>
      </c>
    </row>
    <row r="49" spans="1:3" x14ac:dyDescent="0.25">
      <c r="A49">
        <v>15.86538</v>
      </c>
      <c r="B49" s="79">
        <v>-192.214</v>
      </c>
      <c r="C49" s="80">
        <v>4540.8792999999996</v>
      </c>
    </row>
    <row r="50" spans="1:3" x14ac:dyDescent="0.25">
      <c r="A50">
        <v>16.826920000000001</v>
      </c>
      <c r="B50" s="79">
        <v>-192.548</v>
      </c>
      <c r="C50" s="80">
        <v>4289.8271000000004</v>
      </c>
    </row>
    <row r="51" spans="1:3" x14ac:dyDescent="0.25">
      <c r="A51">
        <v>16.826920000000001</v>
      </c>
      <c r="B51" s="79">
        <v>-227.12700000000001</v>
      </c>
      <c r="C51" s="80">
        <v>4282.8566000000001</v>
      </c>
    </row>
    <row r="52" spans="1:3" x14ac:dyDescent="0.25">
      <c r="A52">
        <v>17.788460000000001</v>
      </c>
      <c r="B52" s="79">
        <v>-227.46199999999999</v>
      </c>
      <c r="C52" s="80">
        <v>3975.7896999999998</v>
      </c>
    </row>
    <row r="53" spans="1:3" x14ac:dyDescent="0.25">
      <c r="A53">
        <v>17.788460000000001</v>
      </c>
      <c r="B53" s="79">
        <v>-237.90199999999999</v>
      </c>
      <c r="C53" s="80">
        <v>3971.4816999999998</v>
      </c>
    </row>
    <row r="54" spans="1:3" x14ac:dyDescent="0.25">
      <c r="A54">
        <v>18.75</v>
      </c>
      <c r="B54" s="79">
        <v>-238.23699999999999</v>
      </c>
      <c r="C54" s="80">
        <v>3607.3598999999999</v>
      </c>
    </row>
    <row r="55" spans="1:3" x14ac:dyDescent="0.25">
      <c r="A55">
        <v>18.75</v>
      </c>
      <c r="B55" s="79">
        <v>-262.38900000000001</v>
      </c>
      <c r="C55" s="80">
        <v>3622.8829000000001</v>
      </c>
    </row>
    <row r="56" spans="1:3" x14ac:dyDescent="0.25">
      <c r="B56" s="79"/>
      <c r="C56" s="80"/>
    </row>
    <row r="57" spans="1:3" x14ac:dyDescent="0.25">
      <c r="B57" s="79"/>
      <c r="C57" s="80"/>
    </row>
    <row r="58" spans="1:3" x14ac:dyDescent="0.25">
      <c r="B58" s="79"/>
      <c r="C58" s="80"/>
    </row>
    <row r="59" spans="1:3" x14ac:dyDescent="0.25">
      <c r="B59" s="79"/>
      <c r="C59" s="80"/>
    </row>
    <row r="60" spans="1:3" x14ac:dyDescent="0.25">
      <c r="B60" s="79"/>
      <c r="C60" s="80"/>
    </row>
    <row r="61" spans="1:3" x14ac:dyDescent="0.25">
      <c r="B61" s="79"/>
      <c r="C61" s="80"/>
    </row>
    <row r="62" spans="1:3" x14ac:dyDescent="0.25">
      <c r="B62" s="79"/>
      <c r="C62" s="80"/>
    </row>
    <row r="63" spans="1:3" x14ac:dyDescent="0.25">
      <c r="B63" s="79"/>
      <c r="C63" s="80"/>
    </row>
    <row r="64" spans="1:3" x14ac:dyDescent="0.25">
      <c r="B64" s="79"/>
      <c r="C64" s="80"/>
    </row>
    <row r="65" spans="2:3" x14ac:dyDescent="0.25">
      <c r="B65" s="79"/>
      <c r="C65" s="80"/>
    </row>
    <row r="66" spans="2:3" x14ac:dyDescent="0.25">
      <c r="B66" s="79"/>
      <c r="C66" s="80"/>
    </row>
    <row r="67" spans="2:3" x14ac:dyDescent="0.25">
      <c r="B67" s="79"/>
      <c r="C67" s="80"/>
    </row>
    <row r="68" spans="2:3" x14ac:dyDescent="0.25">
      <c r="B68" s="79"/>
      <c r="C68" s="80"/>
    </row>
    <row r="69" spans="2:3" x14ac:dyDescent="0.25">
      <c r="B69" s="79"/>
      <c r="C69" s="80"/>
    </row>
    <row r="70" spans="2:3" x14ac:dyDescent="0.25">
      <c r="B70" s="79"/>
      <c r="C70" s="80"/>
    </row>
    <row r="71" spans="2:3" x14ac:dyDescent="0.25">
      <c r="B71" s="79"/>
      <c r="C71" s="80"/>
    </row>
    <row r="72" spans="2:3" x14ac:dyDescent="0.25">
      <c r="B72" s="79"/>
      <c r="C72" s="80"/>
    </row>
    <row r="73" spans="2:3" x14ac:dyDescent="0.25">
      <c r="B73" s="79"/>
      <c r="C73" s="80"/>
    </row>
    <row r="74" spans="2:3" x14ac:dyDescent="0.25">
      <c r="B74" s="79"/>
      <c r="C74" s="80"/>
    </row>
    <row r="75" spans="2:3" x14ac:dyDescent="0.25">
      <c r="B75" s="79"/>
      <c r="C75" s="80"/>
    </row>
    <row r="102" spans="2:3" x14ac:dyDescent="0.25">
      <c r="B102" s="79"/>
      <c r="C102" s="80"/>
    </row>
    <row r="103" spans="2:3" x14ac:dyDescent="0.25">
      <c r="B103" s="79"/>
      <c r="C103" s="80"/>
    </row>
    <row r="104" spans="2:3" x14ac:dyDescent="0.25">
      <c r="B104" s="79"/>
      <c r="C104" s="80"/>
    </row>
    <row r="105" spans="2:3" x14ac:dyDescent="0.25">
      <c r="B105" s="79"/>
      <c r="C105" s="80"/>
    </row>
    <row r="106" spans="2:3" x14ac:dyDescent="0.25">
      <c r="B106" s="79"/>
      <c r="C106" s="80"/>
    </row>
    <row r="107" spans="2:3" x14ac:dyDescent="0.25">
      <c r="B107" s="79"/>
      <c r="C107" s="80"/>
    </row>
    <row r="108" spans="2:3" x14ac:dyDescent="0.25">
      <c r="B108" s="79"/>
      <c r="C108" s="80"/>
    </row>
    <row r="109" spans="2:3" x14ac:dyDescent="0.25">
      <c r="B109" s="79"/>
      <c r="C109" s="80"/>
    </row>
    <row r="110" spans="2:3" x14ac:dyDescent="0.25">
      <c r="B110" s="79"/>
      <c r="C110" s="80"/>
    </row>
    <row r="111" spans="2:3" x14ac:dyDescent="0.25">
      <c r="B111" s="79"/>
      <c r="C111" s="80"/>
    </row>
    <row r="112" spans="2:3" x14ac:dyDescent="0.25">
      <c r="B112" s="79"/>
      <c r="C112" s="80"/>
    </row>
    <row r="113" spans="2:3" x14ac:dyDescent="0.25">
      <c r="B113" s="79"/>
      <c r="C113" s="80"/>
    </row>
    <row r="114" spans="2:3" x14ac:dyDescent="0.25">
      <c r="B114" s="79"/>
      <c r="C114" s="80"/>
    </row>
    <row r="115" spans="2:3" x14ac:dyDescent="0.25">
      <c r="B115" s="79"/>
      <c r="C115" s="80"/>
    </row>
    <row r="116" spans="2:3" x14ac:dyDescent="0.25">
      <c r="B116" s="79"/>
      <c r="C116" s="80"/>
    </row>
    <row r="117" spans="2:3" x14ac:dyDescent="0.25">
      <c r="B117" s="79"/>
      <c r="C117" s="80"/>
    </row>
  </sheetData>
  <mergeCells count="17">
    <mergeCell ref="S20:U20"/>
    <mergeCell ref="AB21:AD21"/>
    <mergeCell ref="AI16:AK16"/>
    <mergeCell ref="AI1:AK2"/>
    <mergeCell ref="S3:U3"/>
    <mergeCell ref="AB5:AD6"/>
    <mergeCell ref="S6:U6"/>
    <mergeCell ref="AI15:AK15"/>
    <mergeCell ref="AI7:AK7"/>
    <mergeCell ref="AI8:AK8"/>
    <mergeCell ref="AB11:AD11"/>
    <mergeCell ref="AB16:AD16"/>
    <mergeCell ref="L7:N7"/>
    <mergeCell ref="B1:C1"/>
    <mergeCell ref="L1:N1"/>
    <mergeCell ref="L3:N3"/>
    <mergeCell ref="S1:U1"/>
  </mergeCells>
  <phoneticPr fontId="3" type="noConversion"/>
  <conditionalFormatting sqref="N20">
    <cfRule type="containsText" dxfId="62" priority="57" operator="containsText" text="NON ">
      <formula>NOT(ISERROR(SEARCH("NON ",N20)))</formula>
    </cfRule>
    <cfRule type="containsText" dxfId="61" priority="58" operator="containsText" text="VERIFICA">
      <formula>NOT(ISERROR(SEARCH("VERIFICA",N20)))</formula>
    </cfRule>
    <cfRule type="containsText" dxfId="60" priority="59" operator="containsText" text="N">
      <formula>NOT(ISERROR(SEARCH("N",N20)))</formula>
    </cfRule>
    <cfRule type="containsText" dxfId="59" priority="60" operator="containsText" text="NON VERIFICA ">
      <formula>NOT(ISERROR(SEARCH("NON VERIFICA ",N20)))</formula>
    </cfRule>
    <cfRule type="cellIs" dxfId="58" priority="61" operator="equal">
      <formula>"NON VERIFICA"</formula>
    </cfRule>
    <cfRule type="cellIs" dxfId="57" priority="62" operator="equal">
      <formula>"NON VERIFICA"</formula>
    </cfRule>
    <cfRule type="cellIs" dxfId="56" priority="63" operator="equal">
      <formula>"VERIFICA"</formula>
    </cfRule>
  </conditionalFormatting>
  <conditionalFormatting sqref="AD15">
    <cfRule type="containsText" dxfId="55" priority="50" operator="containsText" text="NON ">
      <formula>NOT(ISERROR(SEARCH("NON ",AD15)))</formula>
    </cfRule>
    <cfRule type="containsText" dxfId="54" priority="51" operator="containsText" text="VERIFICA">
      <formula>NOT(ISERROR(SEARCH("VERIFICA",AD15)))</formula>
    </cfRule>
    <cfRule type="containsText" dxfId="53" priority="52" operator="containsText" text="N">
      <formula>NOT(ISERROR(SEARCH("N",AD15)))</formula>
    </cfRule>
    <cfRule type="containsText" dxfId="52" priority="53" operator="containsText" text="NON VERIFICA ">
      <formula>NOT(ISERROR(SEARCH("NON VERIFICA ",AD15)))</formula>
    </cfRule>
    <cfRule type="cellIs" dxfId="51" priority="54" operator="equal">
      <formula>"NON VERIFICA"</formula>
    </cfRule>
    <cfRule type="cellIs" dxfId="50" priority="55" operator="equal">
      <formula>"NON VERIFICA"</formula>
    </cfRule>
    <cfRule type="cellIs" dxfId="49" priority="56" operator="equal">
      <formula>"VERIFICA"</formula>
    </cfRule>
  </conditionalFormatting>
  <conditionalFormatting sqref="AD20">
    <cfRule type="containsText" dxfId="48" priority="43" operator="containsText" text="NON ">
      <formula>NOT(ISERROR(SEARCH("NON ",AD20)))</formula>
    </cfRule>
    <cfRule type="containsText" dxfId="47" priority="44" operator="containsText" text="VERIFICA">
      <formula>NOT(ISERROR(SEARCH("VERIFICA",AD20)))</formula>
    </cfRule>
    <cfRule type="containsText" dxfId="46" priority="45" operator="containsText" text="N">
      <formula>NOT(ISERROR(SEARCH("N",AD20)))</formula>
    </cfRule>
    <cfRule type="containsText" dxfId="45" priority="46" operator="containsText" text="NON VERIFICA ">
      <formula>NOT(ISERROR(SEARCH("NON VERIFICA ",AD20)))</formula>
    </cfRule>
    <cfRule type="cellIs" dxfId="44" priority="47" operator="equal">
      <formula>"NON VERIFICA"</formula>
    </cfRule>
    <cfRule type="cellIs" dxfId="43" priority="48" operator="equal">
      <formula>"NON VERIFICA"</formula>
    </cfRule>
    <cfRule type="cellIs" dxfId="42" priority="49" operator="equal">
      <formula>"VERIFICA"</formula>
    </cfRule>
  </conditionalFormatting>
  <conditionalFormatting sqref="AD25">
    <cfRule type="containsText" dxfId="41" priority="36" operator="containsText" text="NON ">
      <formula>NOT(ISERROR(SEARCH("NON ",AD25)))</formula>
    </cfRule>
    <cfRule type="containsText" dxfId="40" priority="37" operator="containsText" text="VERIFICA">
      <formula>NOT(ISERROR(SEARCH("VERIFICA",AD25)))</formula>
    </cfRule>
    <cfRule type="containsText" dxfId="39" priority="38" operator="containsText" text="N">
      <formula>NOT(ISERROR(SEARCH("N",AD25)))</formula>
    </cfRule>
    <cfRule type="containsText" dxfId="38" priority="39" operator="containsText" text="NON VERIFICA ">
      <formula>NOT(ISERROR(SEARCH("NON VERIFICA ",AD25)))</formula>
    </cfRule>
    <cfRule type="cellIs" dxfId="37" priority="40" operator="equal">
      <formula>"NON VERIFICA"</formula>
    </cfRule>
    <cfRule type="cellIs" dxfId="36" priority="41" operator="equal">
      <formula>"NON VERIFICA"</formula>
    </cfRule>
    <cfRule type="cellIs" dxfId="35" priority="42" operator="equal">
      <formula>"VERIFICA"</formula>
    </cfRule>
  </conditionalFormatting>
  <conditionalFormatting sqref="AP14">
    <cfRule type="containsText" dxfId="34" priority="29" operator="containsText" text="NON ">
      <formula>NOT(ISERROR(SEARCH("NON ",AP14)))</formula>
    </cfRule>
    <cfRule type="containsText" dxfId="33" priority="30" operator="containsText" text="VERIFICA">
      <formula>NOT(ISERROR(SEARCH("VERIFICA",AP14)))</formula>
    </cfRule>
    <cfRule type="containsText" dxfId="32" priority="31" operator="containsText" text="N">
      <formula>NOT(ISERROR(SEARCH("N",AP14)))</formula>
    </cfRule>
    <cfRule type="containsText" dxfId="31" priority="32" operator="containsText" text="NON VERIFICA ">
      <formula>NOT(ISERROR(SEARCH("NON VERIFICA ",AP14)))</formula>
    </cfRule>
    <cfRule type="cellIs" dxfId="30" priority="33" operator="equal">
      <formula>"NON VERIFICA"</formula>
    </cfRule>
    <cfRule type="cellIs" dxfId="29" priority="34" operator="equal">
      <formula>"NON VERIFICA"</formula>
    </cfRule>
    <cfRule type="cellIs" dxfId="28" priority="35" operator="equal">
      <formula>"VERIFICA"</formula>
    </cfRule>
  </conditionalFormatting>
  <conditionalFormatting sqref="AK14">
    <cfRule type="containsText" dxfId="27" priority="22" operator="containsText" text="NON ">
      <formula>NOT(ISERROR(SEARCH("NON ",AK14)))</formula>
    </cfRule>
    <cfRule type="containsText" dxfId="26" priority="23" operator="containsText" text="VERIFICA">
      <formula>NOT(ISERROR(SEARCH("VERIFICA",AK14)))</formula>
    </cfRule>
    <cfRule type="containsText" dxfId="25" priority="24" operator="containsText" text="N">
      <formula>NOT(ISERROR(SEARCH("N",AK14)))</formula>
    </cfRule>
    <cfRule type="containsText" dxfId="24" priority="25" operator="containsText" text="NON VERIFICA ">
      <formula>NOT(ISERROR(SEARCH("NON VERIFICA ",AK14)))</formula>
    </cfRule>
    <cfRule type="cellIs" dxfId="23" priority="26" operator="equal">
      <formula>"NON VERIFICA"</formula>
    </cfRule>
    <cfRule type="cellIs" dxfId="22" priority="27" operator="equal">
      <formula>"NON VERIFICA"</formula>
    </cfRule>
    <cfRule type="cellIs" dxfId="21" priority="28" operator="equal">
      <formula>"VERIFICA"</formula>
    </cfRule>
  </conditionalFormatting>
  <conditionalFormatting sqref="U26">
    <cfRule type="containsText" dxfId="20" priority="8" operator="containsText" text="NON ">
      <formula>NOT(ISERROR(SEARCH("NON ",U26)))</formula>
    </cfRule>
    <cfRule type="containsText" dxfId="19" priority="9" operator="containsText" text="VERIFICA">
      <formula>NOT(ISERROR(SEARCH("VERIFICA",U26)))</formula>
    </cfRule>
    <cfRule type="containsText" dxfId="18" priority="10" operator="containsText" text="N">
      <formula>NOT(ISERROR(SEARCH("N",U26)))</formula>
    </cfRule>
    <cfRule type="containsText" dxfId="17" priority="11" operator="containsText" text="NON VERIFICA ">
      <formula>NOT(ISERROR(SEARCH("NON VERIFICA ",U26)))</formula>
    </cfRule>
    <cfRule type="cellIs" dxfId="16" priority="12" operator="equal">
      <formula>"NON VERIFICA"</formula>
    </cfRule>
    <cfRule type="cellIs" dxfId="15" priority="13" operator="equal">
      <formula>"NON VERIFICA"</formula>
    </cfRule>
    <cfRule type="cellIs" dxfId="14" priority="14" operator="equal">
      <formula>"VERIFICA"</formula>
    </cfRule>
  </conditionalFormatting>
  <conditionalFormatting sqref="AK22">
    <cfRule type="containsText" dxfId="13" priority="1" operator="containsText" text="NON ">
      <formula>NOT(ISERROR(SEARCH("NON ",AK22)))</formula>
    </cfRule>
    <cfRule type="containsText" dxfId="12" priority="2" operator="containsText" text="VERIFICA">
      <formula>NOT(ISERROR(SEARCH("VERIFICA",AK22)))</formula>
    </cfRule>
    <cfRule type="containsText" dxfId="11" priority="3" operator="containsText" text="N">
      <formula>NOT(ISERROR(SEARCH("N",AK22)))</formula>
    </cfRule>
    <cfRule type="containsText" dxfId="10" priority="4" operator="containsText" text="NON VERIFICA ">
      <formula>NOT(ISERROR(SEARCH("NON VERIFICA ",AK22)))</formula>
    </cfRule>
    <cfRule type="cellIs" dxfId="9" priority="5" operator="equal">
      <formula>"NON VERIFICA"</formula>
    </cfRule>
    <cfRule type="cellIs" dxfId="8" priority="6" operator="equal">
      <formula>"NON VERIFICA"</formula>
    </cfRule>
    <cfRule type="cellIs" dxfId="7" priority="7" operator="equal">
      <formula>"VERIFICA"</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showGridLines="0" workbookViewId="0">
      <selection activeCell="L6" sqref="L6"/>
    </sheetView>
  </sheetViews>
  <sheetFormatPr defaultRowHeight="15" x14ac:dyDescent="0.25"/>
  <cols>
    <col min="2" max="2" width="11.140625" customWidth="1"/>
    <col min="3" max="3" width="14.85546875" customWidth="1"/>
  </cols>
  <sheetData>
    <row r="1" spans="1:4" x14ac:dyDescent="0.25">
      <c r="A1" s="144" t="s">
        <v>554</v>
      </c>
      <c r="B1" s="144"/>
      <c r="C1" s="144"/>
    </row>
    <row r="2" spans="1:4" ht="18" x14ac:dyDescent="0.35">
      <c r="A2" s="60" t="s">
        <v>449</v>
      </c>
      <c r="B2" s="60">
        <f>Materiali!B5*'Caratteristiche trave V140'!B30*'Caratteristiche trave V140'!B31*1000</f>
        <v>16167.70833333333</v>
      </c>
      <c r="C2" s="60" t="s">
        <v>362</v>
      </c>
      <c r="D2" t="s">
        <v>450</v>
      </c>
    </row>
    <row r="3" spans="1:4" x14ac:dyDescent="0.25">
      <c r="A3" s="60" t="s">
        <v>428</v>
      </c>
      <c r="B3" s="60">
        <v>200</v>
      </c>
      <c r="C3" s="60" t="s">
        <v>5</v>
      </c>
      <c r="D3" t="s">
        <v>465</v>
      </c>
    </row>
    <row r="4" spans="1:4" ht="18" x14ac:dyDescent="0.35">
      <c r="A4" s="60" t="s">
        <v>451</v>
      </c>
      <c r="B4" s="60">
        <f>('Caratteristiche trave V140'!B2*1000/'verifica connettori'!B3)*2</f>
        <v>250</v>
      </c>
      <c r="C4" s="60" t="s">
        <v>258</v>
      </c>
      <c r="D4" t="s">
        <v>464</v>
      </c>
    </row>
    <row r="5" spans="1:4" ht="18" x14ac:dyDescent="0.35">
      <c r="A5" s="60" t="s">
        <v>452</v>
      </c>
      <c r="B5" s="60">
        <v>2</v>
      </c>
      <c r="C5" s="60" t="s">
        <v>258</v>
      </c>
      <c r="D5" t="s">
        <v>453</v>
      </c>
    </row>
    <row r="6" spans="1:4" ht="18" x14ac:dyDescent="0.35">
      <c r="A6" s="17" t="s">
        <v>454</v>
      </c>
      <c r="B6" s="60">
        <v>12</v>
      </c>
      <c r="C6" s="60" t="s">
        <v>5</v>
      </c>
      <c r="D6" t="s">
        <v>455</v>
      </c>
    </row>
    <row r="7" spans="1:4" ht="18" x14ac:dyDescent="0.35">
      <c r="A7" s="17" t="s">
        <v>456</v>
      </c>
      <c r="B7" s="60">
        <v>200</v>
      </c>
      <c r="C7" s="60" t="s">
        <v>5</v>
      </c>
      <c r="D7" t="s">
        <v>457</v>
      </c>
    </row>
    <row r="8" spans="1:4" x14ac:dyDescent="0.25">
      <c r="A8" s="17" t="s">
        <v>43</v>
      </c>
      <c r="B8" s="60">
        <f>IF(B7/B6&gt;4,1,0.2/(B7/B6+1))</f>
        <v>1</v>
      </c>
      <c r="C8" s="60" t="s">
        <v>258</v>
      </c>
    </row>
    <row r="9" spans="1:4" ht="18" x14ac:dyDescent="0.35">
      <c r="A9" s="17" t="s">
        <v>458</v>
      </c>
      <c r="B9" s="60">
        <v>1.25</v>
      </c>
      <c r="C9" s="60" t="s">
        <v>258</v>
      </c>
      <c r="D9" t="s">
        <v>459</v>
      </c>
    </row>
    <row r="10" spans="1:4" ht="18" x14ac:dyDescent="0.35">
      <c r="A10" s="17" t="s">
        <v>460</v>
      </c>
      <c r="B10" s="9">
        <f>B2/B4/B5</f>
        <v>32.33541666666666</v>
      </c>
      <c r="C10" s="60" t="s">
        <v>362</v>
      </c>
      <c r="D10" t="s">
        <v>467</v>
      </c>
    </row>
    <row r="11" spans="1:4" ht="18" x14ac:dyDescent="0.35">
      <c r="A11" s="17" t="s">
        <v>461</v>
      </c>
      <c r="B11" s="9">
        <f>0.29*B8*B6^2*SQRT(Materiali!K10*Materiali!K4)/1000</f>
        <v>47.490170324421392</v>
      </c>
      <c r="C11" s="60" t="s">
        <v>362</v>
      </c>
      <c r="D11" t="s">
        <v>468</v>
      </c>
    </row>
    <row r="12" spans="1:4" ht="18" x14ac:dyDescent="0.35">
      <c r="A12" s="17" t="s">
        <v>462</v>
      </c>
      <c r="B12" s="9">
        <f>0.8*Materiali!O5*PI()*B6^2/4/1000</f>
        <v>48.858048948628465</v>
      </c>
      <c r="C12" s="60" t="s">
        <v>362</v>
      </c>
      <c r="D12" t="s">
        <v>469</v>
      </c>
    </row>
    <row r="13" spans="1:4" ht="18" x14ac:dyDescent="0.35">
      <c r="A13" s="17" t="s">
        <v>466</v>
      </c>
      <c r="B13" s="9">
        <f>MIN(B11:B12)</f>
        <v>47.490170324421392</v>
      </c>
      <c r="C13" s="60" t="s">
        <v>362</v>
      </c>
      <c r="D13" t="s">
        <v>470</v>
      </c>
    </row>
    <row r="14" spans="1:4" x14ac:dyDescent="0.25">
      <c r="A14" s="17" t="s">
        <v>228</v>
      </c>
      <c r="B14" s="9">
        <f>B10/B13</f>
        <v>0.68088651705758285</v>
      </c>
      <c r="C14" s="60" t="str">
        <f>IF((B14 &lt; 1),"VERIFICA", " NON VERIFICA")</f>
        <v>VERIFICA</v>
      </c>
    </row>
  </sheetData>
  <mergeCells count="1">
    <mergeCell ref="A1:C1"/>
  </mergeCells>
  <conditionalFormatting sqref="C14">
    <cfRule type="containsText" dxfId="6" priority="1" operator="containsText" text="NON ">
      <formula>NOT(ISERROR(SEARCH("NON ",C14)))</formula>
    </cfRule>
    <cfRule type="containsText" dxfId="5" priority="2" operator="containsText" text="VERIFICA">
      <formula>NOT(ISERROR(SEARCH("VERIFICA",C14)))</formula>
    </cfRule>
    <cfRule type="containsText" dxfId="4" priority="3" operator="containsText" text="N">
      <formula>NOT(ISERROR(SEARCH("N",C14)))</formula>
    </cfRule>
    <cfRule type="containsText" dxfId="3" priority="4" operator="containsText" text="NON VERIFICA ">
      <formula>NOT(ISERROR(SEARCH("NON VERIFICA ",C14)))</formula>
    </cfRule>
    <cfRule type="cellIs" dxfId="2" priority="5" operator="equal">
      <formula>"NON VERIFICA"</formula>
    </cfRule>
    <cfRule type="cellIs" dxfId="1" priority="6" operator="equal">
      <formula>"NON VERIFICA"</formula>
    </cfRule>
    <cfRule type="cellIs" dxfId="0" priority="7" operator="equal">
      <formula>"VERIFICA"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Materiali</vt:lpstr>
      <vt:lpstr>Caratteristiche trave V140</vt:lpstr>
      <vt:lpstr>fase 0 </vt:lpstr>
      <vt:lpstr>fase 1 </vt:lpstr>
      <vt:lpstr>fase 2 </vt:lpstr>
      <vt:lpstr>Perdite di tiro </vt:lpstr>
      <vt:lpstr>fase 3</vt:lpstr>
      <vt:lpstr>dominio</vt:lpstr>
      <vt:lpstr>SLU</vt:lpstr>
      <vt:lpstr>verifica connettori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gaudioso</dc:creator>
  <cp:lastModifiedBy>domenico gaudioso</cp:lastModifiedBy>
  <dcterms:created xsi:type="dcterms:W3CDTF">2020-02-13T10:39:02Z</dcterms:created>
  <dcterms:modified xsi:type="dcterms:W3CDTF">2020-04-07T13:29:54Z</dcterms:modified>
</cp:coreProperties>
</file>