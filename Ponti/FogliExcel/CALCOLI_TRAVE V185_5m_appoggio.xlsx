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2.xml" ContentType="application/vnd.openxmlformats-officedocument.themeOverrid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3.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defaultThemeVersion="166925"/>
  <mc:AlternateContent xmlns:mc="http://schemas.openxmlformats.org/markup-compatibility/2006">
    <mc:Choice Requires="x15">
      <x15ac:absPath xmlns:x15ac="http://schemas.microsoft.com/office/spreadsheetml/2010/11/ac" url="C:\Users\domy7\Desktop\Magistrale\Magistrale\PONTI\calcolo travi\calcolo travi\v185\"/>
    </mc:Choice>
  </mc:AlternateContent>
  <xr:revisionPtr revIDLastSave="0" documentId="13_ncr:1_{EECA692F-866F-4C19-AF4D-E81920DB69A1}" xr6:coauthVersionLast="44" xr6:coauthVersionMax="44" xr10:uidLastSave="{00000000-0000-0000-0000-000000000000}"/>
  <bookViews>
    <workbookView xWindow="-120" yWindow="-120" windowWidth="20730" windowHeight="11160" activeTab="2" xr2:uid="{00000000-000D-0000-FFFF-FFFF00000000}"/>
  </bookViews>
  <sheets>
    <sheet name="Materiali" sheetId="2" r:id="rId1"/>
    <sheet name="Caratteristiche trave V185" sheetId="3" r:id="rId2"/>
    <sheet name="fase 0 " sheetId="1" r:id="rId3"/>
    <sheet name="fase 1 " sheetId="4" r:id="rId4"/>
    <sheet name="fase 2 " sheetId="5" r:id="rId5"/>
    <sheet name="fase 3" sheetId="6" r:id="rId6"/>
    <sheet name="Perdite di tiro " sheetId="7" r:id="rId7"/>
    <sheet name="SLU" sheetId="9" r:id="rId8"/>
    <sheet name="dominio" sheetId="8" r:id="rId9"/>
    <sheet name="verifica connettori" sheetId="10" r:id="rId10"/>
  </sheets>
  <externalReferences>
    <externalReference r:id="rId11"/>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41" i="2" l="1"/>
  <c r="B39" i="2"/>
  <c r="B3" i="6" l="1"/>
  <c r="B4" i="6" s="1"/>
  <c r="A54" i="3"/>
  <c r="B5" i="5" l="1"/>
  <c r="B6" i="4"/>
  <c r="O4" i="2" l="1"/>
  <c r="B49" i="3" l="1"/>
  <c r="B48" i="3"/>
  <c r="B21" i="3" l="1"/>
  <c r="B20" i="3"/>
  <c r="B10" i="3"/>
  <c r="B9" i="3"/>
  <c r="B50" i="7" l="1"/>
  <c r="B49" i="7"/>
  <c r="B48" i="7"/>
  <c r="Q5" i="7"/>
  <c r="Q4" i="7"/>
  <c r="B117" i="7"/>
  <c r="B5" i="7" l="1"/>
  <c r="B4" i="7"/>
  <c r="B2" i="7"/>
  <c r="B13" i="3" l="1"/>
  <c r="B6" i="1" s="1"/>
  <c r="C56" i="3"/>
  <c r="C55" i="3"/>
  <c r="C54" i="3"/>
  <c r="B58" i="3" l="1"/>
  <c r="B60" i="3" l="1"/>
  <c r="B24" i="3"/>
  <c r="B14" i="3"/>
  <c r="B53" i="7" l="1"/>
  <c r="B6" i="7"/>
  <c r="B4" i="10" l="1"/>
  <c r="B12" i="10"/>
  <c r="B8" i="10"/>
  <c r="L5" i="9" l="1"/>
  <c r="B2" i="1"/>
  <c r="B4" i="1" s="1"/>
  <c r="B82" i="7" s="1"/>
  <c r="J26" i="2" l="1"/>
  <c r="G26" i="2"/>
  <c r="B71" i="7" l="1"/>
  <c r="B67" i="7" l="1"/>
  <c r="B33" i="3"/>
  <c r="B41" i="3" s="1"/>
  <c r="B68" i="7" s="1"/>
  <c r="B34" i="3"/>
  <c r="B35" i="3"/>
  <c r="B36" i="3"/>
  <c r="B44" i="3"/>
  <c r="B46" i="3" s="1"/>
  <c r="B47" i="3"/>
  <c r="B50" i="3"/>
  <c r="B118" i="7" s="1"/>
  <c r="B64" i="7"/>
  <c r="B69" i="7"/>
  <c r="B9" i="7"/>
  <c r="Q11" i="7"/>
  <c r="Q27" i="7"/>
  <c r="Q26" i="7"/>
  <c r="Q25" i="7"/>
  <c r="Q21" i="7"/>
  <c r="Q20" i="7"/>
  <c r="Q7" i="7"/>
  <c r="Q47" i="7"/>
  <c r="B18" i="7"/>
  <c r="B17" i="7"/>
  <c r="B16" i="7"/>
  <c r="B54" i="7"/>
  <c r="B3" i="7"/>
  <c r="B12" i="7" s="1"/>
  <c r="B11" i="7"/>
  <c r="B13" i="7" l="1"/>
  <c r="B19" i="7" s="1"/>
  <c r="B20" i="7" s="1"/>
  <c r="Q22" i="7"/>
  <c r="Q24" i="7" s="1"/>
  <c r="Q28" i="7" l="1"/>
  <c r="Q29" i="7" s="1"/>
  <c r="B15" i="7"/>
  <c r="B21" i="7" s="1"/>
  <c r="B22" i="7" s="1"/>
  <c r="B35" i="7"/>
  <c r="B37" i="7"/>
  <c r="Q30" i="7"/>
  <c r="Q44" i="7"/>
  <c r="Q46" i="7"/>
  <c r="Q48" i="7" s="1"/>
  <c r="Q31" i="7" l="1"/>
  <c r="Q49" i="7"/>
  <c r="B97" i="7" s="1"/>
  <c r="G50" i="5" l="1"/>
  <c r="C31" i="6" s="1"/>
  <c r="E31" i="6" s="1"/>
  <c r="B4" i="5"/>
  <c r="B3" i="5"/>
  <c r="B6" i="5" s="1"/>
  <c r="B105" i="7" s="1"/>
  <c r="K4" i="2" l="1"/>
  <c r="K5" i="2" s="1"/>
  <c r="K6" i="2" l="1"/>
  <c r="K10" i="2" s="1"/>
  <c r="B11" i="10" s="1"/>
  <c r="B13" i="10" s="1"/>
  <c r="Q10" i="7"/>
  <c r="B9" i="6"/>
  <c r="D37" i="6" s="1"/>
  <c r="B11" i="6"/>
  <c r="B10" i="6"/>
  <c r="B8" i="6"/>
  <c r="D35" i="6" s="1"/>
  <c r="D36" i="6" s="1"/>
  <c r="B12" i="5"/>
  <c r="B10" i="5"/>
  <c r="D53" i="5" s="1"/>
  <c r="G53" i="5" s="1"/>
  <c r="C34" i="6" s="1"/>
  <c r="E34" i="6" s="1"/>
  <c r="B11" i="5"/>
  <c r="D56" i="5" s="1"/>
  <c r="K7" i="2"/>
  <c r="B5" i="4"/>
  <c r="B7" i="4" s="1"/>
  <c r="Q6" i="1"/>
  <c r="B37" i="4" s="1"/>
  <c r="Q3" i="1"/>
  <c r="B34" i="4" s="1"/>
  <c r="J34" i="4" l="1"/>
  <c r="O34" i="4" s="1"/>
  <c r="C54" i="5" s="1"/>
  <c r="J37" i="4"/>
  <c r="O37" i="4" s="1"/>
  <c r="C57" i="5" s="1"/>
  <c r="G57" i="5" s="1"/>
  <c r="C38" i="6" s="1"/>
  <c r="E38" i="6" s="1"/>
  <c r="Q45" i="7"/>
  <c r="Q43" i="7"/>
  <c r="Q50" i="7" s="1"/>
  <c r="Q34" i="7"/>
  <c r="B98" i="7" s="1"/>
  <c r="B99" i="7" s="1"/>
  <c r="D54" i="5"/>
  <c r="K9" i="2"/>
  <c r="K8" i="2"/>
  <c r="B62" i="7"/>
  <c r="B65" i="7"/>
  <c r="B7" i="1"/>
  <c r="B58" i="7" s="1"/>
  <c r="B57" i="7" s="1"/>
  <c r="B59" i="7" s="1"/>
  <c r="B78" i="7" s="1"/>
  <c r="B33" i="2"/>
  <c r="B27" i="2"/>
  <c r="B52" i="7" s="1"/>
  <c r="B19" i="2"/>
  <c r="B13" i="2"/>
  <c r="B14" i="2" s="1"/>
  <c r="B4" i="2"/>
  <c r="B5" i="2" s="1"/>
  <c r="B2" i="10" l="1"/>
  <c r="B10" i="10" s="1"/>
  <c r="B14" i="10" s="1"/>
  <c r="C14" i="10" s="1"/>
  <c r="L12" i="9"/>
  <c r="L13" i="9" s="1"/>
  <c r="L14" i="9" s="1"/>
  <c r="L15" i="9" s="1"/>
  <c r="L16" i="9" s="1"/>
  <c r="B100" i="7"/>
  <c r="B101" i="7" s="1"/>
  <c r="B34" i="2"/>
  <c r="B8" i="7"/>
  <c r="G54" i="5"/>
  <c r="C35" i="6" s="1"/>
  <c r="E35" i="6" s="1"/>
  <c r="B7" i="2"/>
  <c r="B8" i="2" s="1"/>
  <c r="Q38" i="7"/>
  <c r="Q37" i="7"/>
  <c r="Q41" i="7" s="1"/>
  <c r="Q35" i="7"/>
  <c r="Q39" i="7" s="1"/>
  <c r="Q36" i="7"/>
  <c r="Q40" i="7" s="1"/>
  <c r="B16" i="2"/>
  <c r="B18" i="2" s="1"/>
  <c r="B63" i="7"/>
  <c r="B42" i="3"/>
  <c r="B8" i="3"/>
  <c r="B19" i="3"/>
  <c r="J6" i="1"/>
  <c r="N6" i="1" s="1"/>
  <c r="R6" i="1" s="1"/>
  <c r="C37" i="4" s="1"/>
  <c r="G37" i="4" s="1"/>
  <c r="J5" i="1"/>
  <c r="N5" i="1" s="1"/>
  <c r="R5" i="1" s="1"/>
  <c r="C36" i="4" s="1"/>
  <c r="G36" i="4" s="1"/>
  <c r="D55" i="5"/>
  <c r="B11" i="3"/>
  <c r="B22" i="3"/>
  <c r="B10" i="4" s="1"/>
  <c r="J36" i="4" s="1"/>
  <c r="B25" i="3"/>
  <c r="B11" i="4" s="1"/>
  <c r="B20" i="2"/>
  <c r="B22" i="2" s="1"/>
  <c r="B6" i="2"/>
  <c r="B10" i="2" s="1"/>
  <c r="B40" i="3" s="1"/>
  <c r="B56" i="2"/>
  <c r="B55" i="2"/>
  <c r="B57" i="2"/>
  <c r="B29" i="2"/>
  <c r="B103" i="7" l="1"/>
  <c r="B102" i="7"/>
  <c r="B15" i="2"/>
  <c r="L17" i="9"/>
  <c r="L18" i="9" s="1"/>
  <c r="L19" i="9" s="1"/>
  <c r="M19" i="9" s="1"/>
  <c r="B32" i="2"/>
  <c r="F7" i="1" s="1"/>
  <c r="B51" i="7"/>
  <c r="B43" i="3"/>
  <c r="B17" i="2"/>
  <c r="B15" i="5"/>
  <c r="B16" i="5" s="1"/>
  <c r="B17" i="5" s="1"/>
  <c r="B36" i="7"/>
  <c r="B38" i="7"/>
  <c r="B39" i="7" s="1"/>
  <c r="B40" i="7" s="1"/>
  <c r="B25" i="7"/>
  <c r="B75" i="7" s="1"/>
  <c r="B76" i="7" s="1"/>
  <c r="B34" i="7"/>
  <c r="B70" i="7"/>
  <c r="B8" i="5"/>
  <c r="D51" i="5" s="1"/>
  <c r="B6" i="6"/>
  <c r="D32" i="6" s="1"/>
  <c r="B7" i="6"/>
  <c r="D33" i="6" s="1"/>
  <c r="B9" i="5"/>
  <c r="D52" i="5" s="1"/>
  <c r="I5" i="1"/>
  <c r="K37" i="4"/>
  <c r="P37" i="4"/>
  <c r="B57" i="5" s="1"/>
  <c r="B38" i="6" s="1"/>
  <c r="J4" i="1"/>
  <c r="N4" i="1" s="1"/>
  <c r="R4" i="1" s="1"/>
  <c r="C35" i="4" s="1"/>
  <c r="G35" i="4" s="1"/>
  <c r="J3" i="1"/>
  <c r="N3" i="1" s="1"/>
  <c r="R3" i="1" s="1"/>
  <c r="C34" i="4" s="1"/>
  <c r="G34" i="4" s="1"/>
  <c r="B23" i="3"/>
  <c r="B9" i="1"/>
  <c r="K36" i="4"/>
  <c r="P36" i="4"/>
  <c r="B56" i="5" s="1"/>
  <c r="B37" i="6" s="1"/>
  <c r="B9" i="2"/>
  <c r="B18" i="5" l="1"/>
  <c r="D18" i="5" s="1"/>
  <c r="B22" i="5"/>
  <c r="D22" i="5" s="1"/>
  <c r="B21" i="5"/>
  <c r="E56" i="5" s="1"/>
  <c r="B20" i="5"/>
  <c r="E55" i="5" s="1"/>
  <c r="B41" i="7"/>
  <c r="B80" i="7" s="1"/>
  <c r="B19" i="5"/>
  <c r="E52" i="5" s="1"/>
  <c r="B28" i="7"/>
  <c r="B32" i="7" s="1"/>
  <c r="B26" i="7"/>
  <c r="B30" i="7" s="1"/>
  <c r="B29" i="7"/>
  <c r="B27" i="7"/>
  <c r="B9" i="4"/>
  <c r="J35" i="4" s="1"/>
  <c r="I4" i="1"/>
  <c r="K34" i="4"/>
  <c r="P34" i="4"/>
  <c r="B54" i="5" s="1"/>
  <c r="K35" i="4"/>
  <c r="P35" i="4"/>
  <c r="B55" i="5" s="1"/>
  <c r="B36" i="6" s="1"/>
  <c r="B106" i="7" l="1"/>
  <c r="B107" i="7" s="1"/>
  <c r="B84" i="7"/>
  <c r="B85" i="7" s="1"/>
  <c r="B92" i="7" s="1"/>
  <c r="D21" i="5"/>
  <c r="E51" i="5"/>
  <c r="D20" i="5"/>
  <c r="D19" i="5"/>
  <c r="B31" i="7"/>
  <c r="B88" i="7"/>
  <c r="B53" i="5"/>
  <c r="B34" i="6" s="1"/>
  <c r="B35" i="6"/>
  <c r="B52" i="5"/>
  <c r="B111" i="7" l="1"/>
  <c r="B112" i="7" s="1"/>
  <c r="B25" i="5" s="1"/>
  <c r="B90" i="7"/>
  <c r="B11" i="1" s="1"/>
  <c r="B13" i="1" s="1"/>
  <c r="B89" i="7"/>
  <c r="B94" i="7"/>
  <c r="B16" i="4" s="1"/>
  <c r="B93" i="7"/>
  <c r="B50" i="5"/>
  <c r="B31" i="6" s="1"/>
  <c r="B33" i="6"/>
  <c r="B51" i="5"/>
  <c r="B32" i="6" s="1"/>
  <c r="B30" i="5" l="1"/>
  <c r="D30" i="5" s="1"/>
  <c r="B27" i="5"/>
  <c r="F52" i="5" s="1"/>
  <c r="G52" i="5" s="1"/>
  <c r="B26" i="5"/>
  <c r="D26" i="5" s="1"/>
  <c r="B29" i="5"/>
  <c r="D29" i="5" s="1"/>
  <c r="B28" i="5"/>
  <c r="F55" i="5" s="1"/>
  <c r="B18" i="4"/>
  <c r="B17" i="4"/>
  <c r="B19" i="4"/>
  <c r="D19" i="4" s="1"/>
  <c r="B19" i="1"/>
  <c r="M5" i="1"/>
  <c r="Q5" i="1" s="1"/>
  <c r="B36" i="4" s="1"/>
  <c r="B15" i="1"/>
  <c r="B17" i="1"/>
  <c r="M4" i="1"/>
  <c r="Q4" i="1" s="1"/>
  <c r="B35" i="4" s="1"/>
  <c r="B22" i="1"/>
  <c r="B46" i="2" s="1"/>
  <c r="B47" i="2" s="1"/>
  <c r="D27" i="5"/>
  <c r="F51" i="5" l="1"/>
  <c r="G51" i="5" s="1"/>
  <c r="B33" i="5" s="1"/>
  <c r="F56" i="5"/>
  <c r="D28" i="5"/>
  <c r="D19" i="1"/>
  <c r="F19" i="1" s="1"/>
  <c r="B26" i="4"/>
  <c r="D26" i="4" s="1"/>
  <c r="B24" i="4"/>
  <c r="D17" i="1"/>
  <c r="F17" i="1" s="1"/>
  <c r="B35" i="5"/>
  <c r="D35" i="5" s="1"/>
  <c r="C33" i="6"/>
  <c r="E33" i="6" s="1"/>
  <c r="B16" i="6" s="1"/>
  <c r="D16" i="6" s="1"/>
  <c r="D15" i="1"/>
  <c r="B22" i="4"/>
  <c r="D17" i="4"/>
  <c r="F35" i="4"/>
  <c r="O35" i="4" s="1"/>
  <c r="C55" i="5" s="1"/>
  <c r="G55" i="5" s="1"/>
  <c r="B29" i="4"/>
  <c r="F22" i="1"/>
  <c r="G22" i="1"/>
  <c r="D18" i="4"/>
  <c r="F36" i="4"/>
  <c r="O36" i="4" s="1"/>
  <c r="C56" i="5" s="1"/>
  <c r="G56" i="5" s="1"/>
  <c r="C32" i="6" l="1"/>
  <c r="E32" i="6" s="1"/>
  <c r="B14" i="6" s="1"/>
  <c r="D14" i="6" s="1"/>
  <c r="G14" i="6" s="1"/>
  <c r="G17" i="1"/>
  <c r="B37" i="5"/>
  <c r="D37" i="5" s="1"/>
  <c r="C36" i="6"/>
  <c r="E36" i="6" s="1"/>
  <c r="B18" i="6" s="1"/>
  <c r="D18" i="6" s="1"/>
  <c r="F15" i="1"/>
  <c r="E15" i="1"/>
  <c r="G16" i="6"/>
  <c r="F16" i="6"/>
  <c r="E16" i="6"/>
  <c r="G19" i="1"/>
  <c r="D22" i="4"/>
  <c r="G22" i="4" s="1"/>
  <c r="G35" i="5"/>
  <c r="E35" i="5"/>
  <c r="F35" i="5"/>
  <c r="D24" i="4"/>
  <c r="G24" i="4" s="1"/>
  <c r="G26" i="4"/>
  <c r="F26" i="4"/>
  <c r="E26" i="4"/>
  <c r="C37" i="6"/>
  <c r="E37" i="6" s="1"/>
  <c r="B20" i="6" s="1"/>
  <c r="D20" i="6" s="1"/>
  <c r="B39" i="5"/>
  <c r="D39" i="5" s="1"/>
  <c r="G29" i="4"/>
  <c r="E29" i="4"/>
  <c r="B42" i="5"/>
  <c r="G15" i="1"/>
  <c r="D33" i="5"/>
  <c r="G33" i="5" s="1"/>
  <c r="E24" i="4" l="1"/>
  <c r="F24" i="4"/>
  <c r="F33" i="5"/>
  <c r="E33" i="5"/>
  <c r="E22" i="4"/>
  <c r="F22" i="4"/>
  <c r="G39" i="5"/>
  <c r="E39" i="5"/>
  <c r="F39" i="5"/>
  <c r="G18" i="6"/>
  <c r="E18" i="6"/>
  <c r="F18" i="6"/>
  <c r="G42" i="5"/>
  <c r="E42" i="5"/>
  <c r="B23" i="6"/>
  <c r="G20" i="6"/>
  <c r="F20" i="6"/>
  <c r="E20" i="6"/>
  <c r="F14" i="6"/>
  <c r="E14" i="6"/>
  <c r="G37" i="5"/>
  <c r="E37" i="5"/>
  <c r="F37" i="5"/>
  <c r="B26" i="6" l="1"/>
  <c r="G23" i="6"/>
  <c r="E23" i="6"/>
  <c r="G26" i="6" l="1"/>
  <c r="E26" i="6"/>
</calcChain>
</file>

<file path=xl/sharedStrings.xml><?xml version="1.0" encoding="utf-8"?>
<sst xmlns="http://schemas.openxmlformats.org/spreadsheetml/2006/main" count="991" uniqueCount="501">
  <si>
    <t>Peso Proprio - fase 0</t>
  </si>
  <si>
    <t>KN/m</t>
  </si>
  <si>
    <t>L</t>
  </si>
  <si>
    <t>m</t>
  </si>
  <si>
    <t>KNm</t>
  </si>
  <si>
    <r>
      <t>N/mm</t>
    </r>
    <r>
      <rPr>
        <vertAlign val="superscript"/>
        <sz val="11"/>
        <color theme="1"/>
        <rFont val="Calibri"/>
        <family val="2"/>
        <scheme val="minor"/>
      </rPr>
      <t>2</t>
    </r>
  </si>
  <si>
    <t>mm</t>
  </si>
  <si>
    <t>KN</t>
  </si>
  <si>
    <r>
      <t>mm</t>
    </r>
    <r>
      <rPr>
        <vertAlign val="superscript"/>
        <sz val="11"/>
        <color theme="1"/>
        <rFont val="Calibri"/>
        <family val="2"/>
        <scheme val="minor"/>
      </rPr>
      <t>2</t>
    </r>
  </si>
  <si>
    <t>ϭc,max</t>
  </si>
  <si>
    <t>tensione massima comp. Del cls</t>
  </si>
  <si>
    <t>ϭs,max</t>
  </si>
  <si>
    <t>TENSIONE LIMITE IN ESERCIZIO</t>
  </si>
  <si>
    <t xml:space="preserve">tensione limite acciaio armatura pre -tesa </t>
  </si>
  <si>
    <t>Rara</t>
  </si>
  <si>
    <t>Quasi permanente</t>
  </si>
  <si>
    <t>Tensione massima armatura ordinaria</t>
  </si>
  <si>
    <t>Resistenza a trazione cls</t>
  </si>
  <si>
    <t>Resistenza a trazione per flessione</t>
  </si>
  <si>
    <t>Resistenza a trazione prima delle fessure</t>
  </si>
  <si>
    <r>
      <t>R</t>
    </r>
    <r>
      <rPr>
        <vertAlign val="subscript"/>
        <sz val="11"/>
        <color theme="1"/>
        <rFont val="Calibri"/>
        <family val="2"/>
        <scheme val="minor"/>
      </rPr>
      <t>ck</t>
    </r>
  </si>
  <si>
    <r>
      <t>f</t>
    </r>
    <r>
      <rPr>
        <vertAlign val="subscript"/>
        <sz val="11"/>
        <color theme="1"/>
        <rFont val="Calibri"/>
        <family val="2"/>
        <scheme val="minor"/>
      </rPr>
      <t>ck</t>
    </r>
  </si>
  <si>
    <r>
      <t>f</t>
    </r>
    <r>
      <rPr>
        <vertAlign val="subscript"/>
        <sz val="11"/>
        <color theme="1"/>
        <rFont val="Calibri"/>
        <family val="2"/>
        <scheme val="minor"/>
      </rPr>
      <t>cm</t>
    </r>
  </si>
  <si>
    <r>
      <t>f</t>
    </r>
    <r>
      <rPr>
        <vertAlign val="subscript"/>
        <sz val="11"/>
        <color theme="1"/>
        <rFont val="Calibri"/>
        <family val="2"/>
        <scheme val="minor"/>
      </rPr>
      <t>ctm</t>
    </r>
  </si>
  <si>
    <r>
      <t>f</t>
    </r>
    <r>
      <rPr>
        <vertAlign val="subscript"/>
        <sz val="11"/>
        <color theme="1"/>
        <rFont val="Calibri"/>
        <family val="2"/>
        <scheme val="minor"/>
      </rPr>
      <t>cfm</t>
    </r>
  </si>
  <si>
    <r>
      <t>ϭ</t>
    </r>
    <r>
      <rPr>
        <vertAlign val="subscript"/>
        <sz val="11"/>
        <color theme="1"/>
        <rFont val="Calibri"/>
        <family val="2"/>
        <scheme val="minor"/>
      </rPr>
      <t>ct</t>
    </r>
  </si>
  <si>
    <t>Calcestruzzo travi  C45/55</t>
  </si>
  <si>
    <r>
      <t>E</t>
    </r>
    <r>
      <rPr>
        <vertAlign val="subscript"/>
        <sz val="11"/>
        <color theme="1"/>
        <rFont val="Calibri"/>
        <family val="2"/>
        <scheme val="minor"/>
      </rPr>
      <t>cm</t>
    </r>
  </si>
  <si>
    <t>Caratteristiche cls al trasferimento della precompressione</t>
  </si>
  <si>
    <t>t</t>
  </si>
  <si>
    <t>giorni</t>
  </si>
  <si>
    <t>momento di trasferimento della precompressione</t>
  </si>
  <si>
    <r>
      <t>f</t>
    </r>
    <r>
      <rPr>
        <vertAlign val="subscript"/>
        <sz val="11"/>
        <color theme="1"/>
        <rFont val="Calibri"/>
        <family val="2"/>
        <scheme val="minor"/>
      </rPr>
      <t>cm</t>
    </r>
    <r>
      <rPr>
        <sz val="11"/>
        <color theme="1"/>
        <rFont val="Calibri"/>
        <family val="2"/>
        <scheme val="minor"/>
      </rPr>
      <t>(t)</t>
    </r>
  </si>
  <si>
    <r>
      <rPr>
        <sz val="11"/>
        <color theme="1"/>
        <rFont val="Calibri"/>
        <family val="2"/>
        <scheme val="minor"/>
      </rPr>
      <t>β</t>
    </r>
    <r>
      <rPr>
        <vertAlign val="subscript"/>
        <sz val="11"/>
        <color theme="1"/>
        <rFont val="Calibri"/>
        <family val="2"/>
        <scheme val="minor"/>
      </rPr>
      <t>cc</t>
    </r>
  </si>
  <si>
    <r>
      <t>f</t>
    </r>
    <r>
      <rPr>
        <vertAlign val="subscript"/>
        <sz val="11"/>
        <color theme="1"/>
        <rFont val="Calibri"/>
        <family val="2"/>
        <scheme val="minor"/>
      </rPr>
      <t>ck</t>
    </r>
    <r>
      <rPr>
        <sz val="11"/>
        <color theme="1"/>
        <rFont val="Calibri"/>
        <family val="2"/>
        <scheme val="minor"/>
      </rPr>
      <t>(t)</t>
    </r>
  </si>
  <si>
    <t>0.7 fck(t)</t>
  </si>
  <si>
    <t>0.6 fck(t)</t>
  </si>
  <si>
    <t>s</t>
  </si>
  <si>
    <r>
      <t>f</t>
    </r>
    <r>
      <rPr>
        <vertAlign val="subscript"/>
        <sz val="11"/>
        <color theme="1"/>
        <rFont val="Calibri"/>
        <family val="2"/>
        <scheme val="minor"/>
      </rPr>
      <t>ctm</t>
    </r>
    <r>
      <rPr>
        <sz val="11"/>
        <color theme="1"/>
        <rFont val="Calibri"/>
        <family val="2"/>
        <scheme val="minor"/>
      </rPr>
      <t>(t)</t>
    </r>
  </si>
  <si>
    <t>k</t>
  </si>
  <si>
    <r>
      <t>f</t>
    </r>
    <r>
      <rPr>
        <vertAlign val="subscript"/>
        <sz val="11"/>
        <color theme="1"/>
        <rFont val="Calibri"/>
        <family val="2"/>
        <scheme val="minor"/>
      </rPr>
      <t>ctm</t>
    </r>
    <r>
      <rPr>
        <sz val="11"/>
        <color theme="1"/>
        <rFont val="Calibri"/>
        <family val="2"/>
        <scheme val="minor"/>
      </rPr>
      <t>(t) k</t>
    </r>
  </si>
  <si>
    <t>valore limite della tensione di esercizio a cadute avvenute  della precompressione ( p. 4.1.8.1.4 )</t>
  </si>
  <si>
    <t>valore limite della tensione all'atto della precompressione ( p. 4.1.8.1.3 )</t>
  </si>
  <si>
    <t>valore di riduzione della resistenza a trazione del cls per le verifiche del conglomerato</t>
  </si>
  <si>
    <t>α</t>
  </si>
  <si>
    <t>coefficiente d'invecchiamento del calcestruzzo</t>
  </si>
  <si>
    <t>Limiti tensioni massime iniziali all'atto della tesaturaE</t>
  </si>
  <si>
    <t>ϭs,pi = 0.9 fpk</t>
  </si>
  <si>
    <t>ϭs,pi = 0.8 fp0k</t>
  </si>
  <si>
    <t>* si prende la condizione più restrittiva</t>
  </si>
  <si>
    <t>trefolo a sette fili ( classe 2 )</t>
  </si>
  <si>
    <t>Tensione massima compressione cls</t>
  </si>
  <si>
    <t>Caratteristeche dei materiali</t>
  </si>
  <si>
    <r>
      <t>f</t>
    </r>
    <r>
      <rPr>
        <vertAlign val="subscript"/>
        <sz val="11"/>
        <color theme="1"/>
        <rFont val="Calibri"/>
        <family val="2"/>
        <scheme val="minor"/>
      </rPr>
      <t>pk</t>
    </r>
  </si>
  <si>
    <r>
      <t>f</t>
    </r>
    <r>
      <rPr>
        <vertAlign val="subscript"/>
        <sz val="11"/>
        <color theme="1"/>
        <rFont val="Calibri"/>
        <family val="2"/>
        <scheme val="minor"/>
      </rPr>
      <t>p01,k</t>
    </r>
  </si>
  <si>
    <r>
      <t>E</t>
    </r>
    <r>
      <rPr>
        <vertAlign val="subscript"/>
        <sz val="11"/>
        <color theme="1"/>
        <rFont val="Calibri"/>
        <family val="2"/>
        <scheme val="minor"/>
      </rPr>
      <t>p</t>
    </r>
  </si>
  <si>
    <r>
      <t>A</t>
    </r>
    <r>
      <rPr>
        <vertAlign val="subscript"/>
        <sz val="11"/>
        <color theme="1"/>
        <rFont val="Calibri"/>
        <family val="2"/>
        <scheme val="minor"/>
      </rPr>
      <t>nom</t>
    </r>
  </si>
  <si>
    <t>Area nominale</t>
  </si>
  <si>
    <r>
      <rPr>
        <sz val="11"/>
        <color theme="1"/>
        <rFont val="Calibri"/>
        <family val="2"/>
      </rPr>
      <t>Φ</t>
    </r>
    <r>
      <rPr>
        <vertAlign val="subscript"/>
        <sz val="11"/>
        <color theme="1"/>
        <rFont val="Calibri"/>
        <family val="2"/>
      </rPr>
      <t>n</t>
    </r>
  </si>
  <si>
    <t>Diametro nominale</t>
  </si>
  <si>
    <t>Modulo elastico</t>
  </si>
  <si>
    <t>Caratteristiche trave</t>
  </si>
  <si>
    <t>n</t>
  </si>
  <si>
    <t>Caratteristiche statiche sezione solo calcestruzzo</t>
  </si>
  <si>
    <t xml:space="preserve"> </t>
  </si>
  <si>
    <t>Area totale trefoli</t>
  </si>
  <si>
    <t>mm4</t>
  </si>
  <si>
    <t>Momento d'inerzia baricentrico in direzione x</t>
  </si>
  <si>
    <t>Momento d'inerzia baricentrico in direzione y</t>
  </si>
  <si>
    <t>xG</t>
  </si>
  <si>
    <t>yG</t>
  </si>
  <si>
    <t>H - yG</t>
  </si>
  <si>
    <t>Armatura sezione</t>
  </si>
  <si>
    <t>Caratteristiche sezione omogenizzata interamente reagente</t>
  </si>
  <si>
    <r>
      <t>H</t>
    </r>
    <r>
      <rPr>
        <vertAlign val="subscript"/>
        <sz val="11"/>
        <color theme="1"/>
        <rFont val="Calibri"/>
        <family val="2"/>
        <scheme val="minor"/>
      </rPr>
      <t>sez</t>
    </r>
  </si>
  <si>
    <r>
      <t>A</t>
    </r>
    <r>
      <rPr>
        <vertAlign val="subscript"/>
        <sz val="11"/>
        <color theme="1"/>
        <rFont val="Calibri"/>
        <family val="2"/>
        <scheme val="minor"/>
      </rPr>
      <t>cls</t>
    </r>
  </si>
  <si>
    <r>
      <t>I</t>
    </r>
    <r>
      <rPr>
        <vertAlign val="subscript"/>
        <sz val="11"/>
        <color theme="1"/>
        <rFont val="Calibri"/>
        <family val="2"/>
        <scheme val="minor"/>
      </rPr>
      <t>xg</t>
    </r>
  </si>
  <si>
    <r>
      <t>I</t>
    </r>
    <r>
      <rPr>
        <vertAlign val="subscript"/>
        <sz val="11"/>
        <color theme="1"/>
        <rFont val="Calibri"/>
        <family val="2"/>
        <scheme val="minor"/>
      </rPr>
      <t>yg</t>
    </r>
  </si>
  <si>
    <r>
      <t>n</t>
    </r>
    <r>
      <rPr>
        <vertAlign val="subscript"/>
        <sz val="11"/>
        <color theme="1"/>
        <rFont val="Calibri"/>
        <family val="2"/>
        <scheme val="minor"/>
      </rPr>
      <t>tref</t>
    </r>
  </si>
  <si>
    <r>
      <t>A</t>
    </r>
    <r>
      <rPr>
        <vertAlign val="subscript"/>
        <sz val="11"/>
        <color theme="1"/>
        <rFont val="Calibri"/>
        <family val="2"/>
        <scheme val="minor"/>
      </rPr>
      <t>tref</t>
    </r>
  </si>
  <si>
    <r>
      <t>A</t>
    </r>
    <r>
      <rPr>
        <vertAlign val="subscript"/>
        <sz val="11"/>
        <color theme="1"/>
        <rFont val="Calibri"/>
        <family val="2"/>
        <scheme val="minor"/>
      </rPr>
      <t>tot</t>
    </r>
  </si>
  <si>
    <t>coefficiente omogenizzazione</t>
  </si>
  <si>
    <r>
      <t>mm</t>
    </r>
    <r>
      <rPr>
        <vertAlign val="superscript"/>
        <sz val="11"/>
        <color theme="1"/>
        <rFont val="Calibri"/>
        <family val="2"/>
        <scheme val="minor"/>
      </rPr>
      <t>4</t>
    </r>
  </si>
  <si>
    <t>Ascissa baricentro</t>
  </si>
  <si>
    <r>
      <t>Area totale = A</t>
    </r>
    <r>
      <rPr>
        <vertAlign val="subscript"/>
        <sz val="11"/>
        <color theme="1"/>
        <rFont val="Calibri"/>
        <family val="2"/>
        <scheme val="minor"/>
      </rPr>
      <t xml:space="preserve">cls </t>
    </r>
    <r>
      <rPr>
        <sz val="11"/>
        <color theme="1"/>
        <rFont val="Calibri"/>
        <family val="2"/>
        <scheme val="minor"/>
      </rPr>
      <t>+ n*A</t>
    </r>
    <r>
      <rPr>
        <vertAlign val="subscript"/>
        <sz val="11"/>
        <color theme="1"/>
        <rFont val="Calibri"/>
        <family val="2"/>
        <scheme val="minor"/>
      </rPr>
      <t>tref</t>
    </r>
  </si>
  <si>
    <r>
      <t>W</t>
    </r>
    <r>
      <rPr>
        <vertAlign val="subscript"/>
        <sz val="11"/>
        <color theme="1"/>
        <rFont val="Calibri"/>
        <family val="2"/>
        <scheme val="minor"/>
      </rPr>
      <t>x</t>
    </r>
  </si>
  <si>
    <r>
      <t>mm</t>
    </r>
    <r>
      <rPr>
        <vertAlign val="superscript"/>
        <sz val="11"/>
        <color theme="1"/>
        <rFont val="Calibri"/>
        <family val="2"/>
        <scheme val="minor"/>
      </rPr>
      <t>3</t>
    </r>
  </si>
  <si>
    <t>Modulo di resistenza elastico</t>
  </si>
  <si>
    <t>e</t>
  </si>
  <si>
    <t>eccentricità tra il punto di applicazione del tiro e il baricentro della sezione</t>
  </si>
  <si>
    <r>
      <t>y</t>
    </r>
    <r>
      <rPr>
        <vertAlign val="subscript"/>
        <sz val="11"/>
        <color theme="1"/>
        <rFont val="Calibri"/>
        <family val="2"/>
        <scheme val="minor"/>
      </rPr>
      <t>p</t>
    </r>
  </si>
  <si>
    <t>punto di applicazione dello sforzo normale</t>
  </si>
  <si>
    <t>Luce trave</t>
  </si>
  <si>
    <t>Tiro iniziale</t>
  </si>
  <si>
    <r>
      <t>G1</t>
    </r>
    <r>
      <rPr>
        <vertAlign val="subscript"/>
        <sz val="11"/>
        <color theme="1"/>
        <rFont val="Calibri"/>
        <family val="2"/>
        <scheme val="minor"/>
      </rPr>
      <t>(trave+ traversi)</t>
    </r>
  </si>
  <si>
    <r>
      <t>N</t>
    </r>
    <r>
      <rPr>
        <vertAlign val="subscript"/>
        <sz val="11"/>
        <color theme="1"/>
        <rFont val="Calibri"/>
        <family val="2"/>
        <scheme val="minor"/>
      </rPr>
      <t>p</t>
    </r>
    <r>
      <rPr>
        <vertAlign val="superscript"/>
        <sz val="11"/>
        <color theme="1"/>
        <rFont val="Calibri"/>
        <family val="2"/>
        <scheme val="minor"/>
      </rPr>
      <t>0</t>
    </r>
  </si>
  <si>
    <t>ϭpi</t>
  </si>
  <si>
    <t xml:space="preserve"> Tensione trefoli</t>
  </si>
  <si>
    <t>Tesnsione cls a livello del cavo al tiro</t>
  </si>
  <si>
    <t>ϭcc</t>
  </si>
  <si>
    <t>Perdite di tensione istantane</t>
  </si>
  <si>
    <t>ΔNi</t>
  </si>
  <si>
    <r>
      <t>N</t>
    </r>
    <r>
      <rPr>
        <vertAlign val="subscript"/>
        <sz val="11"/>
        <color theme="1"/>
        <rFont val="Calibri"/>
        <family val="2"/>
        <scheme val="minor"/>
      </rPr>
      <t>p</t>
    </r>
    <r>
      <rPr>
        <vertAlign val="superscript"/>
        <sz val="11"/>
        <color theme="1"/>
        <rFont val="Calibri"/>
        <family val="2"/>
        <scheme val="minor"/>
      </rPr>
      <t>0</t>
    </r>
    <r>
      <rPr>
        <sz val="11"/>
        <color theme="1"/>
        <rFont val="Calibri"/>
        <family val="2"/>
        <scheme val="minor"/>
      </rPr>
      <t xml:space="preserve"> - Δni</t>
    </r>
  </si>
  <si>
    <t>Precompressione dopo le perdite di tensione dovute alla deformazione istantanea del cls</t>
  </si>
  <si>
    <r>
      <t>Mg</t>
    </r>
    <r>
      <rPr>
        <vertAlign val="superscript"/>
        <sz val="11"/>
        <color theme="1"/>
        <rFont val="Calibri"/>
        <family val="2"/>
        <scheme val="minor"/>
      </rPr>
      <t>+</t>
    </r>
  </si>
  <si>
    <t>Tesnsione cls a lembo superiore</t>
  </si>
  <si>
    <r>
      <t>W</t>
    </r>
    <r>
      <rPr>
        <vertAlign val="subscript"/>
        <sz val="11"/>
        <color theme="1"/>
        <rFont val="Calibri"/>
        <family val="2"/>
        <scheme val="minor"/>
      </rPr>
      <t>x</t>
    </r>
    <r>
      <rPr>
        <sz val="11"/>
        <color theme="1"/>
        <rFont val="Calibri"/>
        <family val="2"/>
        <scheme val="minor"/>
      </rPr>
      <t>, inf</t>
    </r>
  </si>
  <si>
    <r>
      <t>W</t>
    </r>
    <r>
      <rPr>
        <vertAlign val="subscript"/>
        <sz val="11"/>
        <color theme="1"/>
        <rFont val="Calibri"/>
        <family val="2"/>
        <scheme val="minor"/>
      </rPr>
      <t>x</t>
    </r>
    <r>
      <rPr>
        <sz val="11"/>
        <color theme="1"/>
        <rFont val="Calibri"/>
        <family val="2"/>
        <scheme val="minor"/>
      </rPr>
      <t>, sup</t>
    </r>
  </si>
  <si>
    <t>Tesnsione cls a lembo inferiore</t>
  </si>
  <si>
    <t>ϭcc,inf</t>
  </si>
  <si>
    <t>ϭcc,sup</t>
  </si>
  <si>
    <t>Y</t>
  </si>
  <si>
    <t>X</t>
  </si>
  <si>
    <t>Peso Proprio fase 0</t>
  </si>
  <si>
    <t>Precompressione  fase 0</t>
  </si>
  <si>
    <t>ϭ &lt; 0.7 fctk (t)</t>
  </si>
  <si>
    <t>ϭs &lt; min ( 0.9 fpk, 0.8 fp0k)</t>
  </si>
  <si>
    <t xml:space="preserve">Tensione cls a livello del cavo </t>
  </si>
  <si>
    <t xml:space="preserve">Tensione cls nel cavo </t>
  </si>
  <si>
    <t>Tensioni del cavo dopo le cadute di tensione dovute al peso proprio</t>
  </si>
  <si>
    <r>
      <t>ϭcc</t>
    </r>
    <r>
      <rPr>
        <vertAlign val="superscript"/>
        <sz val="11"/>
        <color theme="1"/>
        <rFont val="Calibri"/>
        <family val="2"/>
        <scheme val="minor"/>
      </rPr>
      <t>0</t>
    </r>
  </si>
  <si>
    <r>
      <t>ϭsp</t>
    </r>
    <r>
      <rPr>
        <vertAlign val="superscript"/>
        <sz val="11"/>
        <color theme="1"/>
        <rFont val="Calibri"/>
        <family val="2"/>
        <scheme val="minor"/>
      </rPr>
      <t>0</t>
    </r>
  </si>
  <si>
    <t>GETTO IN OPERA DELLA SOLETTA : fase 1</t>
  </si>
  <si>
    <t>(Sezione resistente  formata dalla sola trave, soletta considerata solo come carico )</t>
  </si>
  <si>
    <t>Sollecitazioni al getto della soletta</t>
  </si>
  <si>
    <r>
      <t>M</t>
    </r>
    <r>
      <rPr>
        <vertAlign val="subscript"/>
        <sz val="11"/>
        <color theme="1"/>
        <rFont val="Calibri"/>
        <family val="2"/>
        <scheme val="minor"/>
      </rPr>
      <t>max</t>
    </r>
  </si>
  <si>
    <r>
      <t>G</t>
    </r>
    <r>
      <rPr>
        <vertAlign val="subscript"/>
        <sz val="11"/>
        <color theme="1"/>
        <rFont val="Calibri"/>
        <family val="2"/>
        <scheme val="minor"/>
      </rPr>
      <t>soletta</t>
    </r>
  </si>
  <si>
    <r>
      <t>Variazioni di tensione dovute a M</t>
    </r>
    <r>
      <rPr>
        <vertAlign val="subscript"/>
        <sz val="11"/>
        <color theme="1"/>
        <rFont val="Calibri"/>
        <family val="2"/>
        <scheme val="minor"/>
      </rPr>
      <t>max</t>
    </r>
  </si>
  <si>
    <t>Variazione di tensione nel cls al lembo superiore</t>
  </si>
  <si>
    <t>Variazione di tensione nel cls al lembo inferiore</t>
  </si>
  <si>
    <t>variazione di tensione nel cls al livello del baricentro dei cavi</t>
  </si>
  <si>
    <t>A favore di sicurezza si è considerato che il getto della soletta avvenga dopo molto tempo rispetto al tiro delle travi in precompresso, in modo da poter considerare, in questa fase tutte le perdite di tensione lente riguardo la precompressione.</t>
  </si>
  <si>
    <r>
      <t>Δϭcc</t>
    </r>
    <r>
      <rPr>
        <vertAlign val="superscript"/>
        <sz val="11"/>
        <color theme="1"/>
        <rFont val="Calibri"/>
        <family val="2"/>
      </rPr>
      <t>1</t>
    </r>
  </si>
  <si>
    <r>
      <t>Δϭc</t>
    </r>
    <r>
      <rPr>
        <vertAlign val="superscript"/>
        <sz val="11"/>
        <color theme="1"/>
        <rFont val="Calibri"/>
        <family val="2"/>
      </rPr>
      <t>1</t>
    </r>
  </si>
  <si>
    <t>Variazioni di tensione dovute alle perdite di precompressione</t>
  </si>
  <si>
    <t>ΔNt</t>
  </si>
  <si>
    <t>Perdita totale di precompressione</t>
  </si>
  <si>
    <t>Tensione cls lembo superiore</t>
  </si>
  <si>
    <r>
      <t>Δϭcs</t>
    </r>
    <r>
      <rPr>
        <vertAlign val="superscript"/>
        <sz val="11"/>
        <color theme="1"/>
        <rFont val="Calibri"/>
        <family val="2"/>
      </rPr>
      <t>1</t>
    </r>
  </si>
  <si>
    <r>
      <t>Δϭci</t>
    </r>
    <r>
      <rPr>
        <vertAlign val="superscript"/>
        <sz val="11"/>
        <color theme="1"/>
        <rFont val="Calibri"/>
        <family val="2"/>
      </rPr>
      <t>1</t>
    </r>
  </si>
  <si>
    <t>Tensione cls lembo inferiore</t>
  </si>
  <si>
    <t>ϭci1</t>
  </si>
  <si>
    <t>ϭcs1</t>
  </si>
  <si>
    <t>Tensione cls al livello del cavo</t>
  </si>
  <si>
    <t>ϭct1</t>
  </si>
  <si>
    <t>Tensione nel cavo</t>
  </si>
  <si>
    <t>Tensione nel cavo dopo le perdite in fase 1 e le cadute di tensione al peso della soletta</t>
  </si>
  <si>
    <t>ϭsp1</t>
  </si>
  <si>
    <t>Tensioni cls fase 0</t>
  </si>
  <si>
    <t>Perdite  fase 1</t>
  </si>
  <si>
    <t>Peso soletta fase 1</t>
  </si>
  <si>
    <t>Calcestruzzo soletta  C35/45</t>
  </si>
  <si>
    <t>SOLETTA COLLABORANTE : fase 2</t>
  </si>
  <si>
    <t>Caratteristiche soletta</t>
  </si>
  <si>
    <t>B</t>
  </si>
  <si>
    <t>larghezza soletta</t>
  </si>
  <si>
    <t>spessore soletta</t>
  </si>
  <si>
    <t>As,sup</t>
  </si>
  <si>
    <t>As,inf</t>
  </si>
  <si>
    <t>Φ</t>
  </si>
  <si>
    <t>diametro armature soletta</t>
  </si>
  <si>
    <t>area armatura superiore</t>
  </si>
  <si>
    <t>area armatura inferiore</t>
  </si>
  <si>
    <t>Caratteristiche sezione omogenizzata</t>
  </si>
  <si>
    <t>n2</t>
  </si>
  <si>
    <t>coefficiente omogenizzazione (rapporto tra i due moduli elastici, soletta e CAP)</t>
  </si>
  <si>
    <r>
      <t>A</t>
    </r>
    <r>
      <rPr>
        <vertAlign val="subscript"/>
        <sz val="11"/>
        <color theme="1"/>
        <rFont val="Calibri"/>
        <family val="2"/>
        <scheme val="minor"/>
      </rPr>
      <t>soletta</t>
    </r>
  </si>
  <si>
    <t>Area cls soletta</t>
  </si>
  <si>
    <t>Acls</t>
  </si>
  <si>
    <t>Area cls soletta + trave</t>
  </si>
  <si>
    <t>coefficiente omogenizzazione (rapporto tra i due moduli elastici, trefolo e CAP)</t>
  </si>
  <si>
    <t>Hsez</t>
  </si>
  <si>
    <t>H- yG</t>
  </si>
  <si>
    <r>
      <t>J</t>
    </r>
    <r>
      <rPr>
        <vertAlign val="subscript"/>
        <sz val="11"/>
        <color theme="1"/>
        <rFont val="Calibri"/>
        <family val="2"/>
        <scheme val="minor"/>
      </rPr>
      <t>XG</t>
    </r>
  </si>
  <si>
    <r>
      <t>J</t>
    </r>
    <r>
      <rPr>
        <vertAlign val="subscript"/>
        <sz val="11"/>
        <color theme="1"/>
        <rFont val="Calibri"/>
        <family val="2"/>
        <scheme val="minor"/>
      </rPr>
      <t>YG</t>
    </r>
  </si>
  <si>
    <r>
      <t>A</t>
    </r>
    <r>
      <rPr>
        <vertAlign val="subscript"/>
        <sz val="11"/>
        <color theme="1"/>
        <rFont val="Calibri"/>
        <family val="2"/>
        <scheme val="minor"/>
      </rPr>
      <t>tr</t>
    </r>
  </si>
  <si>
    <t>eccentricità tra il punto di applicazione della precompressione e il baricentro</t>
  </si>
  <si>
    <t>Momento d'inerzia in direzione X</t>
  </si>
  <si>
    <t>Momento d'inerzia in direzione Y</t>
  </si>
  <si>
    <t>Baricentro sezione partendo dal basso</t>
  </si>
  <si>
    <t>Altezza totale della sezione</t>
  </si>
  <si>
    <t>Area totale sezione Atot = Acp + n2*Ac +n*Atr</t>
  </si>
  <si>
    <t>Area trefolo</t>
  </si>
  <si>
    <t>posizione lembo superiore soletta rispetto albaricentro</t>
  </si>
  <si>
    <t>Htrav -yG</t>
  </si>
  <si>
    <t>posizione lembo inferiore soletta rispetto albaricentro</t>
  </si>
  <si>
    <t>g2 trave esterna</t>
  </si>
  <si>
    <t>g2 trave interna</t>
  </si>
  <si>
    <r>
      <t>g</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trave 2</t>
    </r>
  </si>
  <si>
    <r>
      <t>g</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trave 1</t>
    </r>
  </si>
  <si>
    <t>Calcolo sollecitazione</t>
  </si>
  <si>
    <t>Momento massimo in mezzeria della trave più caricata</t>
  </si>
  <si>
    <t>Variazioni di tensione dovute a Mmax</t>
  </si>
  <si>
    <r>
      <t>Δ</t>
    </r>
    <r>
      <rPr>
        <sz val="11"/>
        <color theme="1"/>
        <rFont val="Calibri"/>
        <family val="2"/>
      </rPr>
      <t>ϭ</t>
    </r>
    <r>
      <rPr>
        <sz val="11"/>
        <color theme="1"/>
        <rFont val="Calibri"/>
        <family val="2"/>
        <scheme val="minor"/>
      </rPr>
      <t>cs,soletta</t>
    </r>
  </si>
  <si>
    <r>
      <t>Δ</t>
    </r>
    <r>
      <rPr>
        <sz val="11"/>
        <color theme="1"/>
        <rFont val="Calibri"/>
        <family val="2"/>
      </rPr>
      <t>ϭ</t>
    </r>
    <r>
      <rPr>
        <sz val="11"/>
        <color theme="1"/>
        <rFont val="Calibri"/>
        <family val="2"/>
        <scheme val="minor"/>
      </rPr>
      <t>ci,soletta</t>
    </r>
  </si>
  <si>
    <t>tensione al lembo superiore della soletta</t>
  </si>
  <si>
    <r>
      <t>Δ</t>
    </r>
    <r>
      <rPr>
        <sz val="11"/>
        <color theme="1"/>
        <rFont val="Calibri"/>
        <family val="2"/>
      </rPr>
      <t>ϭ</t>
    </r>
    <r>
      <rPr>
        <sz val="11"/>
        <color theme="1"/>
        <rFont val="Calibri"/>
        <family val="2"/>
        <scheme val="minor"/>
      </rPr>
      <t>cs,trave</t>
    </r>
  </si>
  <si>
    <t>tensione al lembo inferiore della soletta</t>
  </si>
  <si>
    <t>tensione al lembo superiore della trave</t>
  </si>
  <si>
    <r>
      <t>Δ</t>
    </r>
    <r>
      <rPr>
        <sz val="11"/>
        <color theme="1"/>
        <rFont val="Calibri"/>
        <family val="2"/>
      </rPr>
      <t>ϭ</t>
    </r>
    <r>
      <rPr>
        <sz val="11"/>
        <color theme="1"/>
        <rFont val="Calibri"/>
        <family val="2"/>
        <scheme val="minor"/>
      </rPr>
      <t>ci,trave</t>
    </r>
  </si>
  <si>
    <t>tensione al lembo inferiore della trave</t>
  </si>
  <si>
    <r>
      <t>Δ</t>
    </r>
    <r>
      <rPr>
        <sz val="11"/>
        <color theme="1"/>
        <rFont val="Calibri"/>
        <family val="2"/>
      </rPr>
      <t>ϭ</t>
    </r>
    <r>
      <rPr>
        <sz val="11"/>
        <color theme="1"/>
        <rFont val="Calibri"/>
        <family val="2"/>
        <scheme val="minor"/>
      </rPr>
      <t>cp,trave</t>
    </r>
  </si>
  <si>
    <t>tensione del cls al trefolo</t>
  </si>
  <si>
    <t>Punto</t>
  </si>
  <si>
    <t>y</t>
  </si>
  <si>
    <t>FASE 1</t>
  </si>
  <si>
    <t>ϭ</t>
  </si>
  <si>
    <r>
      <t>Δ</t>
    </r>
    <r>
      <rPr>
        <sz val="11"/>
        <color theme="1"/>
        <rFont val="Calibri"/>
        <family val="2"/>
      </rPr>
      <t>ϭ</t>
    </r>
    <r>
      <rPr>
        <sz val="11"/>
        <color theme="1"/>
        <rFont val="Calibri"/>
        <family val="2"/>
        <scheme val="minor"/>
      </rPr>
      <t>cs,soletta,ritiro</t>
    </r>
  </si>
  <si>
    <t xml:space="preserve"> tensione da ritiro soletta</t>
  </si>
  <si>
    <t>Nritiro</t>
  </si>
  <si>
    <t>Mritiro</t>
  </si>
  <si>
    <t>RITIRO</t>
  </si>
  <si>
    <t>G2 -Fase 2</t>
  </si>
  <si>
    <t>perdite</t>
  </si>
  <si>
    <r>
      <t>Δ</t>
    </r>
    <r>
      <rPr>
        <sz val="11"/>
        <color theme="1"/>
        <rFont val="Calibri"/>
        <family val="2"/>
      </rPr>
      <t>ϭ</t>
    </r>
    <r>
      <rPr>
        <sz val="11"/>
        <color theme="1"/>
        <rFont val="Calibri"/>
        <family val="2"/>
        <scheme val="minor"/>
      </rPr>
      <t>cp</t>
    </r>
  </si>
  <si>
    <t>variazione tensione al lembo superiore della soletta</t>
  </si>
  <si>
    <t>variazione tensione al lembo superiore della trave</t>
  </si>
  <si>
    <t>variazione tensione al lembo inferiore della trave</t>
  </si>
  <si>
    <t>variazione tensione del cls al trefolo</t>
  </si>
  <si>
    <t>ϭtot</t>
  </si>
  <si>
    <t>Tensioni totali cls lembo sinferiore soletta</t>
  </si>
  <si>
    <t>Tensioni totali cls lembo superiore soletta</t>
  </si>
  <si>
    <t>Tensioni totali cls lembo superiore trave</t>
  </si>
  <si>
    <t>Tensioni totali cls lembo inferiore trave</t>
  </si>
  <si>
    <t>Tensioni totali cls nel cav0</t>
  </si>
  <si>
    <t>ϭcs2,soletta</t>
  </si>
  <si>
    <t>ϭci3,soletta</t>
  </si>
  <si>
    <t>ϭcs2,trave</t>
  </si>
  <si>
    <t>ϭci2,trave</t>
  </si>
  <si>
    <t>ϭsp2</t>
  </si>
  <si>
    <t>D/C</t>
  </si>
  <si>
    <t>Tensione nel cavo dopo le perdite in fase 1 e le cadute di tensione al peso dei carichi g2</t>
  </si>
  <si>
    <t>SOLETTA COLLABORANTE &amp; CARICHI MOBILI : fase 3</t>
  </si>
  <si>
    <r>
      <t>Δ</t>
    </r>
    <r>
      <rPr>
        <sz val="11"/>
        <color theme="1"/>
        <rFont val="Calibri"/>
        <family val="2"/>
      </rPr>
      <t>ϭ</t>
    </r>
    <r>
      <rPr>
        <sz val="11"/>
        <color theme="1"/>
        <rFont val="Calibri"/>
        <family val="2"/>
        <scheme val="minor"/>
      </rPr>
      <t>csp</t>
    </r>
  </si>
  <si>
    <t>FASE 2</t>
  </si>
  <si>
    <t>Q -Fase 3</t>
  </si>
  <si>
    <t>Tensioni totali cls nel cavo dopo le perdite</t>
  </si>
  <si>
    <t>Tensioni totali cls nel cavo</t>
  </si>
  <si>
    <t>ϭsp3</t>
  </si>
  <si>
    <t>ϭci3,trave</t>
  </si>
  <si>
    <t>ϭcs3,trave</t>
  </si>
  <si>
    <t>ϭcs3,soletta</t>
  </si>
  <si>
    <r>
      <t>Δ</t>
    </r>
    <r>
      <rPr>
        <sz val="11"/>
        <color theme="1"/>
        <rFont val="Calibri"/>
        <family val="2"/>
      </rPr>
      <t>ϭ</t>
    </r>
    <r>
      <rPr>
        <sz val="11"/>
        <color theme="1"/>
        <rFont val="Calibri"/>
        <family val="2"/>
        <scheme val="minor"/>
      </rPr>
      <t>csp3</t>
    </r>
  </si>
  <si>
    <t>PERDITE TRAVE V140</t>
  </si>
  <si>
    <t>Ac</t>
  </si>
  <si>
    <t>P</t>
  </si>
  <si>
    <r>
      <t>y</t>
    </r>
    <r>
      <rPr>
        <vertAlign val="subscript"/>
        <sz val="11"/>
        <color theme="1"/>
        <rFont val="Calibri"/>
        <family val="2"/>
        <scheme val="minor"/>
      </rPr>
      <t>G</t>
    </r>
  </si>
  <si>
    <t>Jx</t>
  </si>
  <si>
    <r>
      <t>m</t>
    </r>
    <r>
      <rPr>
        <vertAlign val="superscript"/>
        <sz val="11"/>
        <color theme="1"/>
        <rFont val="Calibri"/>
        <family val="2"/>
        <scheme val="minor"/>
      </rPr>
      <t>4</t>
    </r>
  </si>
  <si>
    <t>CALCESTRUZZO C45/55</t>
  </si>
  <si>
    <t>fck</t>
  </si>
  <si>
    <t>Rck</t>
  </si>
  <si>
    <t>VISCOSITA - RITIRO</t>
  </si>
  <si>
    <r>
      <t>m</t>
    </r>
    <r>
      <rPr>
        <vertAlign val="superscript"/>
        <sz val="11"/>
        <color theme="1"/>
        <rFont val="Calibri"/>
        <family val="2"/>
        <scheme val="minor"/>
      </rPr>
      <t>2</t>
    </r>
  </si>
  <si>
    <t>u</t>
  </si>
  <si>
    <r>
      <t>h</t>
    </r>
    <r>
      <rPr>
        <vertAlign val="subscript"/>
        <sz val="11"/>
        <color theme="1"/>
        <rFont val="Calibri"/>
        <family val="2"/>
        <scheme val="minor"/>
      </rPr>
      <t>0</t>
    </r>
  </si>
  <si>
    <t>RH</t>
  </si>
  <si>
    <t>%</t>
  </si>
  <si>
    <r>
      <t>ϕ</t>
    </r>
    <r>
      <rPr>
        <vertAlign val="subscript"/>
        <sz val="11"/>
        <color theme="1"/>
        <rFont val="Calibri"/>
        <family val="2"/>
      </rPr>
      <t>RH</t>
    </r>
  </si>
  <si>
    <t>-</t>
  </si>
  <si>
    <r>
      <t>β(f</t>
    </r>
    <r>
      <rPr>
        <vertAlign val="subscript"/>
        <sz val="11"/>
        <color theme="1"/>
        <rFont val="Calibri"/>
        <family val="2"/>
      </rPr>
      <t>cm</t>
    </r>
    <r>
      <rPr>
        <sz val="11"/>
        <color theme="1"/>
        <rFont val="Calibri"/>
        <family val="2"/>
      </rPr>
      <t>)</t>
    </r>
  </si>
  <si>
    <r>
      <t>β</t>
    </r>
    <r>
      <rPr>
        <vertAlign val="subscript"/>
        <sz val="11"/>
        <color theme="1"/>
        <rFont val="Calibri"/>
        <family val="2"/>
        <scheme val="minor"/>
      </rPr>
      <t>0</t>
    </r>
  </si>
  <si>
    <t>(t-t0)</t>
  </si>
  <si>
    <r>
      <t>β</t>
    </r>
    <r>
      <rPr>
        <vertAlign val="subscript"/>
        <sz val="11"/>
        <color theme="1"/>
        <rFont val="Calibri"/>
        <family val="2"/>
      </rPr>
      <t>H</t>
    </r>
  </si>
  <si>
    <t>β(t-t0)</t>
  </si>
  <si>
    <r>
      <t>ϕ</t>
    </r>
    <r>
      <rPr>
        <vertAlign val="subscript"/>
        <sz val="11"/>
        <color theme="1"/>
        <rFont val="Calibri"/>
        <family val="2"/>
        <scheme val="minor"/>
      </rPr>
      <t>0</t>
    </r>
  </si>
  <si>
    <r>
      <t>ϕ</t>
    </r>
    <r>
      <rPr>
        <vertAlign val="subscript"/>
        <sz val="11"/>
        <color theme="1"/>
        <rFont val="Calibri"/>
        <family val="2"/>
        <scheme val="minor"/>
      </rPr>
      <t>visc.</t>
    </r>
  </si>
  <si>
    <r>
      <rPr>
        <sz val="11"/>
        <color theme="1"/>
        <rFont val="Calibri"/>
        <family val="2"/>
      </rPr>
      <t>Ψ</t>
    </r>
    <r>
      <rPr>
        <vertAlign val="subscript"/>
        <sz val="11"/>
        <color theme="1"/>
        <rFont val="Calibri"/>
        <family val="2"/>
      </rPr>
      <t>p</t>
    </r>
  </si>
  <si>
    <r>
      <t>Ψ</t>
    </r>
    <r>
      <rPr>
        <vertAlign val="subscript"/>
        <sz val="11"/>
        <color theme="1"/>
        <rFont val="Calibri"/>
        <family val="2"/>
      </rPr>
      <t>visc.</t>
    </r>
  </si>
  <si>
    <r>
      <t>E</t>
    </r>
    <r>
      <rPr>
        <vertAlign val="subscript"/>
        <sz val="11"/>
        <color theme="1"/>
        <rFont val="Calibri"/>
        <family val="2"/>
      </rPr>
      <t>cm,cls</t>
    </r>
  </si>
  <si>
    <r>
      <t>E</t>
    </r>
    <r>
      <rPr>
        <vertAlign val="subscript"/>
        <sz val="11"/>
        <color theme="1"/>
        <rFont val="Calibri"/>
        <family val="2"/>
      </rPr>
      <t>Ritiro</t>
    </r>
  </si>
  <si>
    <r>
      <t>E</t>
    </r>
    <r>
      <rPr>
        <vertAlign val="subscript"/>
        <sz val="11"/>
        <color theme="1"/>
        <rFont val="Calibri"/>
        <family val="2"/>
      </rPr>
      <t>visc.</t>
    </r>
  </si>
  <si>
    <r>
      <t>E</t>
    </r>
    <r>
      <rPr>
        <vertAlign val="subscript"/>
        <sz val="11"/>
        <color theme="1"/>
        <rFont val="Calibri"/>
        <family val="2"/>
      </rPr>
      <t>cm,fissurato</t>
    </r>
  </si>
  <si>
    <r>
      <t>N/mm</t>
    </r>
    <r>
      <rPr>
        <vertAlign val="superscript"/>
        <sz val="11"/>
        <color theme="1"/>
        <rFont val="Calibri"/>
        <family val="2"/>
        <scheme val="minor"/>
      </rPr>
      <t>3</t>
    </r>
    <r>
      <rPr>
        <sz val="11"/>
        <color theme="1"/>
        <rFont val="Calibri"/>
        <family val="2"/>
        <scheme val="minor"/>
      </rPr>
      <t/>
    </r>
  </si>
  <si>
    <r>
      <t>n</t>
    </r>
    <r>
      <rPr>
        <vertAlign val="subscript"/>
        <sz val="11"/>
        <color theme="1"/>
        <rFont val="Calibri"/>
        <family val="2"/>
      </rPr>
      <t>0</t>
    </r>
  </si>
  <si>
    <r>
      <t>n</t>
    </r>
    <r>
      <rPr>
        <vertAlign val="subscript"/>
        <sz val="11"/>
        <color theme="1"/>
        <rFont val="Calibri"/>
        <family val="2"/>
      </rPr>
      <t>Ritiro</t>
    </r>
  </si>
  <si>
    <r>
      <t>n</t>
    </r>
    <r>
      <rPr>
        <vertAlign val="subscript"/>
        <sz val="11"/>
        <color theme="1"/>
        <rFont val="Calibri"/>
        <family val="2"/>
      </rPr>
      <t>Visc.</t>
    </r>
  </si>
  <si>
    <r>
      <t>n</t>
    </r>
    <r>
      <rPr>
        <vertAlign val="subscript"/>
        <sz val="11"/>
        <color theme="1"/>
        <rFont val="Calibri"/>
        <family val="2"/>
      </rPr>
      <t>fissurato</t>
    </r>
  </si>
  <si>
    <t>Area sezione</t>
  </si>
  <si>
    <t>Perimetro disposto al atmosfera</t>
  </si>
  <si>
    <t>baricentro sezione cls in assenza di ferri</t>
  </si>
  <si>
    <t>Momento d'inerzia sezione</t>
  </si>
  <si>
    <t>Resistenza caratteristica cilindrica a compressione</t>
  </si>
  <si>
    <t>Resistenza caratteristica cubica a compressione</t>
  </si>
  <si>
    <t>DimArea sezioneensione equivalente per</t>
  </si>
  <si>
    <t>Dimensione equivalente per</t>
  </si>
  <si>
    <t>Umidità relativa</t>
  </si>
  <si>
    <t>Coeff. Ridutt. Per ritiro</t>
  </si>
  <si>
    <t>Modulo elastico cls a breve termine</t>
  </si>
  <si>
    <t>Modulo elastico cls a ritiro</t>
  </si>
  <si>
    <t>Modulo elastico cls viscoo</t>
  </si>
  <si>
    <t>Modulo elastico cls fissurato</t>
  </si>
  <si>
    <t>DEFORMAZIONE PER RITIRO</t>
  </si>
  <si>
    <r>
      <t>ε</t>
    </r>
    <r>
      <rPr>
        <vertAlign val="subscript"/>
        <sz val="11"/>
        <color theme="1"/>
        <rFont val="Calibri"/>
        <family val="2"/>
      </rPr>
      <t>ca,ꚙ</t>
    </r>
  </si>
  <si>
    <t>Ritiro per autogeno</t>
  </si>
  <si>
    <r>
      <t>β</t>
    </r>
    <r>
      <rPr>
        <vertAlign val="subscript"/>
        <sz val="11"/>
        <color theme="1"/>
        <rFont val="Calibri"/>
        <family val="2"/>
        <scheme val="minor"/>
      </rPr>
      <t>ds</t>
    </r>
  </si>
  <si>
    <r>
      <t>ε</t>
    </r>
    <r>
      <rPr>
        <vertAlign val="subscript"/>
        <sz val="11"/>
        <color theme="1"/>
        <rFont val="Calibri"/>
        <family val="2"/>
      </rPr>
      <t>c0</t>
    </r>
  </si>
  <si>
    <r>
      <t>K</t>
    </r>
    <r>
      <rPr>
        <vertAlign val="subscript"/>
        <sz val="11"/>
        <color theme="1"/>
        <rFont val="Calibri"/>
        <family val="2"/>
      </rPr>
      <t>h</t>
    </r>
  </si>
  <si>
    <r>
      <t>ε</t>
    </r>
    <r>
      <rPr>
        <vertAlign val="subscript"/>
        <sz val="11"/>
        <color theme="1"/>
        <rFont val="Calibri"/>
        <family val="2"/>
      </rPr>
      <t>cd,ꚙ</t>
    </r>
  </si>
  <si>
    <r>
      <t>ε</t>
    </r>
    <r>
      <rPr>
        <vertAlign val="subscript"/>
        <sz val="11"/>
        <color theme="1"/>
        <rFont val="Calibri"/>
        <family val="2"/>
      </rPr>
      <t>cd</t>
    </r>
  </si>
  <si>
    <t>Ritiro per esseccamento</t>
  </si>
  <si>
    <r>
      <t>ε</t>
    </r>
    <r>
      <rPr>
        <vertAlign val="subscript"/>
        <sz val="11"/>
        <color theme="1"/>
        <rFont val="Calibri"/>
        <family val="2"/>
      </rPr>
      <t>cs</t>
    </r>
  </si>
  <si>
    <t>Ritiro totale</t>
  </si>
  <si>
    <t>h0</t>
  </si>
  <si>
    <t>Kh</t>
  </si>
  <si>
    <t>Altezza equivalente</t>
  </si>
  <si>
    <t>Coefficiente viscoso</t>
  </si>
  <si>
    <t>Coefficiente di correzione per viscosità</t>
  </si>
  <si>
    <t>Rilassamento del trefolo</t>
  </si>
  <si>
    <t>Caratteristiche trefolo</t>
  </si>
  <si>
    <t>Diametro trefolo</t>
  </si>
  <si>
    <t>At</t>
  </si>
  <si>
    <t>Area nominale trefolo</t>
  </si>
  <si>
    <t>Tensione ultima trefolo</t>
  </si>
  <si>
    <r>
      <t>f</t>
    </r>
    <r>
      <rPr>
        <vertAlign val="subscript"/>
        <sz val="11"/>
        <color theme="1"/>
        <rFont val="Calibri"/>
        <family val="2"/>
        <scheme val="minor"/>
      </rPr>
      <t>p01k</t>
    </r>
  </si>
  <si>
    <t>Tensione trefolo per un allungamento del 0.1%</t>
  </si>
  <si>
    <t>Modulo elastico trefolo</t>
  </si>
  <si>
    <r>
      <t>n</t>
    </r>
    <r>
      <rPr>
        <vertAlign val="subscript"/>
        <sz val="11"/>
        <color theme="1"/>
        <rFont val="Calibri"/>
        <family val="2"/>
        <scheme val="minor"/>
      </rPr>
      <t>t</t>
    </r>
  </si>
  <si>
    <t>Numero trefolo per sezione</t>
  </si>
  <si>
    <t>Posizione del centro geometrico trefoli</t>
  </si>
  <si>
    <t xml:space="preserve">trefolo </t>
  </si>
  <si>
    <t>Classe 2</t>
  </si>
  <si>
    <r>
      <rPr>
        <sz val="11"/>
        <color theme="1"/>
        <rFont val="Calibri"/>
        <family val="2"/>
      </rPr>
      <t>ρ</t>
    </r>
    <r>
      <rPr>
        <vertAlign val="subscript"/>
        <sz val="11"/>
        <color theme="1"/>
        <rFont val="Calibri"/>
        <family val="2"/>
      </rPr>
      <t>1000</t>
    </r>
  </si>
  <si>
    <t>Perdita per rilassamento in percentuale</t>
  </si>
  <si>
    <t>μ</t>
  </si>
  <si>
    <r>
      <t>σ</t>
    </r>
    <r>
      <rPr>
        <vertAlign val="subscript"/>
        <sz val="11"/>
        <color theme="1"/>
        <rFont val="Calibri"/>
        <family val="2"/>
        <scheme val="minor"/>
      </rPr>
      <t>pi</t>
    </r>
    <r>
      <rPr>
        <sz val="11"/>
        <color theme="1"/>
        <rFont val="Calibri"/>
        <family val="2"/>
        <scheme val="minor"/>
      </rPr>
      <t>/f</t>
    </r>
    <r>
      <rPr>
        <vertAlign val="subscript"/>
        <sz val="11"/>
        <color theme="1"/>
        <rFont val="Calibri"/>
        <family val="2"/>
        <scheme val="minor"/>
      </rPr>
      <t>pk</t>
    </r>
  </si>
  <si>
    <r>
      <t>σ</t>
    </r>
    <r>
      <rPr>
        <vertAlign val="subscript"/>
        <sz val="11"/>
        <color theme="1"/>
        <rFont val="Calibri"/>
        <family val="2"/>
        <scheme val="minor"/>
      </rPr>
      <t>pi</t>
    </r>
  </si>
  <si>
    <t>Tensione iniziale trefolo</t>
  </si>
  <si>
    <r>
      <t>∆σ</t>
    </r>
    <r>
      <rPr>
        <vertAlign val="subscript"/>
        <sz val="11"/>
        <color theme="1"/>
        <rFont val="Calibri"/>
        <family val="2"/>
      </rPr>
      <t>pr</t>
    </r>
  </si>
  <si>
    <t>Perdita di tensione per rilassamento</t>
  </si>
  <si>
    <t>ore</t>
  </si>
  <si>
    <t>Tempo di carico</t>
  </si>
  <si>
    <t>sezione omogenizzata a breve termine</t>
  </si>
  <si>
    <t>Yg</t>
  </si>
  <si>
    <t xml:space="preserve"> sezione omogenizzata con soletta</t>
  </si>
  <si>
    <t>ns</t>
  </si>
  <si>
    <t>calcolo perdite in termini di tensioni</t>
  </si>
  <si>
    <t>Perdite iniziali</t>
  </si>
  <si>
    <t>perdita elastica</t>
  </si>
  <si>
    <r>
      <rPr>
        <sz val="11"/>
        <color theme="1"/>
        <rFont val="Calibri"/>
        <family val="2"/>
      </rPr>
      <t>ε</t>
    </r>
    <r>
      <rPr>
        <vertAlign val="subscript"/>
        <sz val="11"/>
        <color theme="1"/>
        <rFont val="Calibri"/>
        <family val="2"/>
      </rPr>
      <t>ci</t>
    </r>
  </si>
  <si>
    <t>Accorciamento nel cls. Al lembo inferiore divuto da tiro</t>
  </si>
  <si>
    <r>
      <t>∆σ</t>
    </r>
    <r>
      <rPr>
        <vertAlign val="subscript"/>
        <sz val="11"/>
        <color theme="1"/>
        <rFont val="Calibri"/>
        <family val="2"/>
      </rPr>
      <t>sp,ist.</t>
    </r>
  </si>
  <si>
    <t>Perdita di tensione iniziale</t>
  </si>
  <si>
    <t>perdita per rilassamento</t>
  </si>
  <si>
    <r>
      <t>∆σ</t>
    </r>
    <r>
      <rPr>
        <vertAlign val="subscript"/>
        <sz val="11"/>
        <color theme="1"/>
        <rFont val="Calibri"/>
        <family val="2"/>
      </rPr>
      <t>sp,rilass.</t>
    </r>
  </si>
  <si>
    <t>perdita per ritiro</t>
  </si>
  <si>
    <r>
      <t>∆σ</t>
    </r>
    <r>
      <rPr>
        <vertAlign val="subscript"/>
        <sz val="11"/>
        <color theme="1"/>
        <rFont val="Calibri"/>
        <family val="2"/>
      </rPr>
      <t>sp,ritiro</t>
    </r>
  </si>
  <si>
    <t>Perdita di tensione per ritiro</t>
  </si>
  <si>
    <t>perdita per viscosità</t>
  </si>
  <si>
    <t>M</t>
  </si>
  <si>
    <t>kNm</t>
  </si>
  <si>
    <t>Momento dovuto dal peso delle travi e soletta</t>
  </si>
  <si>
    <t>Momento dovuto dai traversi</t>
  </si>
  <si>
    <r>
      <t>ε</t>
    </r>
    <r>
      <rPr>
        <vertAlign val="subscript"/>
        <sz val="11"/>
        <color theme="1"/>
        <rFont val="Calibri"/>
        <family val="2"/>
      </rPr>
      <t>v</t>
    </r>
  </si>
  <si>
    <t>accorciamento nel cls. In corrisponndenz del centro delle armature</t>
  </si>
  <si>
    <r>
      <t>∆σ</t>
    </r>
    <r>
      <rPr>
        <vertAlign val="subscript"/>
        <sz val="11"/>
        <color theme="1"/>
        <rFont val="Calibri"/>
        <family val="2"/>
      </rPr>
      <t>sp,visc.</t>
    </r>
  </si>
  <si>
    <t>Perdita di tiro per viscosita</t>
  </si>
  <si>
    <t>Perdite in fase 0</t>
  </si>
  <si>
    <r>
      <t>∆σ</t>
    </r>
    <r>
      <rPr>
        <vertAlign val="subscript"/>
        <sz val="11"/>
        <color theme="1"/>
        <rFont val="Calibri"/>
        <family val="2"/>
      </rPr>
      <t>0</t>
    </r>
  </si>
  <si>
    <t>Perdita di tiro in fase 0</t>
  </si>
  <si>
    <r>
      <t>σ</t>
    </r>
    <r>
      <rPr>
        <vertAlign val="subscript"/>
        <sz val="11"/>
        <color theme="1"/>
        <rFont val="Calibri"/>
        <family val="2"/>
      </rPr>
      <t>sp,0</t>
    </r>
  </si>
  <si>
    <t>tensione finale fase 0</t>
  </si>
  <si>
    <r>
      <t>∆N</t>
    </r>
    <r>
      <rPr>
        <vertAlign val="subscript"/>
        <sz val="11"/>
        <color theme="1"/>
        <rFont val="Calibri"/>
        <family val="2"/>
      </rPr>
      <t>0</t>
    </r>
  </si>
  <si>
    <t>kN</t>
  </si>
  <si>
    <t>Perdite in fase 1</t>
  </si>
  <si>
    <r>
      <t>∆σ</t>
    </r>
    <r>
      <rPr>
        <vertAlign val="subscript"/>
        <sz val="11"/>
        <color theme="1"/>
        <rFont val="Calibri"/>
        <family val="2"/>
      </rPr>
      <t>1</t>
    </r>
  </si>
  <si>
    <t>Perdita di tiro in fase 1</t>
  </si>
  <si>
    <t>tensione finale fase 1</t>
  </si>
  <si>
    <r>
      <t>∆N</t>
    </r>
    <r>
      <rPr>
        <vertAlign val="subscript"/>
        <sz val="11"/>
        <color theme="1"/>
        <rFont val="Calibri"/>
        <family val="2"/>
      </rPr>
      <t>1</t>
    </r>
  </si>
  <si>
    <t>Calcolo delle perdite in fase 2</t>
  </si>
  <si>
    <t>effetto differenziale di ritiro</t>
  </si>
  <si>
    <r>
      <t>ε</t>
    </r>
    <r>
      <rPr>
        <vertAlign val="subscript"/>
        <sz val="11"/>
        <color theme="1"/>
        <rFont val="Calibri"/>
        <family val="2"/>
      </rPr>
      <t>cs(tr-soletta)</t>
    </r>
  </si>
  <si>
    <t>estensione dovuto dal ritiro nella soletta</t>
  </si>
  <si>
    <r>
      <t>∆σ</t>
    </r>
    <r>
      <rPr>
        <vertAlign val="subscript"/>
        <sz val="11"/>
        <color theme="1"/>
        <rFont val="Calibri"/>
        <family val="2"/>
      </rPr>
      <t>cs (soletta)</t>
    </r>
  </si>
  <si>
    <t>Ntot</t>
  </si>
  <si>
    <t>Sforzo di compressione nella trave</t>
  </si>
  <si>
    <t>Momento flettente trave</t>
  </si>
  <si>
    <r>
      <t>∆σ</t>
    </r>
    <r>
      <rPr>
        <vertAlign val="subscript"/>
        <sz val="11"/>
        <color theme="1"/>
        <rFont val="Calibri"/>
        <family val="2"/>
      </rPr>
      <t>trave sup.</t>
    </r>
  </si>
  <si>
    <t>Tensione sul lembo superiore trave</t>
  </si>
  <si>
    <r>
      <t>∆σ</t>
    </r>
    <r>
      <rPr>
        <vertAlign val="subscript"/>
        <sz val="11"/>
        <color theme="1"/>
        <rFont val="Calibri"/>
        <family val="2"/>
      </rPr>
      <t>trave inf.</t>
    </r>
  </si>
  <si>
    <t>Tensione sul lembo inferiore trave</t>
  </si>
  <si>
    <r>
      <t>∆σ</t>
    </r>
    <r>
      <rPr>
        <vertAlign val="subscript"/>
        <sz val="11"/>
        <color theme="1"/>
        <rFont val="Calibri"/>
        <family val="2"/>
      </rPr>
      <t>trave barre.</t>
    </r>
  </si>
  <si>
    <t>Tensione sui trefoli</t>
  </si>
  <si>
    <t>Perdita di tiro per viscosita G2</t>
  </si>
  <si>
    <t>Perdita totale in fase 2</t>
  </si>
  <si>
    <r>
      <t>∆σ</t>
    </r>
    <r>
      <rPr>
        <vertAlign val="subscript"/>
        <sz val="11"/>
        <color theme="1"/>
        <rFont val="Calibri"/>
        <family val="2"/>
      </rPr>
      <t>tot. 2</t>
    </r>
  </si>
  <si>
    <t>Perdita in fase 3</t>
  </si>
  <si>
    <t>Carichi mobili</t>
  </si>
  <si>
    <t>Q1k</t>
  </si>
  <si>
    <t>q1k</t>
  </si>
  <si>
    <r>
      <t>kN/m</t>
    </r>
    <r>
      <rPr>
        <vertAlign val="superscript"/>
        <sz val="11"/>
        <color theme="1"/>
        <rFont val="Calibri"/>
        <family val="2"/>
        <scheme val="minor"/>
      </rPr>
      <t>2</t>
    </r>
  </si>
  <si>
    <t>Mtot</t>
  </si>
  <si>
    <r>
      <t>∆σ</t>
    </r>
    <r>
      <rPr>
        <vertAlign val="subscript"/>
        <sz val="11"/>
        <color theme="1"/>
        <rFont val="Calibri"/>
        <family val="2"/>
      </rPr>
      <t>3</t>
    </r>
  </si>
  <si>
    <t>VALUTAZIONE EFFETTI VISCOSITA - RITIRO</t>
  </si>
  <si>
    <t xml:space="preserve">MATERIALI SOLETTA </t>
  </si>
  <si>
    <t>CALCESTRUZZO C35/45</t>
  </si>
  <si>
    <t>Cesp.</t>
  </si>
  <si>
    <t>XS1</t>
  </si>
  <si>
    <t>Classe di esposizione</t>
  </si>
  <si>
    <t>DATI GEOMETRICI SOLETTA</t>
  </si>
  <si>
    <t>L1</t>
  </si>
  <si>
    <t>sbalzo soletta</t>
  </si>
  <si>
    <t>L2</t>
  </si>
  <si>
    <t>interasse travi</t>
  </si>
  <si>
    <t>Ltot</t>
  </si>
  <si>
    <t>larghezza totale soletta</t>
  </si>
  <si>
    <t>Ss</t>
  </si>
  <si>
    <t>spessore soletta strutturale</t>
  </si>
  <si>
    <r>
      <t>Ssp</t>
    </r>
    <r>
      <rPr>
        <vertAlign val="subscript"/>
        <sz val="11"/>
        <color theme="1"/>
        <rFont val="Calibri"/>
        <family val="2"/>
        <scheme val="minor"/>
      </rPr>
      <t>max</t>
    </r>
  </si>
  <si>
    <t>spessore max. soletta di pendenza</t>
  </si>
  <si>
    <r>
      <t>Ssp</t>
    </r>
    <r>
      <rPr>
        <vertAlign val="subscript"/>
        <sz val="11"/>
        <color theme="1"/>
        <rFont val="Calibri"/>
        <family val="2"/>
        <scheme val="minor"/>
      </rPr>
      <t>min</t>
    </r>
  </si>
  <si>
    <t>spessore min. soletta di pendenza</t>
  </si>
  <si>
    <t>Coefficiente di omogenizzazione iniziale</t>
  </si>
  <si>
    <t>Coefficiente di omogenizzazione per ritiro</t>
  </si>
  <si>
    <t>Coefficiente di omogenizzazione per viscosità</t>
  </si>
  <si>
    <t>Coefficiente di omogenizzazione per fissurazione</t>
  </si>
  <si>
    <t>Carico tandem</t>
  </si>
  <si>
    <t>Carico destribuito</t>
  </si>
  <si>
    <t>Perdita di tensione nei cavi</t>
  </si>
  <si>
    <t>Caratteristiche sezione omogenizzata interamente reagente con soletta</t>
  </si>
  <si>
    <t>area ferri laterali</t>
  </si>
  <si>
    <t>ferri superiori</t>
  </si>
  <si>
    <t>Diagramma con barre laterali</t>
  </si>
  <si>
    <t>M [KNm]</t>
  </si>
  <si>
    <t>N [KN]</t>
  </si>
  <si>
    <t>Diagramma con barre laterali e sup</t>
  </si>
  <si>
    <t>SOLLECITAZIONI SLU</t>
  </si>
  <si>
    <t xml:space="preserve">N </t>
  </si>
  <si>
    <t>VERIFICA A TAGLIO</t>
  </si>
  <si>
    <t>h</t>
  </si>
  <si>
    <t>passo</t>
  </si>
  <si>
    <t>θ</t>
  </si>
  <si>
    <r>
      <t>V</t>
    </r>
    <r>
      <rPr>
        <vertAlign val="subscript"/>
        <sz val="11"/>
        <color theme="1"/>
        <rFont val="Calibri"/>
        <family val="2"/>
        <scheme val="minor"/>
      </rPr>
      <t>Rsd</t>
    </r>
  </si>
  <si>
    <r>
      <t>V</t>
    </r>
    <r>
      <rPr>
        <vertAlign val="subscript"/>
        <sz val="11"/>
        <color theme="1"/>
        <rFont val="Calibri"/>
        <family val="2"/>
        <scheme val="minor"/>
      </rPr>
      <t>Rcd</t>
    </r>
  </si>
  <si>
    <r>
      <t>V</t>
    </r>
    <r>
      <rPr>
        <vertAlign val="subscript"/>
        <sz val="11"/>
        <color theme="1"/>
        <rFont val="Calibri"/>
        <family val="2"/>
        <scheme val="minor"/>
      </rPr>
      <t>Rd</t>
    </r>
  </si>
  <si>
    <t>[rad]</t>
  </si>
  <si>
    <t>[gradi]</t>
  </si>
  <si>
    <t xml:space="preserve">b </t>
  </si>
  <si>
    <t>fyk</t>
  </si>
  <si>
    <t>fyd</t>
  </si>
  <si>
    <t>Armatura ordinaria B450C</t>
  </si>
  <si>
    <t>Staffe e reggistaffe</t>
  </si>
  <si>
    <r>
      <t>f</t>
    </r>
    <r>
      <rPr>
        <vertAlign val="subscript"/>
        <sz val="11"/>
        <color theme="1"/>
        <rFont val="Calibri"/>
        <family val="2"/>
        <scheme val="minor"/>
      </rPr>
      <t>cd</t>
    </r>
  </si>
  <si>
    <r>
      <t>V</t>
    </r>
    <r>
      <rPr>
        <vertAlign val="subscript"/>
        <sz val="11"/>
        <color theme="1"/>
        <rFont val="Calibri"/>
        <family val="2"/>
        <scheme val="minor"/>
      </rPr>
      <t>ED,tot</t>
    </r>
  </si>
  <si>
    <r>
      <t>V</t>
    </r>
    <r>
      <rPr>
        <vertAlign val="subscript"/>
        <sz val="11"/>
        <color theme="1"/>
        <rFont val="Calibri"/>
        <family val="2"/>
        <scheme val="minor"/>
      </rPr>
      <t>ED,anima</t>
    </r>
  </si>
  <si>
    <t>Calcolo resistenza a taglio dell'ala</t>
  </si>
  <si>
    <t>Taglio resistente armatura d'anima</t>
  </si>
  <si>
    <t>taglio resistente biella compressa</t>
  </si>
  <si>
    <r>
      <t>Angolo per cui V</t>
    </r>
    <r>
      <rPr>
        <vertAlign val="subscript"/>
        <sz val="11"/>
        <color theme="1"/>
        <rFont val="Calibri"/>
        <family val="2"/>
        <scheme val="minor"/>
      </rPr>
      <t>Rsd</t>
    </r>
    <r>
      <rPr>
        <sz val="11"/>
        <color theme="1"/>
        <rFont val="Calibri"/>
        <family val="2"/>
        <scheme val="minor"/>
      </rPr>
      <t xml:space="preserve"> = V</t>
    </r>
    <r>
      <rPr>
        <vertAlign val="subscript"/>
        <sz val="11"/>
        <color theme="1"/>
        <rFont val="Calibri"/>
        <family val="2"/>
        <scheme val="minor"/>
      </rPr>
      <t>Rcd</t>
    </r>
  </si>
  <si>
    <t>Angolo minimo da norma</t>
  </si>
  <si>
    <t>DOMINIO SEZIONE IN MEZZERIA</t>
  </si>
  <si>
    <t>Verifica connettori V140</t>
  </si>
  <si>
    <r>
      <t>N</t>
    </r>
    <r>
      <rPr>
        <vertAlign val="subscript"/>
        <sz val="11"/>
        <color theme="1"/>
        <rFont val="Calibri"/>
        <family val="2"/>
        <scheme val="minor"/>
      </rPr>
      <t>u,tot</t>
    </r>
  </si>
  <si>
    <t xml:space="preserve">Sforzo normale ultimo della soletta </t>
  </si>
  <si>
    <r>
      <t>n</t>
    </r>
    <r>
      <rPr>
        <vertAlign val="subscript"/>
        <sz val="11"/>
        <color theme="1"/>
        <rFont val="Calibri"/>
        <family val="2"/>
        <scheme val="minor"/>
      </rPr>
      <t>c</t>
    </r>
  </si>
  <si>
    <r>
      <t>b</t>
    </r>
    <r>
      <rPr>
        <vertAlign val="subscript"/>
        <sz val="11"/>
        <color theme="1"/>
        <rFont val="Calibri"/>
        <family val="2"/>
        <scheme val="minor"/>
      </rPr>
      <t>c</t>
    </r>
  </si>
  <si>
    <t>braccia connettore</t>
  </si>
  <si>
    <r>
      <t>Φ</t>
    </r>
    <r>
      <rPr>
        <vertAlign val="subscript"/>
        <sz val="11"/>
        <color theme="1"/>
        <rFont val="Calibri"/>
        <family val="2"/>
      </rPr>
      <t>c</t>
    </r>
  </si>
  <si>
    <t>Diametro del connettore</t>
  </si>
  <si>
    <r>
      <t>h</t>
    </r>
    <r>
      <rPr>
        <vertAlign val="subscript"/>
        <sz val="11"/>
        <color theme="1"/>
        <rFont val="Calibri"/>
        <family val="2"/>
      </rPr>
      <t>c</t>
    </r>
  </si>
  <si>
    <t>Altezza del connettore</t>
  </si>
  <si>
    <r>
      <t>γ</t>
    </r>
    <r>
      <rPr>
        <vertAlign val="subscript"/>
        <sz val="11"/>
        <color theme="1"/>
        <rFont val="Calibri"/>
        <family val="2"/>
      </rPr>
      <t>v</t>
    </r>
  </si>
  <si>
    <t>Coefficiente di sicurezza</t>
  </si>
  <si>
    <r>
      <t>N</t>
    </r>
    <r>
      <rPr>
        <vertAlign val="subscript"/>
        <sz val="11"/>
        <color theme="1"/>
        <rFont val="Calibri"/>
        <family val="2"/>
      </rPr>
      <t>uc</t>
    </r>
  </si>
  <si>
    <r>
      <t>P</t>
    </r>
    <r>
      <rPr>
        <vertAlign val="subscript"/>
        <sz val="11"/>
        <color theme="1"/>
        <rFont val="Calibri"/>
        <family val="2"/>
      </rPr>
      <t>Rd,cls</t>
    </r>
  </si>
  <si>
    <r>
      <t>P</t>
    </r>
    <r>
      <rPr>
        <vertAlign val="subscript"/>
        <sz val="11"/>
        <color theme="1"/>
        <rFont val="Calibri"/>
        <family val="2"/>
      </rPr>
      <t>Rd,s</t>
    </r>
  </si>
  <si>
    <t>fuk</t>
  </si>
  <si>
    <t>Numero dei connettori presenti nella trave nelle 2 file</t>
  </si>
  <si>
    <t>passo connettori</t>
  </si>
  <si>
    <r>
      <t>P</t>
    </r>
    <r>
      <rPr>
        <vertAlign val="subscript"/>
        <sz val="11"/>
        <color theme="1"/>
        <rFont val="Calibri"/>
        <family val="2"/>
      </rPr>
      <t>Rd</t>
    </r>
  </si>
  <si>
    <t>Taglio sollecitante</t>
  </si>
  <si>
    <t>resistenza connettore parte cls</t>
  </si>
  <si>
    <t>resistenza connettore lato acciaio</t>
  </si>
  <si>
    <t>minimo tra le resistenze del connettore</t>
  </si>
  <si>
    <t>ascissa</t>
  </si>
  <si>
    <t>Momento in s   dovuto al peso proprio della trave</t>
  </si>
  <si>
    <t>Numero trefoli utilizzati</t>
  </si>
  <si>
    <t>Posizione trefoli</t>
  </si>
  <si>
    <r>
      <t>A [mm</t>
    </r>
    <r>
      <rPr>
        <vertAlign val="superscript"/>
        <sz val="11"/>
        <color theme="1"/>
        <rFont val="Calibri"/>
        <family val="2"/>
        <scheme val="minor"/>
      </rPr>
      <t>2</t>
    </r>
    <r>
      <rPr>
        <sz val="11"/>
        <color theme="1"/>
        <rFont val="Calibri"/>
        <family val="2"/>
        <scheme val="minor"/>
      </rPr>
      <t>]</t>
    </r>
  </si>
  <si>
    <t>y [mm]</t>
  </si>
  <si>
    <t>Posizione sforzo</t>
  </si>
  <si>
    <r>
      <t>e</t>
    </r>
    <r>
      <rPr>
        <vertAlign val="subscript"/>
        <sz val="11"/>
        <color theme="1"/>
        <rFont val="Calibri"/>
        <family val="2"/>
        <scheme val="minor"/>
      </rPr>
      <t>max</t>
    </r>
  </si>
  <si>
    <t>Verifica</t>
  </si>
  <si>
    <t>Mmax</t>
  </si>
  <si>
    <t>yNp</t>
  </si>
  <si>
    <t>Momento a s  della trave più caricata</t>
  </si>
  <si>
    <t>Lunghezza di trasferimento</t>
  </si>
  <si>
    <r>
      <t>η</t>
    </r>
    <r>
      <rPr>
        <vertAlign val="subscript"/>
        <sz val="11"/>
        <color theme="1"/>
        <rFont val="Calibri"/>
        <family val="2"/>
      </rPr>
      <t>p1</t>
    </r>
  </si>
  <si>
    <t>per trefoli a 3 e 7 fili</t>
  </si>
  <si>
    <r>
      <t>η</t>
    </r>
    <r>
      <rPr>
        <vertAlign val="subscript"/>
        <sz val="11"/>
        <color theme="1"/>
        <rFont val="Calibri"/>
        <family val="2"/>
      </rPr>
      <t>1</t>
    </r>
  </si>
  <si>
    <t>condizioni di buona aderenza</t>
  </si>
  <si>
    <t>fctd(t)</t>
  </si>
  <si>
    <t>tensione di aderenza uniforme</t>
  </si>
  <si>
    <r>
      <t>α</t>
    </r>
    <r>
      <rPr>
        <vertAlign val="subscript"/>
        <sz val="11"/>
        <color theme="1"/>
        <rFont val="Calibri"/>
        <family val="2"/>
      </rPr>
      <t>1</t>
    </r>
  </si>
  <si>
    <r>
      <t>α</t>
    </r>
    <r>
      <rPr>
        <vertAlign val="subscript"/>
        <sz val="11"/>
        <color theme="1"/>
        <rFont val="Calibri"/>
        <family val="2"/>
      </rPr>
      <t>2</t>
    </r>
    <r>
      <rPr>
        <sz val="11"/>
        <color theme="1"/>
        <rFont val="Calibri"/>
        <family val="2"/>
        <scheme val="minor"/>
      </rPr>
      <t/>
    </r>
  </si>
  <si>
    <t>per trefoli a 3 o 7 fili</t>
  </si>
  <si>
    <t>ϭpmo</t>
  </si>
  <si>
    <t>tensione nell'armatura di precompressione subito dopo il rilascio</t>
  </si>
  <si>
    <t>lpt</t>
  </si>
  <si>
    <t>lunghezza di trasferimento precompressione</t>
  </si>
  <si>
    <t>rilascio graduale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</si>
</sst>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0"/>
    <numFmt numFmtId="167" formatCode="0.0000"/>
  </numFmts>
  <fonts count="12" x14ac:knownFonts="1">
    <font>
      <sz val="11"/>
      <color theme="1"/>
      <name val="Calibri"/>
      <family val="2"/>
      <scheme val="minor"/>
    </font>
    <font>
      <sz val="11"/>
      <color theme="1"/>
      <name val="Calibri"/>
      <family val="2"/>
      <scheme val="minor"/>
    </font>
    <font>
      <vertAlign val="subscript"/>
      <sz val="11"/>
      <color theme="1"/>
      <name val="Calibri"/>
      <family val="2"/>
      <scheme val="minor"/>
    </font>
    <font>
      <vertAlign val="superscript"/>
      <sz val="11"/>
      <color theme="1"/>
      <name val="Calibri"/>
      <family val="2"/>
      <scheme val="minor"/>
    </font>
    <font>
      <sz val="8"/>
      <name val="Calibri"/>
      <family val="2"/>
      <scheme val="minor"/>
    </font>
    <font>
      <sz val="11"/>
      <color theme="1"/>
      <name val="Calibri"/>
      <family val="2"/>
    </font>
    <font>
      <vertAlign val="subscript"/>
      <sz val="11"/>
      <color theme="1"/>
      <name val="Calibri"/>
      <family val="2"/>
    </font>
    <font>
      <vertAlign val="superscript"/>
      <sz val="11"/>
      <color theme="1"/>
      <name val="Calibri"/>
      <family val="2"/>
    </font>
    <font>
      <b/>
      <sz val="11"/>
      <color theme="1"/>
      <name val="Calibri"/>
      <family val="2"/>
      <scheme val="minor"/>
    </font>
    <font>
      <sz val="11"/>
      <color rgb="FF595959"/>
      <name val="Calibri"/>
      <family val="2"/>
      <scheme val="minor"/>
    </font>
    <font>
      <sz val="11"/>
      <name val="Calibri"/>
      <family val="2"/>
      <scheme val="minor"/>
    </font>
    <font>
      <b/>
      <sz val="11"/>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s>
  <cellStyleXfs count="1">
    <xf numFmtId="0" fontId="0" fillId="0" borderId="0"/>
  </cellStyleXfs>
  <cellXfs count="115">
    <xf numFmtId="0" fontId="0" fillId="0" borderId="0" xfId="0"/>
    <xf numFmtId="0" fontId="0" fillId="0" borderId="0" xfId="0" applyAlignment="1">
      <alignment horizontal="center"/>
    </xf>
    <xf numFmtId="2" fontId="0" fillId="0" borderId="0" xfId="0" applyNumberFormat="1" applyAlignment="1">
      <alignment horizontal="center"/>
    </xf>
    <xf numFmtId="0" fontId="0" fillId="2" borderId="0" xfId="0" applyFill="1"/>
    <xf numFmtId="0" fontId="0" fillId="0" borderId="1" xfId="0" applyBorder="1" applyAlignment="1">
      <alignment horizontal="center"/>
    </xf>
    <xf numFmtId="0" fontId="0" fillId="0" borderId="0" xfId="0" applyFill="1" applyBorder="1" applyAlignment="1">
      <alignment horizontal="left"/>
    </xf>
    <xf numFmtId="0" fontId="0" fillId="0" borderId="1" xfId="0" applyFont="1" applyBorder="1" applyAlignment="1">
      <alignment horizontal="center"/>
    </xf>
    <xf numFmtId="0" fontId="0" fillId="2" borderId="0" xfId="0" applyFont="1" applyFill="1" applyBorder="1" applyAlignment="1">
      <alignment horizontal="left"/>
    </xf>
    <xf numFmtId="0" fontId="0" fillId="0" borderId="1" xfId="0" applyFont="1" applyFill="1" applyBorder="1" applyAlignment="1">
      <alignment horizontal="center"/>
    </xf>
    <xf numFmtId="2" fontId="0" fillId="0" borderId="1" xfId="0" applyNumberFormat="1" applyBorder="1" applyAlignment="1">
      <alignment horizontal="center"/>
    </xf>
    <xf numFmtId="0" fontId="0" fillId="0" borderId="0" xfId="0" applyAlignment="1"/>
    <xf numFmtId="0" fontId="0" fillId="0" borderId="1" xfId="0" applyFill="1" applyBorder="1" applyAlignment="1">
      <alignment horizontal="center"/>
    </xf>
    <xf numFmtId="0" fontId="0" fillId="0" borderId="1" xfId="0" applyBorder="1" applyAlignment="1">
      <alignment horizontal="center" vertical="center"/>
    </xf>
    <xf numFmtId="164" fontId="0" fillId="0" borderId="1" xfId="0" applyNumberFormat="1" applyBorder="1" applyAlignment="1">
      <alignment horizontal="center"/>
    </xf>
    <xf numFmtId="164" fontId="0" fillId="0" borderId="1" xfId="0" applyNumberFormat="1" applyBorder="1" applyAlignment="1">
      <alignment horizontal="center" vertical="center"/>
    </xf>
    <xf numFmtId="164" fontId="0" fillId="0" borderId="0" xfId="0" applyNumberFormat="1"/>
    <xf numFmtId="0" fontId="0" fillId="0" borderId="0" xfId="0" applyAlignment="1">
      <alignment horizontal="left"/>
    </xf>
    <xf numFmtId="0" fontId="5" fillId="0" borderId="1" xfId="0" applyFont="1" applyBorder="1" applyAlignment="1">
      <alignment horizontal="center"/>
    </xf>
    <xf numFmtId="0" fontId="0" fillId="0" borderId="0" xfId="0" applyFill="1"/>
    <xf numFmtId="0" fontId="0" fillId="0" borderId="0" xfId="0" applyFill="1" applyAlignment="1"/>
    <xf numFmtId="164" fontId="0" fillId="0" borderId="0" xfId="0" applyNumberFormat="1" applyAlignment="1">
      <alignment horizontal="center"/>
    </xf>
    <xf numFmtId="165" fontId="0" fillId="0" borderId="1" xfId="0" quotePrefix="1" applyNumberFormat="1" applyBorder="1" applyAlignment="1">
      <alignment horizontal="center"/>
    </xf>
    <xf numFmtId="0" fontId="0" fillId="0" borderId="1" xfId="0" applyBorder="1"/>
    <xf numFmtId="165" fontId="0" fillId="0" borderId="1" xfId="0" applyNumberFormat="1" applyBorder="1" applyAlignment="1">
      <alignment horizontal="center"/>
    </xf>
    <xf numFmtId="0" fontId="0" fillId="0" borderId="6" xfId="0" applyBorder="1" applyAlignment="1">
      <alignment horizontal="center"/>
    </xf>
    <xf numFmtId="2" fontId="0" fillId="0" borderId="6" xfId="0" applyNumberFormat="1" applyBorder="1" applyAlignment="1">
      <alignment horizontal="center"/>
    </xf>
    <xf numFmtId="2" fontId="0" fillId="0" borderId="1" xfId="0" applyNumberFormat="1" applyBorder="1"/>
    <xf numFmtId="0" fontId="0" fillId="0" borderId="1" xfId="0" applyBorder="1" applyAlignment="1">
      <alignment horizontal="center"/>
    </xf>
    <xf numFmtId="0" fontId="0" fillId="2" borderId="1" xfId="0" applyFill="1" applyBorder="1"/>
    <xf numFmtId="0" fontId="5" fillId="0" borderId="1" xfId="0" applyFont="1" applyBorder="1"/>
    <xf numFmtId="0" fontId="0" fillId="0" borderId="1" xfId="0" applyBorder="1" applyAlignment="1">
      <alignment horizontal="center"/>
    </xf>
    <xf numFmtId="0" fontId="0" fillId="0" borderId="0" xfId="0" applyAlignment="1">
      <alignment horizontal="center"/>
    </xf>
    <xf numFmtId="0" fontId="8" fillId="0" borderId="0" xfId="0" applyFont="1"/>
    <xf numFmtId="0" fontId="0" fillId="0" borderId="0" xfId="0" applyFill="1" applyBorder="1" applyAlignment="1">
      <alignment horizontal="center"/>
    </xf>
    <xf numFmtId="0" fontId="0" fillId="0" borderId="0" xfId="0" applyFont="1" applyFill="1" applyBorder="1" applyAlignment="1">
      <alignment horizontal="center"/>
    </xf>
    <xf numFmtId="0" fontId="5" fillId="0" borderId="1" xfId="0" applyFont="1" applyFill="1" applyBorder="1" applyAlignment="1">
      <alignment horizontal="center"/>
    </xf>
    <xf numFmtId="2" fontId="0" fillId="0" borderId="0" xfId="0" applyNumberFormat="1" applyBorder="1" applyAlignment="1">
      <alignment horizontal="center"/>
    </xf>
    <xf numFmtId="167" fontId="0" fillId="0" borderId="1" xfId="0" applyNumberFormat="1" applyBorder="1" applyAlignment="1">
      <alignment horizontal="center"/>
    </xf>
    <xf numFmtId="166" fontId="0" fillId="0" borderId="1" xfId="0" applyNumberFormat="1" applyBorder="1" applyAlignment="1">
      <alignment horizontal="center"/>
    </xf>
    <xf numFmtId="0" fontId="0" fillId="0" borderId="0" xfId="0" applyBorder="1"/>
    <xf numFmtId="0" fontId="0" fillId="0" borderId="0" xfId="0" applyBorder="1" applyAlignment="1">
      <alignment horizontal="center"/>
    </xf>
    <xf numFmtId="0" fontId="0" fillId="0" borderId="0" xfId="0" applyFill="1" applyBorder="1"/>
    <xf numFmtId="0" fontId="0" fillId="2" borderId="3" xfId="0" applyFill="1" applyBorder="1"/>
    <xf numFmtId="0" fontId="0" fillId="0" borderId="1" xfId="0" applyBorder="1" applyAlignment="1">
      <alignment horizontal="center"/>
    </xf>
    <xf numFmtId="0" fontId="5" fillId="0" borderId="0" xfId="0" applyFont="1" applyBorder="1"/>
    <xf numFmtId="0" fontId="0" fillId="0" borderId="0" xfId="0" applyFont="1" applyBorder="1" applyAlignment="1">
      <alignment horizontal="center"/>
    </xf>
    <xf numFmtId="0" fontId="5" fillId="0" borderId="7" xfId="0" applyFont="1" applyBorder="1"/>
    <xf numFmtId="0" fontId="0" fillId="0" borderId="7" xfId="0" applyBorder="1" applyAlignment="1">
      <alignment horizontal="center"/>
    </xf>
    <xf numFmtId="0" fontId="0" fillId="0" borderId="1" xfId="0" applyBorder="1" applyAlignment="1">
      <alignment horizontal="center"/>
    </xf>
    <xf numFmtId="0" fontId="0" fillId="0" borderId="1" xfId="0" applyBorder="1" applyAlignment="1">
      <alignment horizontal="left"/>
    </xf>
    <xf numFmtId="0" fontId="0" fillId="0" borderId="0" xfId="0" applyAlignment="1">
      <alignment horizontal="center"/>
    </xf>
    <xf numFmtId="0" fontId="0" fillId="0" borderId="1" xfId="0" applyBorder="1" applyAlignment="1">
      <alignment horizontal="center"/>
    </xf>
    <xf numFmtId="0" fontId="5" fillId="0" borderId="0" xfId="0" applyFont="1" applyBorder="1" applyAlignment="1">
      <alignment horizontal="center"/>
    </xf>
    <xf numFmtId="0" fontId="0" fillId="0" borderId="1" xfId="0" applyBorder="1" applyAlignment="1"/>
    <xf numFmtId="0" fontId="5" fillId="0" borderId="1" xfId="0" applyFont="1" applyFill="1" applyBorder="1"/>
    <xf numFmtId="0" fontId="9" fillId="0" borderId="1" xfId="0" applyFont="1" applyBorder="1" applyAlignment="1">
      <alignment horizontal="center" vertical="center" readingOrder="1"/>
    </xf>
    <xf numFmtId="0" fontId="5" fillId="0" borderId="0" xfId="0" applyFont="1" applyFill="1" applyBorder="1"/>
    <xf numFmtId="0" fontId="5" fillId="5" borderId="1" xfId="0" applyFont="1" applyFill="1" applyBorder="1"/>
    <xf numFmtId="0" fontId="0" fillId="5" borderId="1" xfId="0" applyFill="1" applyBorder="1"/>
    <xf numFmtId="0" fontId="0" fillId="0" borderId="1" xfId="0" applyFill="1" applyBorder="1"/>
    <xf numFmtId="0" fontId="0" fillId="0" borderId="0" xfId="0" applyAlignment="1">
      <alignment horizontal="center"/>
    </xf>
    <xf numFmtId="0" fontId="0" fillId="0" borderId="1" xfId="0" applyBorder="1" applyAlignment="1">
      <alignment horizontal="center"/>
    </xf>
    <xf numFmtId="0" fontId="0" fillId="5" borderId="1" xfId="0" applyFill="1" applyBorder="1" applyAlignment="1">
      <alignment horizontal="center"/>
    </xf>
    <xf numFmtId="0" fontId="10" fillId="5" borderId="1" xfId="0" applyFont="1" applyFill="1" applyBorder="1" applyAlignment="1">
      <alignment horizontal="center"/>
    </xf>
    <xf numFmtId="166" fontId="10" fillId="0" borderId="1" xfId="0" applyNumberFormat="1" applyFont="1" applyBorder="1" applyAlignment="1">
      <alignment horizontal="center"/>
    </xf>
    <xf numFmtId="2" fontId="10" fillId="0" borderId="1" xfId="0" applyNumberFormat="1" applyFont="1" applyBorder="1" applyAlignment="1">
      <alignment horizontal="center"/>
    </xf>
    <xf numFmtId="2" fontId="0" fillId="5" borderId="1" xfId="0" applyNumberFormat="1" applyFill="1" applyBorder="1"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167" fontId="0" fillId="0" borderId="0" xfId="0" applyNumberFormat="1" applyAlignment="1">
      <alignment horizontal="center"/>
    </xf>
    <xf numFmtId="0" fontId="5" fillId="0" borderId="0" xfId="0" applyFont="1" applyAlignment="1">
      <alignment horizontal="center"/>
    </xf>
    <xf numFmtId="0" fontId="0" fillId="0" borderId="2" xfId="0" applyFill="1" applyBorder="1" applyAlignment="1">
      <alignment horizontal="center" wrapText="1"/>
    </xf>
    <xf numFmtId="165" fontId="0" fillId="0" borderId="1" xfId="0" applyNumberFormat="1" applyFill="1" applyBorder="1" applyAlignment="1">
      <alignment horizontal="center"/>
    </xf>
    <xf numFmtId="164" fontId="0" fillId="0" borderId="1" xfId="0" applyNumberFormat="1" applyFill="1" applyBorder="1" applyAlignment="1">
      <alignment horizontal="center"/>
    </xf>
    <xf numFmtId="1" fontId="0" fillId="0" borderId="1" xfId="0" applyNumberFormat="1" applyFill="1" applyBorder="1" applyAlignment="1">
      <alignment horizontal="center"/>
    </xf>
    <xf numFmtId="0" fontId="0" fillId="2" borderId="1" xfId="0" applyFill="1"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0" fillId="0" borderId="2" xfId="0" applyBorder="1" applyAlignment="1">
      <alignment horizontal="center"/>
    </xf>
    <xf numFmtId="0" fontId="0" fillId="2" borderId="1" xfId="0" applyFill="1" applyBorder="1" applyAlignment="1">
      <alignment horizontal="center"/>
    </xf>
    <xf numFmtId="0" fontId="0" fillId="2" borderId="1" xfId="0" applyFill="1" applyBorder="1" applyAlignment="1">
      <alignment horizontal="center" wrapText="1"/>
    </xf>
    <xf numFmtId="0" fontId="0" fillId="2" borderId="1" xfId="0" applyFont="1" applyFill="1" applyBorder="1" applyAlignment="1">
      <alignment horizontal="center" vertical="center" wrapText="1"/>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1"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0" borderId="1" xfId="0" applyBorder="1" applyAlignment="1">
      <alignment horizontal="center"/>
    </xf>
    <xf numFmtId="0" fontId="0" fillId="3" borderId="1" xfId="0" applyFill="1" applyBorder="1" applyAlignment="1">
      <alignment horizontal="center"/>
    </xf>
    <xf numFmtId="0" fontId="0" fillId="3" borderId="7" xfId="0" applyFill="1" applyBorder="1" applyAlignment="1">
      <alignment horizontal="center"/>
    </xf>
    <xf numFmtId="0" fontId="0" fillId="3" borderId="1" xfId="0" applyFill="1" applyBorder="1" applyAlignment="1">
      <alignment horizontal="center" vertical="center" wrapText="1"/>
    </xf>
    <xf numFmtId="0" fontId="0" fillId="0" borderId="0" xfId="0" applyAlignment="1">
      <alignment horizontal="center"/>
    </xf>
    <xf numFmtId="0" fontId="0" fillId="0" borderId="0" xfId="0" applyAlignment="1">
      <alignment horizontal="center" vertical="center" wrapText="1"/>
    </xf>
    <xf numFmtId="0" fontId="0" fillId="4" borderId="1" xfId="0" applyFill="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5" fillId="0" borderId="5" xfId="0" applyFont="1" applyBorder="1" applyAlignment="1">
      <alignment horizontal="center"/>
    </xf>
    <xf numFmtId="0" fontId="10" fillId="4" borderId="1" xfId="0" applyFont="1" applyFill="1" applyBorder="1" applyAlignment="1">
      <alignment horizontal="center"/>
    </xf>
    <xf numFmtId="0" fontId="11" fillId="4" borderId="1" xfId="0" applyFont="1" applyFill="1" applyBorder="1" applyAlignment="1">
      <alignment horizontal="center"/>
    </xf>
    <xf numFmtId="0" fontId="8" fillId="4" borderId="1" xfId="0" applyFont="1" applyFill="1" applyBorder="1" applyAlignment="1">
      <alignment horizontal="center"/>
    </xf>
    <xf numFmtId="0" fontId="0" fillId="4" borderId="9" xfId="0" applyFill="1" applyBorder="1" applyAlignment="1">
      <alignment horizontal="center"/>
    </xf>
    <xf numFmtId="0" fontId="0" fillId="4" borderId="8" xfId="0" applyFill="1" applyBorder="1" applyAlignment="1">
      <alignment horizontal="center"/>
    </xf>
    <xf numFmtId="0" fontId="0" fillId="6" borderId="1" xfId="0" applyFont="1" applyFill="1" applyBorder="1" applyAlignment="1">
      <alignment horizontal="center"/>
    </xf>
    <xf numFmtId="0" fontId="5" fillId="0" borderId="1" xfId="0" applyFont="1" applyBorder="1" applyAlignment="1">
      <alignment horizontal="left"/>
    </xf>
    <xf numFmtId="0" fontId="0" fillId="0" borderId="1" xfId="0" applyFont="1" applyBorder="1" applyAlignment="1">
      <alignment horizontal="left"/>
    </xf>
    <xf numFmtId="0" fontId="5" fillId="0" borderId="1" xfId="0" applyFont="1" applyFill="1" applyBorder="1" applyAlignment="1">
      <alignment horizontal="left"/>
    </xf>
  </cellXfs>
  <cellStyles count="1">
    <cellStyle name="Normale" xfId="0" builtinId="0"/>
  </cellStyles>
  <dxfs count="16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Peso</a:t>
            </a:r>
            <a:r>
              <a:rPr lang="en-GB" sz="1200" b="1" baseline="0"/>
              <a:t> proprio -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1"/>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'fase 0 '!$I$3:$I$6</c:f>
              <c:numCache>
                <c:formatCode>0.0</c:formatCode>
                <c:ptCount val="4"/>
                <c:pt idx="0" formatCode="General">
                  <c:v>0</c:v>
                </c:pt>
                <c:pt idx="1">
                  <c:v>3.8886751827749659</c:v>
                </c:pt>
                <c:pt idx="2">
                  <c:v>-5.3463043912092276</c:v>
                </c:pt>
                <c:pt idx="3" formatCode="General">
                  <c:v>0</c:v>
                </c:pt>
              </c:numCache>
            </c:numRef>
          </c:xVal>
          <c:yVal>
            <c:numRef>
              <c:f>'fase 0 '!$J$3:$J$6</c:f>
              <c:numCache>
                <c:formatCode>0.0</c:formatCode>
                <c:ptCount val="4"/>
                <c:pt idx="0" formatCode="General">
                  <c:v>779</c:v>
                </c:pt>
                <c:pt idx="1">
                  <c:v>779</c:v>
                </c:pt>
                <c:pt idx="2">
                  <c:v>-1071</c:v>
                </c:pt>
                <c:pt idx="3" formatCode="General">
                  <c:v>-1071</c:v>
                </c:pt>
              </c:numCache>
            </c:numRef>
          </c:yVal>
          <c:smooth val="0"/>
          <c:extLst>
            <c:ext xmlns:c16="http://schemas.microsoft.com/office/drawing/2014/chart" uri="{C3380CC4-5D6E-409C-BE32-E72D297353CC}">
              <c16:uniqueId val="{00000000-B848-4F59-B5C8-1A9E32564056}"/>
            </c:ext>
          </c:extLst>
        </c:ser>
        <c:dLbls>
          <c:dLblPos val="t"/>
          <c:showLegendKey val="0"/>
          <c:showVal val="1"/>
          <c:showCatName val="0"/>
          <c:showSerName val="0"/>
          <c:showPercent val="0"/>
          <c:showBubbleSize val="0"/>
        </c:dLbls>
        <c:axId val="1216558543"/>
        <c:axId val="930664287"/>
        <c:extLst>
          <c:ext xmlns:c15="http://schemas.microsoft.com/office/drawing/2012/chart" uri="{02D57815-91ED-43cb-92C2-25804820EDAC}">
            <c15:filteredScatterSeries>
              <c15:ser>
                <c:idx val="0"/>
                <c:order val="0"/>
                <c:tx>
                  <c:v>Fase 0 - G1</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extLst>
                      <c:ext uri="{02D57815-91ED-43cb-92C2-25804820EDAC}">
                        <c15:formulaRef>
                          <c15:sqref>'fase 0'!#REF!</c15:sqref>
                        </c15:formulaRef>
                      </c:ext>
                    </c:extLst>
                  </c:numRef>
                </c:xVal>
                <c:yVal>
                  <c:numRef>
                    <c:extLst>
                      <c:ext uri="{02D57815-91ED-43cb-92C2-25804820EDAC}">
                        <c15:formulaRef>
                          <c15:sqref>'fase 0'!#REF!</c15:sqref>
                        </c15:formulaRef>
                      </c:ext>
                    </c:extLst>
                    <c:numCache>
                      <c:formatCode>General</c:formatCode>
                      <c:ptCount val="1"/>
                      <c:pt idx="0">
                        <c:v>1</c:v>
                      </c:pt>
                    </c:numCache>
                  </c:numRef>
                </c:yVal>
                <c:smooth val="0"/>
                <c:extLst>
                  <c:ext xmlns:c16="http://schemas.microsoft.com/office/drawing/2014/chart" uri="{C3380CC4-5D6E-409C-BE32-E72D297353CC}">
                    <c16:uniqueId val="{00000000-0B7A-4D83-9F42-E963250A0DEA}"/>
                  </c:ext>
                </c:extLst>
              </c15:ser>
            </c15:filteredScatterSeries>
          </c:ext>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Precompressione </a:t>
            </a:r>
            <a:r>
              <a:rPr lang="en-GB" sz="1200" b="1" baseline="0"/>
              <a:t>-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0 '!$M$3:$M$6</c:f>
              <c:numCache>
                <c:formatCode>0.0</c:formatCode>
                <c:ptCount val="4"/>
                <c:pt idx="0" formatCode="General">
                  <c:v>0</c:v>
                </c:pt>
                <c:pt idx="1">
                  <c:v>2.029111863534995</c:v>
                </c:pt>
                <c:pt idx="2">
                  <c:v>15.226714870926232</c:v>
                </c:pt>
                <c:pt idx="3" formatCode="General">
                  <c:v>0</c:v>
                </c:pt>
              </c:numCache>
            </c:numRef>
          </c:xVal>
          <c:yVal>
            <c:numRef>
              <c:f>'fase 0 '!$N$3:$N$6</c:f>
              <c:numCache>
                <c:formatCode>0.0</c:formatCode>
                <c:ptCount val="4"/>
                <c:pt idx="0" formatCode="General">
                  <c:v>779</c:v>
                </c:pt>
                <c:pt idx="1">
                  <c:v>779</c:v>
                </c:pt>
                <c:pt idx="2">
                  <c:v>-1071</c:v>
                </c:pt>
                <c:pt idx="3" formatCode="General">
                  <c:v>-1071</c:v>
                </c:pt>
              </c:numCache>
            </c:numRef>
          </c:yVal>
          <c:smooth val="0"/>
          <c:extLst xmlns:c15="http://schemas.microsoft.com/office/drawing/2012/chart">
            <c:ext xmlns:c16="http://schemas.microsoft.com/office/drawing/2014/chart" uri="{C3380CC4-5D6E-409C-BE32-E72D297353CC}">
              <c16:uniqueId val="{00000001-3967-45C3-910E-38416945C204}"/>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Tensione cls </a:t>
            </a:r>
            <a:r>
              <a:rPr lang="en-GB" sz="1200" b="1" baseline="0"/>
              <a:t>-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rgbClr val="FF0000"/>
              </a:solidFill>
              <a:round/>
            </a:ln>
            <a:effectLst/>
          </c:spPr>
          <c:marker>
            <c:symbol val="circle"/>
            <c:size val="5"/>
            <c:spPr>
              <a:solidFill>
                <a:srgbClr val="FF0000"/>
              </a:solidFill>
              <a:ln w="9525">
                <a:solidFill>
                  <a:schemeClr val="tx1"/>
                </a:solidFill>
              </a:ln>
              <a:effectLst/>
            </c:spPr>
          </c:marker>
          <c:dLbls>
            <c:dLbl>
              <c:idx val="1"/>
              <c:layout>
                <c:manualLayout>
                  <c:x val="1.7843256934455577E-2"/>
                  <c:y val="-4.4494619868346089E-2"/>
                </c:manualLayout>
              </c:layout>
              <c:dLblPos val="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7A-47A0-ABC1-19CE7E8467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0 '!$Q$3:$Q$6</c:f>
              <c:numCache>
                <c:formatCode>0.0</c:formatCode>
                <c:ptCount val="4"/>
                <c:pt idx="0" formatCode="General">
                  <c:v>0</c:v>
                </c:pt>
                <c:pt idx="1">
                  <c:v>5.9177870463099609</c:v>
                </c:pt>
                <c:pt idx="2">
                  <c:v>9.8804104797170034</c:v>
                </c:pt>
                <c:pt idx="3" formatCode="General">
                  <c:v>0</c:v>
                </c:pt>
              </c:numCache>
            </c:numRef>
          </c:xVal>
          <c:yVal>
            <c:numRef>
              <c:f>'fase 0 '!$R$3:$R$6</c:f>
              <c:numCache>
                <c:formatCode>General</c:formatCode>
                <c:ptCount val="4"/>
                <c:pt idx="0">
                  <c:v>779</c:v>
                </c:pt>
                <c:pt idx="1">
                  <c:v>779</c:v>
                </c:pt>
                <c:pt idx="2">
                  <c:v>-1071</c:v>
                </c:pt>
                <c:pt idx="3">
                  <c:v>-1071</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Peso</a:t>
            </a:r>
            <a:r>
              <a:rPr lang="en-GB" sz="1200" b="1" baseline="0"/>
              <a:t> proprio -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0 - G1</c:v>
          </c:tx>
          <c:spPr>
            <a:ln w="2222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1 '!$B$34:$B$37</c:f>
              <c:numCache>
                <c:formatCode>0.00</c:formatCode>
                <c:ptCount val="4"/>
                <c:pt idx="0" formatCode="General">
                  <c:v>0</c:v>
                </c:pt>
                <c:pt idx="1">
                  <c:v>5.9177870463099609</c:v>
                </c:pt>
                <c:pt idx="2">
                  <c:v>9.8804104797170034</c:v>
                </c:pt>
                <c:pt idx="3" formatCode="General">
                  <c:v>0</c:v>
                </c:pt>
              </c:numCache>
            </c:numRef>
          </c:xVal>
          <c:yVal>
            <c:numRef>
              <c:f>'fase 1 '!$C$34:$C$37</c:f>
              <c:numCache>
                <c:formatCode>General</c:formatCode>
                <c:ptCount val="4"/>
                <c:pt idx="0">
                  <c:v>779</c:v>
                </c:pt>
                <c:pt idx="1">
                  <c:v>779</c:v>
                </c:pt>
                <c:pt idx="2">
                  <c:v>-1071</c:v>
                </c:pt>
                <c:pt idx="3">
                  <c:v>-1071</c:v>
                </c:pt>
              </c:numCache>
            </c:numRef>
          </c:yVal>
          <c:smooth val="0"/>
          <c:extLst xmlns:c15="http://schemas.microsoft.com/office/drawing/2012/chart">
            <c:ext xmlns:c16="http://schemas.microsoft.com/office/drawing/2014/chart" uri="{C3380CC4-5D6E-409C-BE32-E72D297353CC}">
              <c16:uniqueId val="{00000001-EE06-429D-82D5-9DC49A0D1721}"/>
            </c:ext>
          </c:extLst>
        </c:ser>
        <c:dLbls>
          <c:dLblPos val="t"/>
          <c:showLegendKey val="0"/>
          <c:showVal val="1"/>
          <c:showCatName val="0"/>
          <c:showSerName val="0"/>
          <c:showPercent val="0"/>
          <c:showBubbleSize val="0"/>
        </c:dLbls>
        <c:axId val="1216558543"/>
        <c:axId val="930664287"/>
        <c:extLst>
          <c:ext xmlns:c15="http://schemas.microsoft.com/office/drawing/2012/chart" uri="{02D57815-91ED-43cb-92C2-25804820EDAC}">
            <c15:filteredScatterSeries>
              <c15:ser>
                <c:idx val="1"/>
                <c:order val="1"/>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c:ext uri="{CE6537A1-D6FC-4f65-9D91-7224C49458BB}">
                      <c15:showLeaderLines val="0"/>
                    </c:ext>
                  </c:extLst>
                </c:dLbls>
                <c:xVal>
                  <c:numRef>
                    <c:extLst>
                      <c:ext uri="{02D57815-91ED-43cb-92C2-25804820EDAC}">
                        <c15:formulaRef>
                          <c15:sqref>'fase 0 '!$I$3:$I$6</c15:sqref>
                        </c15:formulaRef>
                      </c:ext>
                    </c:extLst>
                    <c:numCache>
                      <c:formatCode>0.0</c:formatCode>
                      <c:ptCount val="4"/>
                      <c:pt idx="0" formatCode="General">
                        <c:v>0</c:v>
                      </c:pt>
                      <c:pt idx="1">
                        <c:v>3.8886751827749659</c:v>
                      </c:pt>
                      <c:pt idx="2">
                        <c:v>-5.3463043912092276</c:v>
                      </c:pt>
                      <c:pt idx="3" formatCode="General">
                        <c:v>0</c:v>
                      </c:pt>
                    </c:numCache>
                  </c:numRef>
                </c:xVal>
                <c:yVal>
                  <c:numRef>
                    <c:extLst>
                      <c:ext uri="{02D57815-91ED-43cb-92C2-25804820EDAC}">
                        <c15:formulaRef>
                          <c15:sqref>'fase 0 '!$J$3:$J$6</c15:sqref>
                        </c15:formulaRef>
                      </c:ext>
                    </c:extLst>
                    <c:numCache>
                      <c:formatCode>0.0</c:formatCode>
                      <c:ptCount val="4"/>
                      <c:pt idx="0" formatCode="General">
                        <c:v>779</c:v>
                      </c:pt>
                      <c:pt idx="1">
                        <c:v>779</c:v>
                      </c:pt>
                      <c:pt idx="2">
                        <c:v>-1071</c:v>
                      </c:pt>
                      <c:pt idx="3" formatCode="General">
                        <c:v>-1071</c:v>
                      </c:pt>
                    </c:numCache>
                  </c:numRef>
                </c:yVal>
                <c:smooth val="0"/>
                <c:extLst>
                  <c:ext xmlns:c16="http://schemas.microsoft.com/office/drawing/2014/chart" uri="{C3380CC4-5D6E-409C-BE32-E72D297353CC}">
                    <c16:uniqueId val="{00000000-EE06-429D-82D5-9DC49A0D1721}"/>
                  </c:ext>
                </c:extLst>
              </c15:ser>
            </c15:filteredScatterSeries>
          </c:ext>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Precompressione </a:t>
            </a:r>
            <a:r>
              <a:rPr lang="en-GB" sz="1200" b="1" baseline="0"/>
              <a:t>-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chemeClr val="accent1"/>
              </a:solidFill>
              <a:round/>
            </a:ln>
            <a:effectLst/>
          </c:spPr>
          <c:marker>
            <c:symbol val="circle"/>
            <c:size val="5"/>
            <c:spPr>
              <a:solidFill>
                <a:schemeClr val="accent1"/>
              </a:solidFill>
              <a:ln w="9525">
                <a:solidFill>
                  <a:schemeClr val="accent1"/>
                </a:solidFill>
              </a:ln>
              <a:effectLst/>
            </c:spPr>
          </c:marker>
          <c:dLbls>
            <c:dLbl>
              <c:idx val="2"/>
              <c:layout>
                <c:manualLayout>
                  <c:x val="0"/>
                  <c:y val="2.5822782064756324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20-4635-B1E4-05031FB08E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1 '!$F$34:$F$37</c:f>
              <c:numCache>
                <c:formatCode>0.0</c:formatCode>
                <c:ptCount val="4"/>
                <c:pt idx="0" formatCode="General">
                  <c:v>0</c:v>
                </c:pt>
                <c:pt idx="1">
                  <c:v>-0.2654755142225742</c:v>
                </c:pt>
                <c:pt idx="2">
                  <c:v>-1.9921622030425548</c:v>
                </c:pt>
                <c:pt idx="3" formatCode="General">
                  <c:v>0</c:v>
                </c:pt>
              </c:numCache>
            </c:numRef>
          </c:xVal>
          <c:yVal>
            <c:numRef>
              <c:f>'fase 1 '!$G$34:$G$37</c:f>
              <c:numCache>
                <c:formatCode>0.0</c:formatCode>
                <c:ptCount val="4"/>
                <c:pt idx="0" formatCode="General">
                  <c:v>779</c:v>
                </c:pt>
                <c:pt idx="1">
                  <c:v>779</c:v>
                </c:pt>
                <c:pt idx="2">
                  <c:v>-1071</c:v>
                </c:pt>
                <c:pt idx="3" formatCode="General">
                  <c:v>-1071</c:v>
                </c:pt>
              </c:numCache>
            </c:numRef>
          </c:yVal>
          <c:smooth val="0"/>
          <c:extLst xmlns:c15="http://schemas.microsoft.com/office/drawing/2012/chart">
            <c:ext xmlns:c16="http://schemas.microsoft.com/office/drawing/2014/chart" uri="{C3380CC4-5D6E-409C-BE32-E72D297353CC}">
              <c16:uniqueId val="{00000000-0B20-4635-B1E4-05031FB08E70}"/>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Peso soletta </a:t>
            </a:r>
            <a:r>
              <a:rPr lang="en-GB" sz="1200" b="1" baseline="0"/>
              <a:t>- fase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1 '!$J$34:$J$37</c:f>
              <c:numCache>
                <c:formatCode>0.0</c:formatCode>
                <c:ptCount val="4"/>
                <c:pt idx="0" formatCode="General">
                  <c:v>0</c:v>
                </c:pt>
                <c:pt idx="1">
                  <c:v>2.5010657275572665</c:v>
                </c:pt>
                <c:pt idx="2">
                  <c:v>-3.4385640490549836</c:v>
                </c:pt>
                <c:pt idx="3" formatCode="General">
                  <c:v>0</c:v>
                </c:pt>
              </c:numCache>
            </c:numRef>
          </c:xVal>
          <c:yVal>
            <c:numRef>
              <c:f>'fase 1 '!$K$34:$K$37</c:f>
              <c:numCache>
                <c:formatCode>General</c:formatCode>
                <c:ptCount val="4"/>
                <c:pt idx="0">
                  <c:v>779</c:v>
                </c:pt>
                <c:pt idx="1">
                  <c:v>779</c:v>
                </c:pt>
                <c:pt idx="2">
                  <c:v>-1071</c:v>
                </c:pt>
                <c:pt idx="3">
                  <c:v>-1071</c:v>
                </c:pt>
              </c:numCache>
            </c:numRef>
          </c:yVal>
          <c:smooth val="0"/>
          <c:extLst xmlns:c15="http://schemas.microsoft.com/office/drawing/2012/chart">
            <c:ext xmlns:c16="http://schemas.microsoft.com/office/drawing/2014/chart" uri="{C3380CC4-5D6E-409C-BE32-E72D297353CC}">
              <c16:uniqueId val="{00000001-CDED-4AEC-99B2-84FB92CEC842}"/>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Tensioni cls - fase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rgbClr val="FF0000"/>
              </a:solidFill>
              <a:round/>
            </a:ln>
            <a:effectLst/>
          </c:spPr>
          <c:marker>
            <c:symbol val="circle"/>
            <c:size val="5"/>
            <c:spPr>
              <a:solidFill>
                <a:srgbClr val="FF0000"/>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1 '!$O$34:$O$37</c:f>
              <c:numCache>
                <c:formatCode>0.00</c:formatCode>
                <c:ptCount val="4"/>
                <c:pt idx="0" formatCode="General">
                  <c:v>0</c:v>
                </c:pt>
                <c:pt idx="1">
                  <c:v>8.1533772596446532</c:v>
                </c:pt>
                <c:pt idx="2">
                  <c:v>4.449684227619465</c:v>
                </c:pt>
                <c:pt idx="3" formatCode="General">
                  <c:v>0</c:v>
                </c:pt>
              </c:numCache>
            </c:numRef>
          </c:xVal>
          <c:yVal>
            <c:numRef>
              <c:f>'fase 1 '!$P$34:$P$37</c:f>
              <c:numCache>
                <c:formatCode>General</c:formatCode>
                <c:ptCount val="4"/>
                <c:pt idx="0">
                  <c:v>779</c:v>
                </c:pt>
                <c:pt idx="1">
                  <c:v>779</c:v>
                </c:pt>
                <c:pt idx="2">
                  <c:v>-1071</c:v>
                </c:pt>
                <c:pt idx="3">
                  <c:v>-1071</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Tensioni cls </a:t>
            </a:r>
            <a:r>
              <a:rPr lang="en-GB" sz="1200" b="1" baseline="0"/>
              <a:t>- fase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1</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'!$C$50:$C$57</c:f>
              <c:numCache>
                <c:formatCode>0.00</c:formatCode>
                <c:ptCount val="8"/>
                <c:pt idx="0">
                  <c:v>0</c:v>
                </c:pt>
                <c:pt idx="1">
                  <c:v>0</c:v>
                </c:pt>
                <c:pt idx="2">
                  <c:v>0</c:v>
                </c:pt>
                <c:pt idx="3">
                  <c:v>0</c:v>
                </c:pt>
                <c:pt idx="4">
                  <c:v>0</c:v>
                </c:pt>
                <c:pt idx="5">
                  <c:v>8.1533772596446532</c:v>
                </c:pt>
                <c:pt idx="6">
                  <c:v>4.449684227619465</c:v>
                </c:pt>
                <c:pt idx="7">
                  <c:v>0</c:v>
                </c:pt>
              </c:numCache>
            </c:numRef>
          </c:xVal>
          <c:yVal>
            <c:numRef>
              <c:f>'fase 2 '!$B$50:$B$57</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0-E3DB-4D3B-8D98-5FA2276E4171}"/>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Tensioni permanenti  </a:t>
            </a:r>
            <a:r>
              <a:rPr lang="en-GB" sz="1200" b="1" baseline="0"/>
              <a:t>-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1.3064699269717126E-16"/>
                  <c:y val="5.3125010167188076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31-40EC-BB38-21F7D8B2BCF1}"/>
                </c:ext>
              </c:extLst>
            </c:dLbl>
            <c:dLbl>
              <c:idx val="4"/>
              <c:delete val="1"/>
              <c:extLst>
                <c:ext xmlns:c15="http://schemas.microsoft.com/office/drawing/2012/chart" uri="{CE6537A1-D6FC-4f65-9D91-7224C49458BB}"/>
                <c:ext xmlns:c16="http://schemas.microsoft.com/office/drawing/2014/chart" uri="{C3380CC4-5D6E-409C-BE32-E72D297353CC}">
                  <c16:uniqueId val="{00000002-D031-40EC-BB38-21F7D8B2BCF1}"/>
                </c:ext>
              </c:extLst>
            </c:dLbl>
            <c:dLbl>
              <c:idx val="5"/>
              <c:delete val="1"/>
              <c:extLst>
                <c:ext xmlns:c15="http://schemas.microsoft.com/office/drawing/2012/chart" uri="{CE6537A1-D6FC-4f65-9D91-7224C49458BB}"/>
                <c:ext xmlns:c16="http://schemas.microsoft.com/office/drawing/2014/chart" uri="{C3380CC4-5D6E-409C-BE32-E72D297353CC}">
                  <c16:uniqueId val="{00000001-D031-40EC-BB38-21F7D8B2BC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'!$D$50:$D$57</c:f>
              <c:numCache>
                <c:formatCode>0.00</c:formatCode>
                <c:ptCount val="8"/>
                <c:pt idx="0" formatCode="General">
                  <c:v>0</c:v>
                </c:pt>
                <c:pt idx="1">
                  <c:v>0.59410416676375699</c:v>
                </c:pt>
                <c:pt idx="2">
                  <c:v>0.4179166914482893</c:v>
                </c:pt>
                <c:pt idx="3">
                  <c:v>0.43952891149623591</c:v>
                </c:pt>
                <c:pt idx="4">
                  <c:v>0.43952891149623591</c:v>
                </c:pt>
                <c:pt idx="5">
                  <c:v>0.43952891149623591</c:v>
                </c:pt>
                <c:pt idx="6">
                  <c:v>-0.93168270109741746</c:v>
                </c:pt>
                <c:pt idx="7">
                  <c:v>0</c:v>
                </c:pt>
              </c:numCache>
            </c:numRef>
          </c:xVal>
          <c:yVal>
            <c:numRef>
              <c:f>'fase 2 '!$B$50:$B$57</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0-D031-40EC-BB38-21F7D8B2BCF1}"/>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Tensioni da ritiro  </a:t>
            </a:r>
            <a:r>
              <a:rPr lang="en-GB" sz="1200" b="1" baseline="0"/>
              <a:t>-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1.3064699269717126E-16"/>
                  <c:y val="5.3125010167188076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75-499A-A137-560F28496882}"/>
                </c:ext>
              </c:extLst>
            </c:dLbl>
            <c:dLbl>
              <c:idx val="4"/>
              <c:delete val="1"/>
              <c:extLst>
                <c:ext xmlns:c15="http://schemas.microsoft.com/office/drawing/2012/chart" uri="{CE6537A1-D6FC-4f65-9D91-7224C49458BB}"/>
                <c:ext xmlns:c16="http://schemas.microsoft.com/office/drawing/2014/chart" uri="{C3380CC4-5D6E-409C-BE32-E72D297353CC}">
                  <c16:uniqueId val="{00000001-1375-499A-A137-560F28496882}"/>
                </c:ext>
              </c:extLst>
            </c:dLbl>
            <c:dLbl>
              <c:idx val="5"/>
              <c:delete val="1"/>
              <c:extLst>
                <c:ext xmlns:c15="http://schemas.microsoft.com/office/drawing/2012/chart" uri="{CE6537A1-D6FC-4f65-9D91-7224C49458BB}"/>
                <c:ext xmlns:c16="http://schemas.microsoft.com/office/drawing/2014/chart" uri="{C3380CC4-5D6E-409C-BE32-E72D297353CC}">
                  <c16:uniqueId val="{00000002-1375-499A-A137-560F284968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'!$E$50:$E$57</c:f>
              <c:numCache>
                <c:formatCode>0.0</c:formatCode>
                <c:ptCount val="8"/>
                <c:pt idx="0" formatCode="General">
                  <c:v>0</c:v>
                </c:pt>
                <c:pt idx="1">
                  <c:v>-1.9828174911895413</c:v>
                </c:pt>
                <c:pt idx="2">
                  <c:v>-2.6708509759405317</c:v>
                </c:pt>
                <c:pt idx="3">
                  <c:v>0</c:v>
                </c:pt>
                <c:pt idx="4">
                  <c:v>0</c:v>
                </c:pt>
                <c:pt idx="5">
                  <c:v>4.5526208330435267</c:v>
                </c:pt>
                <c:pt idx="6">
                  <c:v>-0.80212701412657195</c:v>
                </c:pt>
                <c:pt idx="7" formatCode="General">
                  <c:v>0</c:v>
                </c:pt>
              </c:numCache>
            </c:numRef>
          </c:xVal>
          <c:yVal>
            <c:numRef>
              <c:f>'fase 2 '!$B$50:$B$57</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3-1375-499A-A137-560F28496882}"/>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perdite </a:t>
            </a:r>
            <a:r>
              <a:rPr lang="en-GB" sz="1200" b="1" baseline="0"/>
              <a:t>-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1.3064699269717126E-16"/>
                  <c:y val="5.3125010167188076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88-473D-8F32-D605F9D1B827}"/>
                </c:ext>
              </c:extLst>
            </c:dLbl>
            <c:dLbl>
              <c:idx val="4"/>
              <c:delete val="1"/>
              <c:extLst>
                <c:ext xmlns:c15="http://schemas.microsoft.com/office/drawing/2012/chart" uri="{CE6537A1-D6FC-4f65-9D91-7224C49458BB}"/>
                <c:ext xmlns:c16="http://schemas.microsoft.com/office/drawing/2014/chart" uri="{C3380CC4-5D6E-409C-BE32-E72D297353CC}">
                  <c16:uniqueId val="{00000001-1288-473D-8F32-D605F9D1B827}"/>
                </c:ext>
              </c:extLst>
            </c:dLbl>
            <c:dLbl>
              <c:idx val="5"/>
              <c:delete val="1"/>
              <c:extLst>
                <c:ext xmlns:c15="http://schemas.microsoft.com/office/drawing/2012/chart" uri="{CE6537A1-D6FC-4f65-9D91-7224C49458BB}"/>
                <c:ext xmlns:c16="http://schemas.microsoft.com/office/drawing/2014/chart" uri="{C3380CC4-5D6E-409C-BE32-E72D297353CC}">
                  <c16:uniqueId val="{00000002-1288-473D-8F32-D605F9D1B8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'!$F$50:$F$57</c:f>
              <c:numCache>
                <c:formatCode>0.00</c:formatCode>
                <c:ptCount val="8"/>
                <c:pt idx="0" formatCode="General">
                  <c:v>0</c:v>
                </c:pt>
                <c:pt idx="1">
                  <c:v>-5.4814404419609476E-3</c:v>
                </c:pt>
                <c:pt idx="2" formatCode="0.00000">
                  <c:v>-1.1678510904581343E-2</c:v>
                </c:pt>
                <c:pt idx="3" formatCode="General">
                  <c:v>0</c:v>
                </c:pt>
                <c:pt idx="4" formatCode="General">
                  <c:v>0</c:v>
                </c:pt>
                <c:pt idx="5" formatCode="0.0000">
                  <c:v>-1.2282455548733915E-2</c:v>
                </c:pt>
                <c:pt idx="6">
                  <c:v>-6.0512302574983953E-2</c:v>
                </c:pt>
                <c:pt idx="7" formatCode="General">
                  <c:v>0</c:v>
                </c:pt>
              </c:numCache>
            </c:numRef>
          </c:xVal>
          <c:yVal>
            <c:numRef>
              <c:f>'fase 2 '!$B$50:$B$57</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3-1288-473D-8F32-D605F9D1B827}"/>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tensione cls -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rgbClr val="FF0000"/>
              </a:solidFill>
              <a:round/>
            </a:ln>
            <a:effectLst/>
          </c:spPr>
          <c:marker>
            <c:symbol val="circle"/>
            <c:size val="5"/>
            <c:spPr>
              <a:solidFill>
                <a:srgbClr val="FF0000"/>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'!$G$50:$G$57</c:f>
              <c:numCache>
                <c:formatCode>0.00</c:formatCode>
                <c:ptCount val="8"/>
                <c:pt idx="0">
                  <c:v>0</c:v>
                </c:pt>
                <c:pt idx="1">
                  <c:v>-1.3941947648677453</c:v>
                </c:pt>
                <c:pt idx="2">
                  <c:v>-2.2646127953968236</c:v>
                </c:pt>
                <c:pt idx="3">
                  <c:v>0.43952891149623591</c:v>
                </c:pt>
                <c:pt idx="4">
                  <c:v>0.43952891149623591</c:v>
                </c:pt>
                <c:pt idx="5">
                  <c:v>13.133244548635682</c:v>
                </c:pt>
                <c:pt idx="6">
                  <c:v>2.6553622098204919</c:v>
                </c:pt>
                <c:pt idx="7">
                  <c:v>0</c:v>
                </c:pt>
              </c:numCache>
            </c:numRef>
          </c:xVal>
          <c:yVal>
            <c:numRef>
              <c:f>'fase 2 '!$B$50:$B$57</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Accidentale </a:t>
            </a:r>
            <a:r>
              <a:rPr lang="en-GB" sz="1200" b="1" baseline="0"/>
              <a:t>- fase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3</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3'!$D$31:$D$38</c:f>
              <c:numCache>
                <c:formatCode>0.00</c:formatCode>
                <c:ptCount val="8"/>
                <c:pt idx="0" formatCode="General">
                  <c:v>0</c:v>
                </c:pt>
                <c:pt idx="1">
                  <c:v>2.8278101026688747</c:v>
                </c:pt>
                <c:pt idx="2">
                  <c:v>1.9891950069782238</c:v>
                </c:pt>
                <c:pt idx="3">
                  <c:v>0</c:v>
                </c:pt>
                <c:pt idx="4">
                  <c:v>2.0920646005809704</c:v>
                </c:pt>
                <c:pt idx="5">
                  <c:v>2.0920646005809704</c:v>
                </c:pt>
                <c:pt idx="6">
                  <c:v>-4.4346124838621925</c:v>
                </c:pt>
                <c:pt idx="7">
                  <c:v>0</c:v>
                </c:pt>
              </c:numCache>
            </c:numRef>
          </c:xVal>
          <c:yVal>
            <c:numRef>
              <c:f>'fase 3'!$B$31:$B$38</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3-E05F-44E5-A413-88A9F34D4869}"/>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Tensioni totale - fase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3</c:v>
          </c:tx>
          <c:spPr>
            <a:ln w="19050" cap="rnd">
              <a:solidFill>
                <a:srgbClr val="FF0000"/>
              </a:solidFill>
              <a:round/>
            </a:ln>
            <a:effectLst/>
          </c:spPr>
          <c:marker>
            <c:symbol val="circle"/>
            <c:size val="5"/>
            <c:spPr>
              <a:solidFill>
                <a:srgbClr val="FF0000"/>
              </a:solidFill>
              <a:ln w="9525">
                <a:solidFill>
                  <a:schemeClr val="tx1"/>
                </a:solidFill>
              </a:ln>
              <a:effectLst/>
            </c:spPr>
          </c:marker>
          <c:dLbls>
            <c:dLbl>
              <c:idx val="1"/>
              <c:layout>
                <c:manualLayout>
                  <c:x val="1.7574006812926056E-3"/>
                  <c:y val="-3.5986692715084881E-2"/>
                </c:manualLayout>
              </c:layout>
              <c:dLblPos val="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E8-4530-80B9-A16AB2BBFF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3'!$E$31:$E$38</c:f>
              <c:numCache>
                <c:formatCode>0.00</c:formatCode>
                <c:ptCount val="8"/>
                <c:pt idx="0">
                  <c:v>0</c:v>
                </c:pt>
                <c:pt idx="1">
                  <c:v>1.4336153378011294</c:v>
                </c:pt>
                <c:pt idx="2">
                  <c:v>-0.27541778841859976</c:v>
                </c:pt>
                <c:pt idx="3">
                  <c:v>0.43952891149623591</c:v>
                </c:pt>
                <c:pt idx="4">
                  <c:v>2.5315935120772064</c:v>
                </c:pt>
                <c:pt idx="5">
                  <c:v>15.225309149216653</c:v>
                </c:pt>
                <c:pt idx="6">
                  <c:v>-1.7792502740417007</c:v>
                </c:pt>
                <c:pt idx="7">
                  <c:v>0</c:v>
                </c:pt>
              </c:numCache>
            </c:numRef>
          </c:xVal>
          <c:yVal>
            <c:numRef>
              <c:f>'fase 3'!$B$31:$B$38</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Tensione totale </a:t>
            </a:r>
            <a:r>
              <a:rPr lang="en-GB" sz="1200" b="1" baseline="0"/>
              <a:t>- fase 2</a:t>
            </a:r>
          </a:p>
        </c:rich>
      </c:tx>
      <c:layout>
        <c:manualLayout>
          <c:xMode val="edge"/>
          <c:yMode val="edge"/>
          <c:x val="0.28701679158974186"/>
          <c:y val="2.59259276061001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3'!$C$31:$C$38</c:f>
              <c:numCache>
                <c:formatCode>0.00</c:formatCode>
                <c:ptCount val="8"/>
                <c:pt idx="0">
                  <c:v>0</c:v>
                </c:pt>
                <c:pt idx="1">
                  <c:v>-1.3941947648677453</c:v>
                </c:pt>
                <c:pt idx="2">
                  <c:v>-2.2646127953968236</c:v>
                </c:pt>
                <c:pt idx="3">
                  <c:v>0.43952891149623591</c:v>
                </c:pt>
                <c:pt idx="4">
                  <c:v>0.43952891149623591</c:v>
                </c:pt>
                <c:pt idx="5">
                  <c:v>13.133244548635682</c:v>
                </c:pt>
                <c:pt idx="6">
                  <c:v>2.6553622098204919</c:v>
                </c:pt>
                <c:pt idx="7">
                  <c:v>0</c:v>
                </c:pt>
              </c:numCache>
            </c:numRef>
          </c:xVal>
          <c:yVal>
            <c:numRef>
              <c:f>'fase 3'!$B$31:$B$38</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0-ACD2-4947-9A42-834D8A1DF5E1}"/>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[1]SOLETTA!$H$125</c:f>
              <c:strCache>
                <c:ptCount val="1"/>
                <c:pt idx="0">
                  <c:v>εc0</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exp"/>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[1]SOLETTA!$G$126:$G$129</c:f>
              <c:numCache>
                <c:formatCode>General</c:formatCode>
                <c:ptCount val="4"/>
                <c:pt idx="0">
                  <c:v>20</c:v>
                </c:pt>
                <c:pt idx="1">
                  <c:v>40</c:v>
                </c:pt>
                <c:pt idx="2">
                  <c:v>60</c:v>
                </c:pt>
                <c:pt idx="3">
                  <c:v>80</c:v>
                </c:pt>
              </c:numCache>
            </c:numRef>
          </c:xVal>
          <c:yVal>
            <c:numRef>
              <c:f>[1]SOLETTA!$H$126:$H$129</c:f>
              <c:numCache>
                <c:formatCode>General</c:formatCode>
                <c:ptCount val="4"/>
                <c:pt idx="0">
                  <c:v>0.3</c:v>
                </c:pt>
                <c:pt idx="1">
                  <c:v>0.24</c:v>
                </c:pt>
                <c:pt idx="2">
                  <c:v>0.19</c:v>
                </c:pt>
                <c:pt idx="3">
                  <c:v>0.15</c:v>
                </c:pt>
              </c:numCache>
            </c:numRef>
          </c:yVal>
          <c:smooth val="0"/>
          <c:extLst>
            <c:ext xmlns:c16="http://schemas.microsoft.com/office/drawing/2014/chart" uri="{C3380CC4-5D6E-409C-BE32-E72D297353CC}">
              <c16:uniqueId val="{00000000-6D26-4B2B-8688-603A29AACDD3}"/>
            </c:ext>
          </c:extLst>
        </c:ser>
        <c:dLbls>
          <c:showLegendKey val="0"/>
          <c:showVal val="0"/>
          <c:showCatName val="0"/>
          <c:showSerName val="0"/>
          <c:showPercent val="0"/>
          <c:showBubbleSize val="0"/>
        </c:dLbls>
        <c:axId val="1243364543"/>
        <c:axId val="1243367455"/>
      </c:scatterChart>
      <c:valAx>
        <c:axId val="1243364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367455"/>
        <c:crosses val="autoZero"/>
        <c:crossBetween val="midCat"/>
      </c:valAx>
      <c:valAx>
        <c:axId val="124336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3645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[1]SOLETTA!$H$131</c:f>
              <c:strCache>
                <c:ptCount val="1"/>
                <c:pt idx="0">
                  <c:v>Kh</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[1]SOLETTA!$G$132:$G$135</c:f>
              <c:numCache>
                <c:formatCode>General</c:formatCode>
                <c:ptCount val="4"/>
                <c:pt idx="0">
                  <c:v>100</c:v>
                </c:pt>
                <c:pt idx="1">
                  <c:v>200</c:v>
                </c:pt>
                <c:pt idx="2">
                  <c:v>300</c:v>
                </c:pt>
                <c:pt idx="3">
                  <c:v>500</c:v>
                </c:pt>
              </c:numCache>
            </c:numRef>
          </c:xVal>
          <c:yVal>
            <c:numRef>
              <c:f>[1]SOLETTA!$H$132:$H$135</c:f>
              <c:numCache>
                <c:formatCode>General</c:formatCode>
                <c:ptCount val="4"/>
                <c:pt idx="0">
                  <c:v>1</c:v>
                </c:pt>
                <c:pt idx="1">
                  <c:v>0.85</c:v>
                </c:pt>
                <c:pt idx="2">
                  <c:v>0.75</c:v>
                </c:pt>
                <c:pt idx="3">
                  <c:v>0.7</c:v>
                </c:pt>
              </c:numCache>
            </c:numRef>
          </c:yVal>
          <c:smooth val="0"/>
          <c:extLst>
            <c:ext xmlns:c16="http://schemas.microsoft.com/office/drawing/2014/chart" uri="{C3380CC4-5D6E-409C-BE32-E72D297353CC}">
              <c16:uniqueId val="{00000000-52FA-4FEB-B671-CB7611881AE8}"/>
            </c:ext>
          </c:extLst>
        </c:ser>
        <c:dLbls>
          <c:showLegendKey val="0"/>
          <c:showVal val="0"/>
          <c:showCatName val="0"/>
          <c:showSerName val="0"/>
          <c:showPercent val="0"/>
          <c:showBubbleSize val="0"/>
        </c:dLbls>
        <c:axId val="1398380367"/>
        <c:axId val="1398379119"/>
      </c:scatterChart>
      <c:valAx>
        <c:axId val="139838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379119"/>
        <c:crosses val="autoZero"/>
        <c:crossBetween val="midCat"/>
      </c:valAx>
      <c:valAx>
        <c:axId val="1398379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38036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Dominio con armature lateriali e sup.</c:v>
          </c:tx>
          <c:spPr>
            <a:ln w="19050" cap="rnd">
              <a:solidFill>
                <a:schemeClr val="accent1"/>
              </a:solidFill>
              <a:round/>
            </a:ln>
            <a:effectLst/>
          </c:spPr>
          <c:marker>
            <c:symbol val="none"/>
          </c:marker>
          <c:xVal>
            <c:numRef>
              <c:f>dominio!$A$4:$A$744</c:f>
              <c:numCache>
                <c:formatCode>General</c:formatCode>
                <c:ptCount val="741"/>
                <c:pt idx="0">
                  <c:v>-14478.2</c:v>
                </c:pt>
                <c:pt idx="1">
                  <c:v>-14478.2</c:v>
                </c:pt>
                <c:pt idx="2">
                  <c:v>-14478.2</c:v>
                </c:pt>
                <c:pt idx="3">
                  <c:v>-14478.2</c:v>
                </c:pt>
                <c:pt idx="4">
                  <c:v>-14478.2</c:v>
                </c:pt>
                <c:pt idx="5">
                  <c:v>-14478.2</c:v>
                </c:pt>
                <c:pt idx="6">
                  <c:v>-14478.2</c:v>
                </c:pt>
                <c:pt idx="7">
                  <c:v>-14276</c:v>
                </c:pt>
                <c:pt idx="8">
                  <c:v>-13768.8</c:v>
                </c:pt>
                <c:pt idx="9">
                  <c:v>-13089.3</c:v>
                </c:pt>
                <c:pt idx="10">
                  <c:v>-12366.3</c:v>
                </c:pt>
                <c:pt idx="11">
                  <c:v>-11660.5</c:v>
                </c:pt>
                <c:pt idx="12">
                  <c:v>-10970.3</c:v>
                </c:pt>
                <c:pt idx="13">
                  <c:v>-10428.799999999999</c:v>
                </c:pt>
                <c:pt idx="14">
                  <c:v>-9693.7800000000007</c:v>
                </c:pt>
                <c:pt idx="15">
                  <c:v>-8620.15</c:v>
                </c:pt>
                <c:pt idx="16">
                  <c:v>-6920.85</c:v>
                </c:pt>
                <c:pt idx="17">
                  <c:v>-3714.14</c:v>
                </c:pt>
                <c:pt idx="18">
                  <c:v>1879.11</c:v>
                </c:pt>
                <c:pt idx="19">
                  <c:v>2759.58</c:v>
                </c:pt>
                <c:pt idx="20">
                  <c:v>3611.02</c:v>
                </c:pt>
                <c:pt idx="21">
                  <c:v>4631.4799999999996</c:v>
                </c:pt>
                <c:pt idx="22">
                  <c:v>5621.09</c:v>
                </c:pt>
                <c:pt idx="23">
                  <c:v>6678.8</c:v>
                </c:pt>
                <c:pt idx="24">
                  <c:v>8382.18</c:v>
                </c:pt>
                <c:pt idx="25">
                  <c:v>9227.1200000000008</c:v>
                </c:pt>
                <c:pt idx="26">
                  <c:v>10128.1</c:v>
                </c:pt>
                <c:pt idx="27">
                  <c:v>11100.1</c:v>
                </c:pt>
                <c:pt idx="28">
                  <c:v>12163.1</c:v>
                </c:pt>
                <c:pt idx="29">
                  <c:v>13394.7</c:v>
                </c:pt>
                <c:pt idx="30">
                  <c:v>15414.1</c:v>
                </c:pt>
                <c:pt idx="31">
                  <c:v>17177.8</c:v>
                </c:pt>
                <c:pt idx="32">
                  <c:v>18680</c:v>
                </c:pt>
                <c:pt idx="33">
                  <c:v>19920.7</c:v>
                </c:pt>
                <c:pt idx="34">
                  <c:v>20899.900000000001</c:v>
                </c:pt>
                <c:pt idx="35">
                  <c:v>21617.7</c:v>
                </c:pt>
                <c:pt idx="36">
                  <c:v>22073.9</c:v>
                </c:pt>
                <c:pt idx="37">
                  <c:v>22073.9</c:v>
                </c:pt>
                <c:pt idx="38">
                  <c:v>21910</c:v>
                </c:pt>
                <c:pt idx="39">
                  <c:v>21026.5</c:v>
                </c:pt>
                <c:pt idx="40">
                  <c:v>19423.5</c:v>
                </c:pt>
                <c:pt idx="41">
                  <c:v>17101</c:v>
                </c:pt>
                <c:pt idx="42">
                  <c:v>14059.1</c:v>
                </c:pt>
                <c:pt idx="43">
                  <c:v>10297.6</c:v>
                </c:pt>
                <c:pt idx="44">
                  <c:v>5920.34</c:v>
                </c:pt>
                <c:pt idx="45">
                  <c:v>3843.89</c:v>
                </c:pt>
                <c:pt idx="46">
                  <c:v>2849.79</c:v>
                </c:pt>
                <c:pt idx="47">
                  <c:v>2197.56</c:v>
                </c:pt>
                <c:pt idx="48">
                  <c:v>1647.68</c:v>
                </c:pt>
                <c:pt idx="49">
                  <c:v>1153.57</c:v>
                </c:pt>
                <c:pt idx="50">
                  <c:v>-344.59399999999999</c:v>
                </c:pt>
                <c:pt idx="51">
                  <c:v>-1381.94</c:v>
                </c:pt>
                <c:pt idx="52">
                  <c:v>-2224.83</c:v>
                </c:pt>
                <c:pt idx="53">
                  <c:v>-2915.78</c:v>
                </c:pt>
                <c:pt idx="54">
                  <c:v>-3313.29</c:v>
                </c:pt>
                <c:pt idx="55">
                  <c:v>-3661</c:v>
                </c:pt>
                <c:pt idx="56">
                  <c:v>-5734.78</c:v>
                </c:pt>
                <c:pt idx="57">
                  <c:v>-7668.58</c:v>
                </c:pt>
                <c:pt idx="58">
                  <c:v>-9104.66</c:v>
                </c:pt>
                <c:pt idx="59">
                  <c:v>-10288.200000000001</c:v>
                </c:pt>
                <c:pt idx="60">
                  <c:v>-11336.4</c:v>
                </c:pt>
                <c:pt idx="61">
                  <c:v>-12307.6</c:v>
                </c:pt>
                <c:pt idx="62">
                  <c:v>-13179.5</c:v>
                </c:pt>
                <c:pt idx="63">
                  <c:v>-13662.1</c:v>
                </c:pt>
                <c:pt idx="64">
                  <c:v>-13942.4</c:v>
                </c:pt>
                <c:pt idx="65">
                  <c:v>-14204.9</c:v>
                </c:pt>
                <c:pt idx="66">
                  <c:v>-14400.4</c:v>
                </c:pt>
                <c:pt idx="67">
                  <c:v>-14478.2</c:v>
                </c:pt>
                <c:pt idx="68">
                  <c:v>-14478.2</c:v>
                </c:pt>
                <c:pt idx="69">
                  <c:v>-14478.2</c:v>
                </c:pt>
                <c:pt idx="70">
                  <c:v>-14478.2</c:v>
                </c:pt>
                <c:pt idx="71">
                  <c:v>-14478.2</c:v>
                </c:pt>
                <c:pt idx="72">
                  <c:v>-14478.2</c:v>
                </c:pt>
                <c:pt idx="73">
                  <c:v>-14478.2</c:v>
                </c:pt>
              </c:numCache>
            </c:numRef>
          </c:xVal>
          <c:yVal>
            <c:numRef>
              <c:f>dominio!$B$4:$B$744</c:f>
              <c:numCache>
                <c:formatCode>General</c:formatCode>
                <c:ptCount val="741"/>
                <c:pt idx="0">
                  <c:v>6856.48</c:v>
                </c:pt>
                <c:pt idx="1">
                  <c:v>6856.48</c:v>
                </c:pt>
                <c:pt idx="2">
                  <c:v>6856.48</c:v>
                </c:pt>
                <c:pt idx="3">
                  <c:v>6856.48</c:v>
                </c:pt>
                <c:pt idx="4">
                  <c:v>6856.48</c:v>
                </c:pt>
                <c:pt idx="5">
                  <c:v>6856.48</c:v>
                </c:pt>
                <c:pt idx="6">
                  <c:v>6856.48</c:v>
                </c:pt>
                <c:pt idx="7">
                  <c:v>7021.63</c:v>
                </c:pt>
                <c:pt idx="8">
                  <c:v>7434.12</c:v>
                </c:pt>
                <c:pt idx="9">
                  <c:v>7981.23</c:v>
                </c:pt>
                <c:pt idx="10">
                  <c:v>8555.5</c:v>
                </c:pt>
                <c:pt idx="11">
                  <c:v>9107</c:v>
                </c:pt>
                <c:pt idx="12">
                  <c:v>9637.94</c:v>
                </c:pt>
                <c:pt idx="13">
                  <c:v>10047.700000000001</c:v>
                </c:pt>
                <c:pt idx="14">
                  <c:v>10595.2</c:v>
                </c:pt>
                <c:pt idx="15">
                  <c:v>11377.3</c:v>
                </c:pt>
                <c:pt idx="16">
                  <c:v>12572.5</c:v>
                </c:pt>
                <c:pt idx="17">
                  <c:v>14671.8</c:v>
                </c:pt>
                <c:pt idx="18">
                  <c:v>17906.7</c:v>
                </c:pt>
                <c:pt idx="19">
                  <c:v>18347.400000000001</c:v>
                </c:pt>
                <c:pt idx="20">
                  <c:v>18744.8</c:v>
                </c:pt>
                <c:pt idx="21">
                  <c:v>19080</c:v>
                </c:pt>
                <c:pt idx="22">
                  <c:v>19352.2</c:v>
                </c:pt>
                <c:pt idx="23">
                  <c:v>19564.400000000001</c:v>
                </c:pt>
                <c:pt idx="24">
                  <c:v>19406</c:v>
                </c:pt>
                <c:pt idx="25">
                  <c:v>19111.099999999999</c:v>
                </c:pt>
                <c:pt idx="26">
                  <c:v>18787.5</c:v>
                </c:pt>
                <c:pt idx="27">
                  <c:v>18421.2</c:v>
                </c:pt>
                <c:pt idx="28">
                  <c:v>17989.3</c:v>
                </c:pt>
                <c:pt idx="29">
                  <c:v>17424.2</c:v>
                </c:pt>
                <c:pt idx="30">
                  <c:v>16259.9</c:v>
                </c:pt>
                <c:pt idx="31">
                  <c:v>15058.6</c:v>
                </c:pt>
                <c:pt idx="32">
                  <c:v>14031.8</c:v>
                </c:pt>
                <c:pt idx="33">
                  <c:v>13179.5</c:v>
                </c:pt>
                <c:pt idx="34">
                  <c:v>12501.6</c:v>
                </c:pt>
                <c:pt idx="35">
                  <c:v>11998.2</c:v>
                </c:pt>
                <c:pt idx="36">
                  <c:v>11669.2</c:v>
                </c:pt>
                <c:pt idx="37">
                  <c:v>11669.2</c:v>
                </c:pt>
                <c:pt idx="38">
                  <c:v>11247.6</c:v>
                </c:pt>
                <c:pt idx="39">
                  <c:v>10343.4</c:v>
                </c:pt>
                <c:pt idx="40">
                  <c:v>8956.5499999999993</c:v>
                </c:pt>
                <c:pt idx="41">
                  <c:v>7087.1</c:v>
                </c:pt>
                <c:pt idx="42">
                  <c:v>4735.03</c:v>
                </c:pt>
                <c:pt idx="43">
                  <c:v>1900.34</c:v>
                </c:pt>
                <c:pt idx="44">
                  <c:v>-649.42999999999995</c:v>
                </c:pt>
                <c:pt idx="45">
                  <c:v>-1556.29</c:v>
                </c:pt>
                <c:pt idx="46">
                  <c:v>-1821.69</c:v>
                </c:pt>
                <c:pt idx="47">
                  <c:v>-1910.72</c:v>
                </c:pt>
                <c:pt idx="48">
                  <c:v>-1945.58</c:v>
                </c:pt>
                <c:pt idx="49">
                  <c:v>-1952.34</c:v>
                </c:pt>
                <c:pt idx="50">
                  <c:v>-1849.08</c:v>
                </c:pt>
                <c:pt idx="51">
                  <c:v>-1620.31</c:v>
                </c:pt>
                <c:pt idx="52">
                  <c:v>-1389.04</c:v>
                </c:pt>
                <c:pt idx="53">
                  <c:v>-1170.6099999999999</c:v>
                </c:pt>
                <c:pt idx="54">
                  <c:v>-965.85299999999995</c:v>
                </c:pt>
                <c:pt idx="55">
                  <c:v>-772.28899999999999</c:v>
                </c:pt>
                <c:pt idx="56">
                  <c:v>545.34799999999996</c:v>
                </c:pt>
                <c:pt idx="57">
                  <c:v>1866.55</c:v>
                </c:pt>
                <c:pt idx="58">
                  <c:v>2885.39</c:v>
                </c:pt>
                <c:pt idx="59">
                  <c:v>3737.3</c:v>
                </c:pt>
                <c:pt idx="60">
                  <c:v>4495.33</c:v>
                </c:pt>
                <c:pt idx="61">
                  <c:v>5198.63</c:v>
                </c:pt>
                <c:pt idx="62">
                  <c:v>5836.7</c:v>
                </c:pt>
                <c:pt idx="63">
                  <c:v>6199.94</c:v>
                </c:pt>
                <c:pt idx="64">
                  <c:v>6422.55</c:v>
                </c:pt>
                <c:pt idx="65">
                  <c:v>6633.93</c:v>
                </c:pt>
                <c:pt idx="66">
                  <c:v>6792.9</c:v>
                </c:pt>
                <c:pt idx="67">
                  <c:v>6856.48</c:v>
                </c:pt>
                <c:pt idx="68">
                  <c:v>6856.48</c:v>
                </c:pt>
                <c:pt idx="69">
                  <c:v>6856.48</c:v>
                </c:pt>
                <c:pt idx="70">
                  <c:v>6856.48</c:v>
                </c:pt>
                <c:pt idx="71">
                  <c:v>6856.48</c:v>
                </c:pt>
                <c:pt idx="72">
                  <c:v>6856.48</c:v>
                </c:pt>
                <c:pt idx="73">
                  <c:v>6856.48</c:v>
                </c:pt>
              </c:numCache>
            </c:numRef>
          </c:yVal>
          <c:smooth val="0"/>
          <c:extLst>
            <c:ext xmlns:c16="http://schemas.microsoft.com/office/drawing/2014/chart" uri="{C3380CC4-5D6E-409C-BE32-E72D297353CC}">
              <c16:uniqueId val="{00000000-68F0-4AC5-AA90-E7F2034606B3}"/>
            </c:ext>
          </c:extLst>
        </c:ser>
        <c:ser>
          <c:idx val="1"/>
          <c:order val="1"/>
          <c:tx>
            <c:v>Dominio con solo armatura inf.</c:v>
          </c:tx>
          <c:spPr>
            <a:ln w="19050" cap="rnd">
              <a:solidFill>
                <a:schemeClr val="accent2"/>
              </a:solidFill>
              <a:round/>
            </a:ln>
            <a:effectLst/>
          </c:spPr>
          <c:marker>
            <c:symbol val="none"/>
          </c:marker>
          <c:xVal>
            <c:numRef>
              <c:f>dominio!$C$4:$C$1001</c:f>
              <c:numCache>
                <c:formatCode>General</c:formatCode>
                <c:ptCount val="998"/>
                <c:pt idx="0">
                  <c:v>-10341.6</c:v>
                </c:pt>
                <c:pt idx="1">
                  <c:v>-10341.6</c:v>
                </c:pt>
                <c:pt idx="2">
                  <c:v>-10341.6</c:v>
                </c:pt>
                <c:pt idx="3">
                  <c:v>-10341.6</c:v>
                </c:pt>
                <c:pt idx="4">
                  <c:v>-10341.6</c:v>
                </c:pt>
                <c:pt idx="5">
                  <c:v>-10341.6</c:v>
                </c:pt>
                <c:pt idx="6">
                  <c:v>-10341.6</c:v>
                </c:pt>
                <c:pt idx="7">
                  <c:v>-10139.4</c:v>
                </c:pt>
                <c:pt idx="8">
                  <c:v>-9632.11</c:v>
                </c:pt>
                <c:pt idx="9">
                  <c:v>-8952.6299999999992</c:v>
                </c:pt>
                <c:pt idx="10">
                  <c:v>-8229.67</c:v>
                </c:pt>
                <c:pt idx="11">
                  <c:v>-7523.85</c:v>
                </c:pt>
                <c:pt idx="12">
                  <c:v>-6833.62</c:v>
                </c:pt>
                <c:pt idx="13">
                  <c:v>-6292.16</c:v>
                </c:pt>
                <c:pt idx="14">
                  <c:v>-5557.14</c:v>
                </c:pt>
                <c:pt idx="15">
                  <c:v>-4483.51</c:v>
                </c:pt>
                <c:pt idx="16">
                  <c:v>-2784.21</c:v>
                </c:pt>
                <c:pt idx="17">
                  <c:v>314.26100000000002</c:v>
                </c:pt>
                <c:pt idx="18">
                  <c:v>5686.74</c:v>
                </c:pt>
                <c:pt idx="19">
                  <c:v>6535.57</c:v>
                </c:pt>
                <c:pt idx="20">
                  <c:v>7355.36</c:v>
                </c:pt>
                <c:pt idx="21">
                  <c:v>8108.37</c:v>
                </c:pt>
                <c:pt idx="22">
                  <c:v>8823.06</c:v>
                </c:pt>
                <c:pt idx="23">
                  <c:v>9605.84</c:v>
                </c:pt>
                <c:pt idx="24">
                  <c:v>11034.3</c:v>
                </c:pt>
                <c:pt idx="25">
                  <c:v>11806</c:v>
                </c:pt>
                <c:pt idx="26">
                  <c:v>12633.7</c:v>
                </c:pt>
                <c:pt idx="27">
                  <c:v>13532.4</c:v>
                </c:pt>
                <c:pt idx="28">
                  <c:v>14522.2</c:v>
                </c:pt>
                <c:pt idx="29">
                  <c:v>15680.5</c:v>
                </c:pt>
                <c:pt idx="30">
                  <c:v>17626.599999999999</c:v>
                </c:pt>
                <c:pt idx="31">
                  <c:v>19392.2</c:v>
                </c:pt>
                <c:pt idx="32">
                  <c:v>20896.3</c:v>
                </c:pt>
                <c:pt idx="33">
                  <c:v>22139</c:v>
                </c:pt>
                <c:pt idx="34">
                  <c:v>23120.1</c:v>
                </c:pt>
                <c:pt idx="35">
                  <c:v>23839.8</c:v>
                </c:pt>
                <c:pt idx="36">
                  <c:v>24297.9</c:v>
                </c:pt>
                <c:pt idx="37">
                  <c:v>24297.9</c:v>
                </c:pt>
                <c:pt idx="38">
                  <c:v>24172.9</c:v>
                </c:pt>
                <c:pt idx="39">
                  <c:v>23328.400000000001</c:v>
                </c:pt>
                <c:pt idx="40">
                  <c:v>21764.400000000001</c:v>
                </c:pt>
                <c:pt idx="41">
                  <c:v>19481</c:v>
                </c:pt>
                <c:pt idx="42">
                  <c:v>16478</c:v>
                </c:pt>
                <c:pt idx="43">
                  <c:v>12755.5</c:v>
                </c:pt>
                <c:pt idx="44">
                  <c:v>8478.8700000000008</c:v>
                </c:pt>
                <c:pt idx="45">
                  <c:v>6503.09</c:v>
                </c:pt>
                <c:pt idx="46">
                  <c:v>5609.66</c:v>
                </c:pt>
                <c:pt idx="47">
                  <c:v>5058.1000000000004</c:v>
                </c:pt>
                <c:pt idx="48">
                  <c:v>4608.8999999999996</c:v>
                </c:pt>
                <c:pt idx="49">
                  <c:v>4215.46</c:v>
                </c:pt>
                <c:pt idx="50">
                  <c:v>3084.47</c:v>
                </c:pt>
                <c:pt idx="51">
                  <c:v>2293.37</c:v>
                </c:pt>
                <c:pt idx="52">
                  <c:v>1696.72</c:v>
                </c:pt>
                <c:pt idx="53">
                  <c:v>1220.8699999999999</c:v>
                </c:pt>
                <c:pt idx="54">
                  <c:v>823.34699999999998</c:v>
                </c:pt>
                <c:pt idx="55">
                  <c:v>475.63900000000001</c:v>
                </c:pt>
                <c:pt idx="56">
                  <c:v>-1598.15</c:v>
                </c:pt>
                <c:pt idx="57">
                  <c:v>-3531.94</c:v>
                </c:pt>
                <c:pt idx="58">
                  <c:v>-4968.0200000000004</c:v>
                </c:pt>
                <c:pt idx="59">
                  <c:v>-6151.54</c:v>
                </c:pt>
                <c:pt idx="60">
                  <c:v>-7199.71</c:v>
                </c:pt>
                <c:pt idx="61">
                  <c:v>-8170.93</c:v>
                </c:pt>
                <c:pt idx="62">
                  <c:v>-9042.91</c:v>
                </c:pt>
                <c:pt idx="63">
                  <c:v>-9525.4500000000007</c:v>
                </c:pt>
                <c:pt idx="64">
                  <c:v>-9805.7099999999991</c:v>
                </c:pt>
                <c:pt idx="65">
                  <c:v>-10068.200000000001</c:v>
                </c:pt>
                <c:pt idx="66">
                  <c:v>-10263.799999999999</c:v>
                </c:pt>
                <c:pt idx="67">
                  <c:v>-10341.6</c:v>
                </c:pt>
                <c:pt idx="68">
                  <c:v>-10341.6</c:v>
                </c:pt>
                <c:pt idx="69">
                  <c:v>-10341.6</c:v>
                </c:pt>
                <c:pt idx="70">
                  <c:v>-10341.6</c:v>
                </c:pt>
                <c:pt idx="71">
                  <c:v>-10341.6</c:v>
                </c:pt>
                <c:pt idx="72">
                  <c:v>-10341.6</c:v>
                </c:pt>
                <c:pt idx="73">
                  <c:v>-10341.6</c:v>
                </c:pt>
              </c:numCache>
            </c:numRef>
          </c:xVal>
          <c:yVal>
            <c:numRef>
              <c:f>dominio!$D$4:$D$1001</c:f>
              <c:numCache>
                <c:formatCode>General</c:formatCode>
                <c:ptCount val="998"/>
                <c:pt idx="0">
                  <c:v>7394.24</c:v>
                </c:pt>
                <c:pt idx="1">
                  <c:v>7394.24</c:v>
                </c:pt>
                <c:pt idx="2">
                  <c:v>7394.24</c:v>
                </c:pt>
                <c:pt idx="3">
                  <c:v>7394.24</c:v>
                </c:pt>
                <c:pt idx="4">
                  <c:v>7394.24</c:v>
                </c:pt>
                <c:pt idx="5">
                  <c:v>7394.24</c:v>
                </c:pt>
                <c:pt idx="6">
                  <c:v>7394.24</c:v>
                </c:pt>
                <c:pt idx="7">
                  <c:v>7559.4</c:v>
                </c:pt>
                <c:pt idx="8">
                  <c:v>7971.88</c:v>
                </c:pt>
                <c:pt idx="9">
                  <c:v>8519</c:v>
                </c:pt>
                <c:pt idx="10">
                  <c:v>9093.26</c:v>
                </c:pt>
                <c:pt idx="11">
                  <c:v>9644.76</c:v>
                </c:pt>
                <c:pt idx="12">
                  <c:v>10175.700000000001</c:v>
                </c:pt>
                <c:pt idx="13">
                  <c:v>10585.5</c:v>
                </c:pt>
                <c:pt idx="14">
                  <c:v>11132.9</c:v>
                </c:pt>
                <c:pt idx="15">
                  <c:v>11915</c:v>
                </c:pt>
                <c:pt idx="16">
                  <c:v>13110.3</c:v>
                </c:pt>
                <c:pt idx="17">
                  <c:v>15154.9</c:v>
                </c:pt>
                <c:pt idx="18">
                  <c:v>18278.3</c:v>
                </c:pt>
                <c:pt idx="19">
                  <c:v>18703</c:v>
                </c:pt>
                <c:pt idx="20">
                  <c:v>19084.400000000001</c:v>
                </c:pt>
                <c:pt idx="21">
                  <c:v>19402.5</c:v>
                </c:pt>
                <c:pt idx="22">
                  <c:v>19657.5</c:v>
                </c:pt>
                <c:pt idx="23">
                  <c:v>19852.5</c:v>
                </c:pt>
                <c:pt idx="24">
                  <c:v>19676.900000000001</c:v>
                </c:pt>
                <c:pt idx="25">
                  <c:v>19377.400000000001</c:v>
                </c:pt>
                <c:pt idx="26">
                  <c:v>19049.3</c:v>
                </c:pt>
                <c:pt idx="27">
                  <c:v>18678.3</c:v>
                </c:pt>
                <c:pt idx="28">
                  <c:v>18241.8</c:v>
                </c:pt>
                <c:pt idx="29">
                  <c:v>17672.2</c:v>
                </c:pt>
                <c:pt idx="30">
                  <c:v>16503.3</c:v>
                </c:pt>
                <c:pt idx="31">
                  <c:v>15309.7</c:v>
                </c:pt>
                <c:pt idx="32">
                  <c:v>14290.5</c:v>
                </c:pt>
                <c:pt idx="33">
                  <c:v>13445.7</c:v>
                </c:pt>
                <c:pt idx="34">
                  <c:v>12775.5</c:v>
                </c:pt>
                <c:pt idx="35">
                  <c:v>12279.7</c:v>
                </c:pt>
                <c:pt idx="36">
                  <c:v>11958.3</c:v>
                </c:pt>
                <c:pt idx="37">
                  <c:v>11958.3</c:v>
                </c:pt>
                <c:pt idx="38">
                  <c:v>11549.2</c:v>
                </c:pt>
                <c:pt idx="39">
                  <c:v>10657.4</c:v>
                </c:pt>
                <c:pt idx="40">
                  <c:v>9282.98</c:v>
                </c:pt>
                <c:pt idx="41">
                  <c:v>7425.97</c:v>
                </c:pt>
                <c:pt idx="42">
                  <c:v>5086.34</c:v>
                </c:pt>
                <c:pt idx="43">
                  <c:v>2264.09</c:v>
                </c:pt>
                <c:pt idx="44">
                  <c:v>-267.65300000000002</c:v>
                </c:pt>
                <c:pt idx="45">
                  <c:v>-1156.49</c:v>
                </c:pt>
                <c:pt idx="46">
                  <c:v>-1403.86</c:v>
                </c:pt>
                <c:pt idx="47">
                  <c:v>-1474.86</c:v>
                </c:pt>
                <c:pt idx="48">
                  <c:v>-1491.69</c:v>
                </c:pt>
                <c:pt idx="49">
                  <c:v>-1480.42</c:v>
                </c:pt>
                <c:pt idx="50">
                  <c:v>-1314.85</c:v>
                </c:pt>
                <c:pt idx="51">
                  <c:v>-1084.8499999999999</c:v>
                </c:pt>
                <c:pt idx="52">
                  <c:v>-852.35199999999998</c:v>
                </c:pt>
                <c:pt idx="53">
                  <c:v>-632.84400000000005</c:v>
                </c:pt>
                <c:pt idx="54">
                  <c:v>-428.09</c:v>
                </c:pt>
                <c:pt idx="55">
                  <c:v>-234.52500000000001</c:v>
                </c:pt>
                <c:pt idx="56">
                  <c:v>1083.1099999999999</c:v>
                </c:pt>
                <c:pt idx="57">
                  <c:v>2404.3200000000002</c:v>
                </c:pt>
                <c:pt idx="58">
                  <c:v>3423.15</c:v>
                </c:pt>
                <c:pt idx="59">
                  <c:v>4275.0600000000004</c:v>
                </c:pt>
                <c:pt idx="60">
                  <c:v>5033.1000000000004</c:v>
                </c:pt>
                <c:pt idx="61">
                  <c:v>5736.39</c:v>
                </c:pt>
                <c:pt idx="62">
                  <c:v>6374.47</c:v>
                </c:pt>
                <c:pt idx="63">
                  <c:v>6737.7</c:v>
                </c:pt>
                <c:pt idx="64">
                  <c:v>6960.31</c:v>
                </c:pt>
                <c:pt idx="65">
                  <c:v>7171.69</c:v>
                </c:pt>
                <c:pt idx="66">
                  <c:v>7330.66</c:v>
                </c:pt>
                <c:pt idx="67">
                  <c:v>7394.24</c:v>
                </c:pt>
                <c:pt idx="68">
                  <c:v>7394.24</c:v>
                </c:pt>
                <c:pt idx="69">
                  <c:v>7394.24</c:v>
                </c:pt>
                <c:pt idx="70">
                  <c:v>7394.24</c:v>
                </c:pt>
                <c:pt idx="71">
                  <c:v>7394.24</c:v>
                </c:pt>
                <c:pt idx="72">
                  <c:v>7394.24</c:v>
                </c:pt>
                <c:pt idx="73">
                  <c:v>7394.24</c:v>
                </c:pt>
              </c:numCache>
            </c:numRef>
          </c:yVal>
          <c:smooth val="0"/>
          <c:extLst>
            <c:ext xmlns:c16="http://schemas.microsoft.com/office/drawing/2014/chart" uri="{C3380CC4-5D6E-409C-BE32-E72D297353CC}">
              <c16:uniqueId val="{00000001-68F0-4AC5-AA90-E7F2034606B3}"/>
            </c:ext>
          </c:extLst>
        </c:ser>
        <c:ser>
          <c:idx val="2"/>
          <c:order val="2"/>
          <c:tx>
            <c:v>sollecitazioni</c:v>
          </c:tx>
          <c:spPr>
            <a:ln w="25400" cap="rnd">
              <a:noFill/>
              <a:round/>
            </a:ln>
            <a:effectLst/>
          </c:spPr>
          <c:marker>
            <c:symbol val="circle"/>
            <c:size val="5"/>
            <c:spPr>
              <a:solidFill>
                <a:schemeClr val="accent3"/>
              </a:solidFill>
              <a:ln w="9525">
                <a:solidFill>
                  <a:schemeClr val="accent3"/>
                </a:solidFill>
              </a:ln>
              <a:effectLst/>
            </c:spPr>
          </c:marker>
          <c:dPt>
            <c:idx val="0"/>
            <c:marker>
              <c:symbol val="circle"/>
              <c:size val="5"/>
              <c:spPr>
                <a:solidFill>
                  <a:schemeClr val="tx1"/>
                </a:solidFill>
                <a:ln w="9525">
                  <a:solidFill>
                    <a:schemeClr val="tx1"/>
                  </a:solidFill>
                </a:ln>
                <a:effectLst/>
              </c:spPr>
            </c:marker>
            <c:bubble3D val="0"/>
            <c:extLst>
              <c:ext xmlns:c16="http://schemas.microsoft.com/office/drawing/2014/chart" uri="{C3380CC4-5D6E-409C-BE32-E72D297353CC}">
                <c16:uniqueId val="{00000003-68F0-4AC5-AA90-E7F2034606B3}"/>
              </c:ext>
            </c:extLst>
          </c:dPt>
          <c:xVal>
            <c:numRef>
              <c:f>SLU!$A$4:$A$16</c:f>
              <c:numCache>
                <c:formatCode>General</c:formatCode>
                <c:ptCount val="13"/>
                <c:pt idx="0">
                  <c:v>0</c:v>
                </c:pt>
              </c:numCache>
            </c:numRef>
          </c:xVal>
          <c:yVal>
            <c:numRef>
              <c:f>SLU!$B$4:$B$100</c:f>
              <c:numCache>
                <c:formatCode>General</c:formatCode>
                <c:ptCount val="97"/>
                <c:pt idx="0">
                  <c:v>8693.0300000000007</c:v>
                </c:pt>
              </c:numCache>
            </c:numRef>
          </c:yVal>
          <c:smooth val="0"/>
          <c:extLst>
            <c:ext xmlns:c16="http://schemas.microsoft.com/office/drawing/2014/chart" uri="{C3380CC4-5D6E-409C-BE32-E72D297353CC}">
              <c16:uniqueId val="{00000002-68F0-4AC5-AA90-E7F2034606B3}"/>
            </c:ext>
          </c:extLst>
        </c:ser>
        <c:dLbls>
          <c:showLegendKey val="0"/>
          <c:showVal val="0"/>
          <c:showCatName val="0"/>
          <c:showSerName val="0"/>
          <c:showPercent val="0"/>
          <c:showBubbleSize val="0"/>
        </c:dLbls>
        <c:axId val="1558434607"/>
        <c:axId val="1812861103"/>
      </c:scatterChart>
      <c:valAx>
        <c:axId val="1558434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861103"/>
        <c:crosses val="autoZero"/>
        <c:crossBetween val="midCat"/>
      </c:valAx>
      <c:valAx>
        <c:axId val="181286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4346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7</xdr:col>
      <xdr:colOff>161924</xdr:colOff>
      <xdr:row>6</xdr:row>
      <xdr:rowOff>95249</xdr:rowOff>
    </xdr:from>
    <xdr:to>
      <xdr:col>11</xdr:col>
      <xdr:colOff>190500</xdr:colOff>
      <xdr:row>22</xdr:row>
      <xdr:rowOff>22410</xdr:rowOff>
    </xdr:to>
    <xdr:graphicFrame macro="">
      <xdr:nvGraphicFramePr>
        <xdr:cNvPr id="2" name="Grafico 1">
          <a:extLst>
            <a:ext uri="{FF2B5EF4-FFF2-40B4-BE49-F238E27FC236}">
              <a16:creationId xmlns:a16="http://schemas.microsoft.com/office/drawing/2014/main" id="{A91FB6E1-0210-4D50-9AAB-3B170F0F4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200025</xdr:colOff>
      <xdr:row>6</xdr:row>
      <xdr:rowOff>76199</xdr:rowOff>
    </xdr:from>
    <xdr:to>
      <xdr:col>15</xdr:col>
      <xdr:colOff>336176</xdr:colOff>
      <xdr:row>22</xdr:row>
      <xdr:rowOff>22410</xdr:rowOff>
    </xdr:to>
    <xdr:graphicFrame macro="">
      <xdr:nvGraphicFramePr>
        <xdr:cNvPr id="5" name="Grafico 4">
          <a:extLst>
            <a:ext uri="{FF2B5EF4-FFF2-40B4-BE49-F238E27FC236}">
              <a16:creationId xmlns:a16="http://schemas.microsoft.com/office/drawing/2014/main" id="{16BD52AC-E380-478E-92FB-6BC1E8439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392205</xdr:colOff>
      <xdr:row>6</xdr:row>
      <xdr:rowOff>76200</xdr:rowOff>
    </xdr:from>
    <xdr:to>
      <xdr:col>19</xdr:col>
      <xdr:colOff>582706</xdr:colOff>
      <xdr:row>22</xdr:row>
      <xdr:rowOff>11206</xdr:rowOff>
    </xdr:to>
    <xdr:graphicFrame macro="">
      <xdr:nvGraphicFramePr>
        <xdr:cNvPr id="6" name="Grafico 5">
          <a:extLst>
            <a:ext uri="{FF2B5EF4-FFF2-40B4-BE49-F238E27FC236}">
              <a16:creationId xmlns:a16="http://schemas.microsoft.com/office/drawing/2014/main" id="{E6EAB6AE-9C63-4F98-B6B1-FDF50072F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161924</xdr:colOff>
      <xdr:row>37</xdr:row>
      <xdr:rowOff>95250</xdr:rowOff>
    </xdr:from>
    <xdr:to>
      <xdr:col>4</xdr:col>
      <xdr:colOff>22412</xdr:colOff>
      <xdr:row>60</xdr:row>
      <xdr:rowOff>56029</xdr:rowOff>
    </xdr:to>
    <xdr:graphicFrame macro="">
      <xdr:nvGraphicFramePr>
        <xdr:cNvPr id="2" name="Grafico 1">
          <a:extLst>
            <a:ext uri="{FF2B5EF4-FFF2-40B4-BE49-F238E27FC236}">
              <a16:creationId xmlns:a16="http://schemas.microsoft.com/office/drawing/2014/main" id="{0E59376D-F9D3-4163-B3E5-698C439D8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398319</xdr:colOff>
      <xdr:row>37</xdr:row>
      <xdr:rowOff>33618</xdr:rowOff>
    </xdr:from>
    <xdr:to>
      <xdr:col>6</xdr:col>
      <xdr:colOff>7130</xdr:colOff>
      <xdr:row>59</xdr:row>
      <xdr:rowOff>145676</xdr:rowOff>
    </xdr:to>
    <xdr:graphicFrame macro="">
      <xdr:nvGraphicFramePr>
        <xdr:cNvPr id="3" name="Grafico 2">
          <a:extLst>
            <a:ext uri="{FF2B5EF4-FFF2-40B4-BE49-F238E27FC236}">
              <a16:creationId xmlns:a16="http://schemas.microsoft.com/office/drawing/2014/main" id="{B4E6EEAE-53FF-4156-B6B5-8DF73D07C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247548</xdr:colOff>
      <xdr:row>36</xdr:row>
      <xdr:rowOff>183369</xdr:rowOff>
    </xdr:from>
    <xdr:to>
      <xdr:col>12</xdr:col>
      <xdr:colOff>124283</xdr:colOff>
      <xdr:row>59</xdr:row>
      <xdr:rowOff>104927</xdr:rowOff>
    </xdr:to>
    <xdr:graphicFrame macro="">
      <xdr:nvGraphicFramePr>
        <xdr:cNvPr id="5" name="Grafico 4">
          <a:extLst>
            <a:ext uri="{FF2B5EF4-FFF2-40B4-BE49-F238E27FC236}">
              <a16:creationId xmlns:a16="http://schemas.microsoft.com/office/drawing/2014/main" id="{3B996C60-1ECA-4D6C-B27D-6F504FFC5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27214</xdr:colOff>
      <xdr:row>37</xdr:row>
      <xdr:rowOff>0</xdr:rowOff>
    </xdr:from>
    <xdr:to>
      <xdr:col>18</xdr:col>
      <xdr:colOff>516271</xdr:colOff>
      <xdr:row>59</xdr:row>
      <xdr:rowOff>112058</xdr:rowOff>
    </xdr:to>
    <xdr:graphicFrame macro="">
      <xdr:nvGraphicFramePr>
        <xdr:cNvPr id="6" name="Grafico 5">
          <a:extLst>
            <a:ext uri="{FF2B5EF4-FFF2-40B4-BE49-F238E27FC236}">
              <a16:creationId xmlns:a16="http://schemas.microsoft.com/office/drawing/2014/main" id="{E0396D0E-86B7-41BA-B971-7EA1D15D9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136071</xdr:colOff>
      <xdr:row>57</xdr:row>
      <xdr:rowOff>149679</xdr:rowOff>
    </xdr:from>
    <xdr:to>
      <xdr:col>3</xdr:col>
      <xdr:colOff>231321</xdr:colOff>
      <xdr:row>81</xdr:row>
      <xdr:rowOff>19529</xdr:rowOff>
    </xdr:to>
    <xdr:graphicFrame macro="">
      <xdr:nvGraphicFramePr>
        <xdr:cNvPr id="2" name="Grafico 1">
          <a:extLst>
            <a:ext uri="{FF2B5EF4-FFF2-40B4-BE49-F238E27FC236}">
              <a16:creationId xmlns:a16="http://schemas.microsoft.com/office/drawing/2014/main" id="{FB4F54B7-F1D5-4971-B5FC-2EFD5C959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326572</xdr:colOff>
      <xdr:row>57</xdr:row>
      <xdr:rowOff>163285</xdr:rowOff>
    </xdr:from>
    <xdr:to>
      <xdr:col>8</xdr:col>
      <xdr:colOff>298558</xdr:colOff>
      <xdr:row>80</xdr:row>
      <xdr:rowOff>176892</xdr:rowOff>
    </xdr:to>
    <xdr:graphicFrame macro="">
      <xdr:nvGraphicFramePr>
        <xdr:cNvPr id="3" name="Grafico 2">
          <a:extLst>
            <a:ext uri="{FF2B5EF4-FFF2-40B4-BE49-F238E27FC236}">
              <a16:creationId xmlns:a16="http://schemas.microsoft.com/office/drawing/2014/main" id="{A6A1EE57-A914-48A5-9322-ED4462001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476250</xdr:colOff>
      <xdr:row>57</xdr:row>
      <xdr:rowOff>176893</xdr:rowOff>
    </xdr:from>
    <xdr:to>
      <xdr:col>14</xdr:col>
      <xdr:colOff>312163</xdr:colOff>
      <xdr:row>81</xdr:row>
      <xdr:rowOff>13607</xdr:rowOff>
    </xdr:to>
    <xdr:graphicFrame macro="">
      <xdr:nvGraphicFramePr>
        <xdr:cNvPr id="4" name="Grafico 3">
          <a:extLst>
            <a:ext uri="{FF2B5EF4-FFF2-40B4-BE49-F238E27FC236}">
              <a16:creationId xmlns:a16="http://schemas.microsoft.com/office/drawing/2014/main" id="{140CA883-6725-40F0-87A4-95BC66710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449037</xdr:colOff>
      <xdr:row>57</xdr:row>
      <xdr:rowOff>168088</xdr:rowOff>
    </xdr:from>
    <xdr:to>
      <xdr:col>20</xdr:col>
      <xdr:colOff>306561</xdr:colOff>
      <xdr:row>81</xdr:row>
      <xdr:rowOff>4802</xdr:rowOff>
    </xdr:to>
    <xdr:graphicFrame macro="">
      <xdr:nvGraphicFramePr>
        <xdr:cNvPr id="5" name="Grafico 4">
          <a:extLst>
            <a:ext uri="{FF2B5EF4-FFF2-40B4-BE49-F238E27FC236}">
              <a16:creationId xmlns:a16="http://schemas.microsoft.com/office/drawing/2014/main" id="{10FC4CB5-7CA1-4956-BDF1-82F95B249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489857</xdr:colOff>
      <xdr:row>57</xdr:row>
      <xdr:rowOff>190499</xdr:rowOff>
    </xdr:from>
    <xdr:to>
      <xdr:col>27</xdr:col>
      <xdr:colOff>0</xdr:colOff>
      <xdr:row>81</xdr:row>
      <xdr:rowOff>108856</xdr:rowOff>
    </xdr:to>
    <xdr:graphicFrame macro="">
      <xdr:nvGraphicFramePr>
        <xdr:cNvPr id="6" name="Grafico 5">
          <a:extLst>
            <a:ext uri="{FF2B5EF4-FFF2-40B4-BE49-F238E27FC236}">
              <a16:creationId xmlns:a16="http://schemas.microsoft.com/office/drawing/2014/main" id="{19CE78C3-C922-48AC-A44D-63215BCD6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1888673</xdr:colOff>
      <xdr:row>39</xdr:row>
      <xdr:rowOff>27215</xdr:rowOff>
    </xdr:from>
    <xdr:to>
      <xdr:col>6</xdr:col>
      <xdr:colOff>1115786</xdr:colOff>
      <xdr:row>62</xdr:row>
      <xdr:rowOff>54429</xdr:rowOff>
    </xdr:to>
    <xdr:graphicFrame macro="">
      <xdr:nvGraphicFramePr>
        <xdr:cNvPr id="2" name="Grafico 1">
          <a:extLst>
            <a:ext uri="{FF2B5EF4-FFF2-40B4-BE49-F238E27FC236}">
              <a16:creationId xmlns:a16="http://schemas.microsoft.com/office/drawing/2014/main" id="{0BEA5286-E0CB-42B2-8035-8E853C575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176892</xdr:colOff>
      <xdr:row>39</xdr:row>
      <xdr:rowOff>40822</xdr:rowOff>
    </xdr:from>
    <xdr:to>
      <xdr:col>13</xdr:col>
      <xdr:colOff>394606</xdr:colOff>
      <xdr:row>62</xdr:row>
      <xdr:rowOff>68035</xdr:rowOff>
    </xdr:to>
    <xdr:graphicFrame macro="">
      <xdr:nvGraphicFramePr>
        <xdr:cNvPr id="3" name="Grafico 2">
          <a:extLst>
            <a:ext uri="{FF2B5EF4-FFF2-40B4-BE49-F238E27FC236}">
              <a16:creationId xmlns:a16="http://schemas.microsoft.com/office/drawing/2014/main" id="{5CA60464-0704-4C1C-B63C-2FC2D64EB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108858</xdr:colOff>
      <xdr:row>39</xdr:row>
      <xdr:rowOff>27214</xdr:rowOff>
    </xdr:from>
    <xdr:to>
      <xdr:col>3</xdr:col>
      <xdr:colOff>1660073</xdr:colOff>
      <xdr:row>62</xdr:row>
      <xdr:rowOff>54428</xdr:rowOff>
    </xdr:to>
    <xdr:graphicFrame macro="">
      <xdr:nvGraphicFramePr>
        <xdr:cNvPr id="4" name="Grafico 3">
          <a:extLst>
            <a:ext uri="{FF2B5EF4-FFF2-40B4-BE49-F238E27FC236}">
              <a16:creationId xmlns:a16="http://schemas.microsoft.com/office/drawing/2014/main" id="{EAB2C8EF-C8EB-4989-86D8-4B5CDE8C8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480060</xdr:colOff>
      <xdr:row>26</xdr:row>
      <xdr:rowOff>217170</xdr:rowOff>
    </xdr:from>
    <xdr:to>
      <xdr:col>14</xdr:col>
      <xdr:colOff>373380</xdr:colOff>
      <xdr:row>33</xdr:row>
      <xdr:rowOff>78105</xdr:rowOff>
    </xdr:to>
    <xdr:graphicFrame macro="">
      <xdr:nvGraphicFramePr>
        <xdr:cNvPr id="2" name="Chart 1">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xdr:colOff>
      <xdr:row>34</xdr:row>
      <xdr:rowOff>175260</xdr:rowOff>
    </xdr:from>
    <xdr:to>
      <xdr:col>13</xdr:col>
      <xdr:colOff>586740</xdr:colOff>
      <xdr:row>42</xdr:row>
      <xdr:rowOff>200025</xdr:rowOff>
    </xdr:to>
    <xdr:graphicFrame macro="">
      <xdr:nvGraphicFramePr>
        <xdr:cNvPr id="3" name="Chart 2">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133350</xdr:colOff>
      <xdr:row>0</xdr:row>
      <xdr:rowOff>57150</xdr:rowOff>
    </xdr:from>
    <xdr:to>
      <xdr:col>9</xdr:col>
      <xdr:colOff>285750</xdr:colOff>
      <xdr:row>18</xdr:row>
      <xdr:rowOff>185739</xdr:rowOff>
    </xdr:to>
    <xdr:graphicFrame macro="">
      <xdr:nvGraphicFramePr>
        <xdr:cNvPr id="2" name="Grafico 1">
          <a:extLst>
            <a:ext uri="{FF2B5EF4-FFF2-40B4-BE49-F238E27FC236}">
              <a16:creationId xmlns:a16="http://schemas.microsoft.com/office/drawing/2014/main" id="{75AB94B3-2B65-4DB0-A2B7-AB3A1C557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w/Dropbox/PROGETTO%20PONTI/fogli%20di%20calcolo/foglio%20di%20calcolo%20pont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I GENERALI"/>
      <sheetName val="SOLETTA"/>
      <sheetName val="SISMA Verticale"/>
      <sheetName val="SISMA Orizzontale"/>
      <sheetName val="VENTO"/>
      <sheetName val="TRAVE CAP"/>
      <sheetName val="PERDITE TRAVI"/>
    </sheetNames>
    <sheetDataSet>
      <sheetData sheetId="0"/>
      <sheetData sheetId="1">
        <row r="125">
          <cell r="H125" t="str">
            <v>εc0</v>
          </cell>
        </row>
        <row r="126">
          <cell r="G126">
            <v>20</v>
          </cell>
          <cell r="H126">
            <v>0.3</v>
          </cell>
        </row>
        <row r="127">
          <cell r="G127">
            <v>40</v>
          </cell>
          <cell r="H127">
            <v>0.24</v>
          </cell>
        </row>
        <row r="128">
          <cell r="G128">
            <v>60</v>
          </cell>
          <cell r="H128">
            <v>0.19</v>
          </cell>
        </row>
        <row r="129">
          <cell r="G129">
            <v>80</v>
          </cell>
          <cell r="H129">
            <v>0.15</v>
          </cell>
        </row>
        <row r="131">
          <cell r="H131" t="str">
            <v>Kh</v>
          </cell>
        </row>
        <row r="132">
          <cell r="G132">
            <v>100</v>
          </cell>
          <cell r="H132">
            <v>1</v>
          </cell>
        </row>
        <row r="133">
          <cell r="G133">
            <v>200</v>
          </cell>
          <cell r="H133">
            <v>0.85</v>
          </cell>
        </row>
        <row r="134">
          <cell r="G134">
            <v>300</v>
          </cell>
          <cell r="H134">
            <v>0.75</v>
          </cell>
        </row>
        <row r="135">
          <cell r="G135">
            <v>500</v>
          </cell>
          <cell r="H135">
            <v>0.7</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7"/>
  <sheetViews>
    <sheetView topLeftCell="A16" workbookViewId="0">
      <selection activeCell="G43" sqref="G43"/>
    </sheetView>
  </sheetViews>
  <sheetFormatPr defaultRowHeight="15" x14ac:dyDescent="0.25"/>
  <cols>
    <col min="1" max="1" width="13.7109375" customWidth="1"/>
    <col min="2" max="2" width="13.42578125" customWidth="1"/>
    <col min="3" max="3" width="12.85546875" customWidth="1"/>
    <col min="15" max="15" width="11" bestFit="1" customWidth="1"/>
  </cols>
  <sheetData>
    <row r="1" spans="1:17" x14ac:dyDescent="0.25">
      <c r="A1" s="85" t="s">
        <v>52</v>
      </c>
      <c r="B1" s="85"/>
      <c r="C1" s="85"/>
      <c r="J1" s="85" t="s">
        <v>52</v>
      </c>
      <c r="K1" s="85"/>
      <c r="L1" s="85"/>
      <c r="N1" t="s">
        <v>440</v>
      </c>
    </row>
    <row r="2" spans="1:17" x14ac:dyDescent="0.25">
      <c r="A2" s="86" t="s">
        <v>26</v>
      </c>
      <c r="B2" s="86"/>
      <c r="C2" s="86"/>
      <c r="G2" s="10"/>
      <c r="H2" s="10"/>
      <c r="I2" s="10"/>
      <c r="J2" s="86" t="s">
        <v>151</v>
      </c>
      <c r="K2" s="86"/>
      <c r="L2" s="86"/>
      <c r="N2" s="82" t="s">
        <v>441</v>
      </c>
      <c r="O2" s="83"/>
      <c r="P2" s="84"/>
    </row>
    <row r="3" spans="1:17" ht="18" x14ac:dyDescent="0.25">
      <c r="A3" s="12" t="s">
        <v>20</v>
      </c>
      <c r="B3" s="4">
        <v>55</v>
      </c>
      <c r="C3" s="4" t="s">
        <v>5</v>
      </c>
      <c r="J3" s="12" t="s">
        <v>20</v>
      </c>
      <c r="K3" s="27">
        <v>45</v>
      </c>
      <c r="L3" s="27" t="s">
        <v>5</v>
      </c>
      <c r="N3" s="61" t="s">
        <v>438</v>
      </c>
      <c r="O3" s="61">
        <v>450</v>
      </c>
      <c r="P3" s="61" t="s">
        <v>5</v>
      </c>
    </row>
    <row r="4" spans="1:17" ht="18.75" x14ac:dyDescent="0.35">
      <c r="A4" s="4" t="s">
        <v>21</v>
      </c>
      <c r="B4" s="4">
        <f>0.83*B3</f>
        <v>45.65</v>
      </c>
      <c r="C4" s="4" t="s">
        <v>5</v>
      </c>
      <c r="J4" s="27" t="s">
        <v>21</v>
      </c>
      <c r="K4" s="27">
        <f>0.83*K3</f>
        <v>37.35</v>
      </c>
      <c r="L4" s="27" t="s">
        <v>5</v>
      </c>
      <c r="N4" s="61" t="s">
        <v>439</v>
      </c>
      <c r="O4" s="61">
        <f>O3/1.15</f>
        <v>391.304347826087</v>
      </c>
      <c r="P4" s="61" t="s">
        <v>5</v>
      </c>
    </row>
    <row r="5" spans="1:17" ht="18.75" customHeight="1" x14ac:dyDescent="0.35">
      <c r="A5" s="61" t="s">
        <v>442</v>
      </c>
      <c r="B5" s="9">
        <f>0.85*Materiali!B4/1.5</f>
        <v>25.868333333333329</v>
      </c>
      <c r="C5" s="61" t="s">
        <v>5</v>
      </c>
      <c r="J5" s="61" t="s">
        <v>442</v>
      </c>
      <c r="K5" s="9">
        <f>0.85*Materiali!K4/1.5</f>
        <v>21.164999999999999</v>
      </c>
      <c r="L5" s="61" t="s">
        <v>5</v>
      </c>
      <c r="N5" s="61" t="s">
        <v>466</v>
      </c>
      <c r="O5" s="61">
        <v>540</v>
      </c>
      <c r="P5" s="61" t="s">
        <v>5</v>
      </c>
    </row>
    <row r="6" spans="1:17" ht="18.75" x14ac:dyDescent="0.35">
      <c r="A6" s="8" t="s">
        <v>22</v>
      </c>
      <c r="B6" s="4">
        <f>B4+8</f>
        <v>53.65</v>
      </c>
      <c r="C6" s="4" t="s">
        <v>5</v>
      </c>
      <c r="J6" s="8" t="s">
        <v>22</v>
      </c>
      <c r="K6" s="27">
        <f>K4+8</f>
        <v>45.35</v>
      </c>
      <c r="L6" s="27" t="s">
        <v>5</v>
      </c>
    </row>
    <row r="7" spans="1:17" ht="18.75" x14ac:dyDescent="0.35">
      <c r="A7" s="8" t="s">
        <v>23</v>
      </c>
      <c r="B7" s="9">
        <f>0.3*B4^(2/3)</f>
        <v>3.8319083151043372</v>
      </c>
      <c r="C7" s="4" t="s">
        <v>5</v>
      </c>
      <c r="D7" t="s">
        <v>17</v>
      </c>
      <c r="J7" s="8" t="s">
        <v>23</v>
      </c>
      <c r="K7" s="9">
        <f>0.3*K4^(2/3)</f>
        <v>3.3520847645709897</v>
      </c>
      <c r="L7" s="27" t="s">
        <v>5</v>
      </c>
    </row>
    <row r="8" spans="1:17" ht="18.75" x14ac:dyDescent="0.35">
      <c r="A8" s="8" t="s">
        <v>24</v>
      </c>
      <c r="B8" s="9">
        <f>1.2*B7</f>
        <v>4.5982899781252042</v>
      </c>
      <c r="C8" s="4" t="s">
        <v>5</v>
      </c>
      <c r="D8" t="s">
        <v>18</v>
      </c>
      <c r="J8" s="8" t="s">
        <v>24</v>
      </c>
      <c r="K8" s="9">
        <f>1.2*K7</f>
        <v>4.0225017174851878</v>
      </c>
      <c r="L8" s="27" t="s">
        <v>5</v>
      </c>
    </row>
    <row r="9" spans="1:17" ht="18.75" x14ac:dyDescent="0.35">
      <c r="A9" s="6" t="s">
        <v>25</v>
      </c>
      <c r="B9" s="9">
        <f>B7/1.2</f>
        <v>3.1932569292536144</v>
      </c>
      <c r="C9" s="4" t="s">
        <v>5</v>
      </c>
      <c r="D9" t="s">
        <v>19</v>
      </c>
      <c r="J9" s="6" t="s">
        <v>25</v>
      </c>
      <c r="K9" s="9">
        <f>K7/1.2</f>
        <v>2.7934039704758247</v>
      </c>
      <c r="L9" s="27" t="s">
        <v>5</v>
      </c>
    </row>
    <row r="10" spans="1:17" ht="18.75" x14ac:dyDescent="0.35">
      <c r="A10" s="8" t="s">
        <v>27</v>
      </c>
      <c r="B10" s="9">
        <f>22000*(B6/10)^0.3</f>
        <v>36416.113897745636</v>
      </c>
      <c r="C10" s="4" t="s">
        <v>5</v>
      </c>
      <c r="J10" s="8" t="s">
        <v>27</v>
      </c>
      <c r="K10" s="9">
        <f>22000*(K6/10)^0.3</f>
        <v>34625.485235412678</v>
      </c>
      <c r="L10" s="27" t="s">
        <v>5</v>
      </c>
    </row>
    <row r="11" spans="1:17" ht="33" customHeight="1" x14ac:dyDescent="0.25">
      <c r="A11" s="88" t="s">
        <v>28</v>
      </c>
      <c r="B11" s="88"/>
      <c r="C11" s="88"/>
      <c r="M11" s="18"/>
      <c r="N11" s="18"/>
      <c r="O11" s="18"/>
      <c r="P11" s="18"/>
      <c r="Q11" s="18"/>
    </row>
    <row r="12" spans="1:17" x14ac:dyDescent="0.25">
      <c r="A12" s="8" t="s">
        <v>29</v>
      </c>
      <c r="B12" s="13">
        <v>9</v>
      </c>
      <c r="C12" s="11" t="s">
        <v>30</v>
      </c>
      <c r="D12" t="s">
        <v>31</v>
      </c>
      <c r="M12" s="18"/>
      <c r="N12" s="19"/>
      <c r="O12" s="19"/>
      <c r="P12" s="19"/>
      <c r="Q12" s="18"/>
    </row>
    <row r="13" spans="1:17" x14ac:dyDescent="0.25">
      <c r="A13" s="8" t="s">
        <v>37</v>
      </c>
      <c r="B13" s="14">
        <f>0.2</f>
        <v>0.2</v>
      </c>
      <c r="C13" s="4"/>
    </row>
    <row r="14" spans="1:17" ht="18" x14ac:dyDescent="0.35">
      <c r="A14" s="8" t="s">
        <v>33</v>
      </c>
      <c r="B14" s="13">
        <f>EXP(B13*(1-(28/B12)^(0.5)))</f>
        <v>0.85832982539837288</v>
      </c>
      <c r="C14" s="4"/>
      <c r="D14" t="s">
        <v>45</v>
      </c>
    </row>
    <row r="15" spans="1:17" ht="18.75" x14ac:dyDescent="0.35">
      <c r="A15" s="8" t="s">
        <v>32</v>
      </c>
      <c r="B15" s="13">
        <f>B14*B6</f>
        <v>46.049395132622706</v>
      </c>
      <c r="C15" s="4" t="s">
        <v>5</v>
      </c>
    </row>
    <row r="16" spans="1:17" ht="18.75" x14ac:dyDescent="0.35">
      <c r="A16" s="8" t="s">
        <v>34</v>
      </c>
      <c r="B16" s="13">
        <f>B14*B4</f>
        <v>39.182756529435721</v>
      </c>
      <c r="C16" s="4" t="s">
        <v>5</v>
      </c>
    </row>
    <row r="17" spans="1:10" ht="17.25" x14ac:dyDescent="0.25">
      <c r="A17" s="4" t="s">
        <v>35</v>
      </c>
      <c r="B17" s="13">
        <f>0.7*B16</f>
        <v>27.427929570605002</v>
      </c>
      <c r="C17" s="4" t="s">
        <v>5</v>
      </c>
      <c r="D17" t="s">
        <v>41</v>
      </c>
    </row>
    <row r="18" spans="1:10" ht="17.25" x14ac:dyDescent="0.25">
      <c r="A18" s="4" t="s">
        <v>36</v>
      </c>
      <c r="B18" s="13">
        <f>0.6*B16</f>
        <v>23.509653917661431</v>
      </c>
      <c r="C18" s="4" t="s">
        <v>5</v>
      </c>
      <c r="D18" t="s">
        <v>42</v>
      </c>
    </row>
    <row r="19" spans="1:10" x14ac:dyDescent="0.25">
      <c r="A19" s="8" t="s">
        <v>44</v>
      </c>
      <c r="B19" s="13">
        <f>IF(B12&lt;28,1,2/3)</f>
        <v>1</v>
      </c>
      <c r="C19" s="4"/>
    </row>
    <row r="20" spans="1:10" ht="18.75" x14ac:dyDescent="0.35">
      <c r="A20" s="8" t="s">
        <v>38</v>
      </c>
      <c r="B20" s="13">
        <f>B7*B14^B19</f>
        <v>3.2890411950460789</v>
      </c>
      <c r="C20" s="4" t="s">
        <v>5</v>
      </c>
    </row>
    <row r="21" spans="1:10" x14ac:dyDescent="0.25">
      <c r="A21" s="8" t="s">
        <v>39</v>
      </c>
      <c r="B21" s="13">
        <v>1</v>
      </c>
      <c r="C21" s="4"/>
      <c r="D21" t="s">
        <v>43</v>
      </c>
    </row>
    <row r="22" spans="1:10" ht="18.75" x14ac:dyDescent="0.35">
      <c r="A22" s="8" t="s">
        <v>40</v>
      </c>
      <c r="B22" s="13">
        <f>B20*B21</f>
        <v>3.2890411950460789</v>
      </c>
      <c r="C22" s="4" t="s">
        <v>5</v>
      </c>
    </row>
    <row r="24" spans="1:10" x14ac:dyDescent="0.25">
      <c r="A24" s="89" t="s">
        <v>50</v>
      </c>
      <c r="B24" s="90"/>
      <c r="C24" s="91"/>
    </row>
    <row r="25" spans="1:10" ht="18" x14ac:dyDescent="0.35">
      <c r="A25" s="17" t="s">
        <v>58</v>
      </c>
      <c r="B25" s="4">
        <v>15.2</v>
      </c>
      <c r="C25" s="4" t="s">
        <v>6</v>
      </c>
      <c r="D25" t="s">
        <v>59</v>
      </c>
      <c r="G25" t="s">
        <v>420</v>
      </c>
      <c r="J25" t="s">
        <v>421</v>
      </c>
    </row>
    <row r="26" spans="1:10" ht="18.75" x14ac:dyDescent="0.35">
      <c r="A26" s="4" t="s">
        <v>56</v>
      </c>
      <c r="B26" s="4">
        <v>139</v>
      </c>
      <c r="C26" s="4" t="s">
        <v>8</v>
      </c>
      <c r="D26" t="s">
        <v>57</v>
      </c>
      <c r="G26">
        <f>6*B26</f>
        <v>834</v>
      </c>
      <c r="J26">
        <f>2*B26</f>
        <v>278</v>
      </c>
    </row>
    <row r="27" spans="1:10" ht="18.75" x14ac:dyDescent="0.35">
      <c r="A27" s="4" t="s">
        <v>55</v>
      </c>
      <c r="B27" s="4">
        <f>195000</f>
        <v>195000</v>
      </c>
      <c r="C27" s="4" t="s">
        <v>5</v>
      </c>
      <c r="D27" t="s">
        <v>60</v>
      </c>
    </row>
    <row r="28" spans="1:10" ht="18.75" x14ac:dyDescent="0.35">
      <c r="A28" s="4" t="s">
        <v>53</v>
      </c>
      <c r="B28" s="4">
        <v>1860</v>
      </c>
      <c r="C28" s="4" t="s">
        <v>5</v>
      </c>
    </row>
    <row r="29" spans="1:10" ht="18.75" x14ac:dyDescent="0.35">
      <c r="A29" s="4" t="s">
        <v>54</v>
      </c>
      <c r="B29" s="4">
        <f>1670</f>
        <v>1670</v>
      </c>
      <c r="C29" s="4" t="s">
        <v>5</v>
      </c>
    </row>
    <row r="31" spans="1:10" ht="39.75" customHeight="1" x14ac:dyDescent="0.25">
      <c r="A31" s="87" t="s">
        <v>46</v>
      </c>
      <c r="B31" s="87"/>
      <c r="C31" s="87"/>
    </row>
    <row r="32" spans="1:10" ht="17.25" x14ac:dyDescent="0.25">
      <c r="A32" s="6" t="s">
        <v>47</v>
      </c>
      <c r="B32" s="4">
        <f>0.9*$B$29</f>
        <v>1503</v>
      </c>
      <c r="C32" s="4" t="s">
        <v>5</v>
      </c>
    </row>
    <row r="33" spans="1:4" ht="17.25" x14ac:dyDescent="0.25">
      <c r="A33" s="6" t="s">
        <v>48</v>
      </c>
      <c r="B33" s="20">
        <f xml:space="preserve"> 0.8*$B$28</f>
        <v>1488</v>
      </c>
      <c r="C33" s="4" t="s">
        <v>5</v>
      </c>
      <c r="D33" t="s">
        <v>49</v>
      </c>
    </row>
    <row r="34" spans="1:4" ht="17.25" x14ac:dyDescent="0.25">
      <c r="A34" s="6" t="s">
        <v>9</v>
      </c>
      <c r="B34" s="4">
        <f>0.7*B4</f>
        <v>31.954999999999998</v>
      </c>
      <c r="C34" s="4" t="s">
        <v>5</v>
      </c>
      <c r="D34" t="s">
        <v>51</v>
      </c>
    </row>
    <row r="38" spans="1:4" x14ac:dyDescent="0.25">
      <c r="A38" s="111" t="s">
        <v>486</v>
      </c>
      <c r="B38" s="111"/>
      <c r="C38" s="111"/>
    </row>
    <row r="39" spans="1:4" ht="18" x14ac:dyDescent="0.35">
      <c r="A39" s="29" t="s">
        <v>487</v>
      </c>
      <c r="B39" s="13">
        <f>3.2</f>
        <v>3.2</v>
      </c>
      <c r="C39" s="22"/>
      <c r="D39" t="s">
        <v>488</v>
      </c>
    </row>
    <row r="40" spans="1:4" ht="18" x14ac:dyDescent="0.35">
      <c r="A40" s="29" t="s">
        <v>489</v>
      </c>
      <c r="B40" s="13">
        <v>1</v>
      </c>
      <c r="C40" s="22"/>
      <c r="D40" t="s">
        <v>490</v>
      </c>
    </row>
    <row r="41" spans="1:4" ht="17.25" x14ac:dyDescent="0.25">
      <c r="A41" s="29" t="s">
        <v>491</v>
      </c>
      <c r="B41" s="13">
        <f>B20/1.5</f>
        <v>2.1926941300307194</v>
      </c>
      <c r="C41" s="81" t="s">
        <v>5</v>
      </c>
      <c r="D41" t="s">
        <v>492</v>
      </c>
    </row>
    <row r="42" spans="1:4" x14ac:dyDescent="0.25">
      <c r="B42" s="15"/>
    </row>
    <row r="43" spans="1:4" ht="18" x14ac:dyDescent="0.35">
      <c r="A43" s="112" t="s">
        <v>493</v>
      </c>
      <c r="B43" s="81">
        <v>1</v>
      </c>
      <c r="C43" s="81"/>
      <c r="D43" t="s">
        <v>500</v>
      </c>
    </row>
    <row r="44" spans="1:4" ht="18" x14ac:dyDescent="0.35">
      <c r="A44" s="112" t="s">
        <v>494</v>
      </c>
      <c r="B44" s="81">
        <v>0.19</v>
      </c>
      <c r="C44" s="81"/>
      <c r="D44" t="s">
        <v>495</v>
      </c>
    </row>
    <row r="45" spans="1:4" ht="18" x14ac:dyDescent="0.35">
      <c r="A45" s="112" t="s">
        <v>58</v>
      </c>
      <c r="B45" s="81">
        <v>15.2</v>
      </c>
      <c r="C45" s="81" t="s">
        <v>6</v>
      </c>
      <c r="D45" t="s">
        <v>59</v>
      </c>
    </row>
    <row r="46" spans="1:4" ht="17.25" x14ac:dyDescent="0.25">
      <c r="A46" s="113" t="s">
        <v>496</v>
      </c>
      <c r="B46" s="9">
        <f>'fase 0 '!B22</f>
        <v>1223.2156915730211</v>
      </c>
      <c r="C46" s="81" t="s">
        <v>5</v>
      </c>
      <c r="D46" t="s">
        <v>497</v>
      </c>
    </row>
    <row r="47" spans="1:4" x14ac:dyDescent="0.25">
      <c r="A47" s="114" t="s">
        <v>498</v>
      </c>
      <c r="B47" s="9">
        <f>B43*B44*B45*B46/B41</f>
        <v>1611.0988162372619</v>
      </c>
      <c r="C47" s="81" t="s">
        <v>6</v>
      </c>
      <c r="D47" t="s">
        <v>499</v>
      </c>
    </row>
    <row r="52" spans="1:4" x14ac:dyDescent="0.25">
      <c r="D52" s="5" t="s">
        <v>10</v>
      </c>
    </row>
    <row r="53" spans="1:4" x14ac:dyDescent="0.25">
      <c r="A53" s="7" t="s">
        <v>12</v>
      </c>
      <c r="B53" s="3"/>
      <c r="C53" s="3"/>
    </row>
    <row r="54" spans="1:4" x14ac:dyDescent="0.25">
      <c r="D54" s="5" t="s">
        <v>13</v>
      </c>
    </row>
    <row r="55" spans="1:4" ht="17.25" x14ac:dyDescent="0.25">
      <c r="A55" s="6" t="s">
        <v>9</v>
      </c>
      <c r="B55" s="4">
        <f>0.6*B4</f>
        <v>27.389999999999997</v>
      </c>
      <c r="C55" s="4" t="s">
        <v>5</v>
      </c>
      <c r="D55" t="s">
        <v>14</v>
      </c>
    </row>
    <row r="56" spans="1:4" ht="17.25" x14ac:dyDescent="0.25">
      <c r="A56" s="6" t="s">
        <v>9</v>
      </c>
      <c r="B56" s="4">
        <f>0.45*B4</f>
        <v>20.5425</v>
      </c>
      <c r="C56" s="4" t="s">
        <v>5</v>
      </c>
      <c r="D56" s="5" t="s">
        <v>15</v>
      </c>
    </row>
    <row r="57" spans="1:4" ht="17.25" x14ac:dyDescent="0.25">
      <c r="A57" s="6" t="s">
        <v>11</v>
      </c>
      <c r="B57" s="4">
        <f>0.8*450</f>
        <v>360</v>
      </c>
      <c r="C57" s="4" t="s">
        <v>5</v>
      </c>
      <c r="D57" t="s">
        <v>16</v>
      </c>
    </row>
  </sheetData>
  <mergeCells count="9">
    <mergeCell ref="A38:C38"/>
    <mergeCell ref="N2:P2"/>
    <mergeCell ref="J1:L1"/>
    <mergeCell ref="J2:L2"/>
    <mergeCell ref="A31:C31"/>
    <mergeCell ref="A2:C2"/>
    <mergeCell ref="A1:C1"/>
    <mergeCell ref="A11:C11"/>
    <mergeCell ref="A24:C24"/>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0"/>
  <sheetViews>
    <sheetView topLeftCell="A39" workbookViewId="0">
      <selection activeCell="A57" sqref="A57:C57"/>
    </sheetView>
  </sheetViews>
  <sheetFormatPr defaultRowHeight="15" x14ac:dyDescent="0.25"/>
  <cols>
    <col min="1" max="1" width="9.140625" style="1"/>
    <col min="2" max="2" width="13.5703125" style="1" customWidth="1"/>
    <col min="3" max="3" width="14.28515625" style="1" customWidth="1"/>
    <col min="5" max="5" width="20.7109375" customWidth="1"/>
  </cols>
  <sheetData>
    <row r="1" spans="1:6" x14ac:dyDescent="0.25">
      <c r="A1" s="86" t="s">
        <v>61</v>
      </c>
      <c r="B1" s="86"/>
      <c r="C1" s="86"/>
      <c r="D1" s="10"/>
    </row>
    <row r="2" spans="1:6" x14ac:dyDescent="0.25">
      <c r="A2" s="11" t="s">
        <v>2</v>
      </c>
      <c r="B2" s="11">
        <v>33</v>
      </c>
      <c r="C2" s="11" t="s">
        <v>3</v>
      </c>
      <c r="D2" s="10" t="s">
        <v>92</v>
      </c>
    </row>
    <row r="3" spans="1:6" ht="24.75" customHeight="1" x14ac:dyDescent="0.25">
      <c r="A3" s="92" t="s">
        <v>63</v>
      </c>
      <c r="B3" s="92"/>
      <c r="C3" s="92"/>
    </row>
    <row r="4" spans="1:6" ht="18" x14ac:dyDescent="0.35">
      <c r="A4" s="4" t="s">
        <v>74</v>
      </c>
      <c r="B4" s="4">
        <v>1850</v>
      </c>
      <c r="C4" s="4" t="s">
        <v>6</v>
      </c>
    </row>
    <row r="5" spans="1:6" ht="18.75" x14ac:dyDescent="0.35">
      <c r="A5" s="4" t="s">
        <v>75</v>
      </c>
      <c r="B5" s="79">
        <v>876300</v>
      </c>
      <c r="C5" s="4" t="s">
        <v>8</v>
      </c>
    </row>
    <row r="6" spans="1:6" x14ac:dyDescent="0.25">
      <c r="A6" s="4" t="s">
        <v>69</v>
      </c>
      <c r="B6" s="4">
        <v>0</v>
      </c>
      <c r="C6" s="4" t="s">
        <v>6</v>
      </c>
    </row>
    <row r="7" spans="1:6" x14ac:dyDescent="0.25">
      <c r="A7" s="4" t="s">
        <v>70</v>
      </c>
      <c r="B7" s="79">
        <v>1049</v>
      </c>
      <c r="C7" s="4" t="s">
        <v>6</v>
      </c>
    </row>
    <row r="8" spans="1:6" x14ac:dyDescent="0.25">
      <c r="A8" s="4" t="s">
        <v>71</v>
      </c>
      <c r="B8" s="4">
        <f>B4-B7</f>
        <v>801</v>
      </c>
      <c r="C8" s="4" t="s">
        <v>6</v>
      </c>
    </row>
    <row r="9" spans="1:6" ht="18.75" x14ac:dyDescent="0.35">
      <c r="A9" s="4" t="s">
        <v>76</v>
      </c>
      <c r="B9" s="79">
        <f>331583614407</f>
        <v>331583614407</v>
      </c>
      <c r="C9" s="4" t="s">
        <v>82</v>
      </c>
      <c r="D9" t="s">
        <v>67</v>
      </c>
    </row>
    <row r="10" spans="1:6" ht="18.75" x14ac:dyDescent="0.35">
      <c r="A10" s="4" t="s">
        <v>77</v>
      </c>
      <c r="B10" s="79">
        <f>356988385000</f>
        <v>356988385000</v>
      </c>
      <c r="C10" s="4" t="s">
        <v>82</v>
      </c>
      <c r="D10" t="s">
        <v>68</v>
      </c>
    </row>
    <row r="11" spans="1:6" ht="18.75" x14ac:dyDescent="0.35">
      <c r="A11" s="4" t="s">
        <v>85</v>
      </c>
      <c r="B11" s="4">
        <f>B9/B7</f>
        <v>316094961.30314583</v>
      </c>
      <c r="C11" s="4" t="s">
        <v>86</v>
      </c>
      <c r="D11" t="s">
        <v>87</v>
      </c>
    </row>
    <row r="12" spans="1:6" x14ac:dyDescent="0.25">
      <c r="A12" s="86" t="s">
        <v>72</v>
      </c>
      <c r="B12" s="86"/>
      <c r="C12" s="86"/>
    </row>
    <row r="13" spans="1:6" ht="18" x14ac:dyDescent="0.35">
      <c r="A13" s="4" t="s">
        <v>78</v>
      </c>
      <c r="B13" s="4">
        <f>SUM(B54:B56)</f>
        <v>42</v>
      </c>
      <c r="C13" s="4"/>
      <c r="D13" t="s">
        <v>476</v>
      </c>
    </row>
    <row r="14" spans="1:6" ht="27.75" customHeight="1" x14ac:dyDescent="0.35">
      <c r="A14" s="4" t="s">
        <v>79</v>
      </c>
      <c r="B14" s="4">
        <f>B13*Materiali!B26</f>
        <v>5838</v>
      </c>
      <c r="C14" s="4" t="s">
        <v>8</v>
      </c>
      <c r="D14" s="16" t="s">
        <v>65</v>
      </c>
    </row>
    <row r="15" spans="1:6" ht="44.25" customHeight="1" x14ac:dyDescent="0.25">
      <c r="A15" s="93" t="s">
        <v>73</v>
      </c>
      <c r="B15" s="94"/>
      <c r="C15" s="95"/>
      <c r="F15" t="s">
        <v>64</v>
      </c>
    </row>
    <row r="16" spans="1:6" x14ac:dyDescent="0.25">
      <c r="A16" s="4" t="s">
        <v>62</v>
      </c>
      <c r="B16" s="4">
        <v>6</v>
      </c>
      <c r="C16" s="4"/>
      <c r="D16" s="10" t="s">
        <v>81</v>
      </c>
    </row>
    <row r="17" spans="1:4" ht="18.75" x14ac:dyDescent="0.35">
      <c r="A17" s="4" t="s">
        <v>80</v>
      </c>
      <c r="B17" s="79">
        <v>933012</v>
      </c>
      <c r="C17" s="4" t="s">
        <v>8</v>
      </c>
      <c r="D17" t="s">
        <v>84</v>
      </c>
    </row>
    <row r="18" spans="1:4" x14ac:dyDescent="0.25">
      <c r="A18" s="4" t="s">
        <v>70</v>
      </c>
      <c r="B18" s="79">
        <v>1071</v>
      </c>
      <c r="C18" s="4" t="s">
        <v>6</v>
      </c>
      <c r="D18" t="s">
        <v>83</v>
      </c>
    </row>
    <row r="19" spans="1:4" x14ac:dyDescent="0.25">
      <c r="A19" s="4" t="s">
        <v>71</v>
      </c>
      <c r="B19" s="4">
        <f>B4-B18</f>
        <v>779</v>
      </c>
      <c r="C19" s="4" t="s">
        <v>6</v>
      </c>
    </row>
    <row r="20" spans="1:4" ht="18.75" x14ac:dyDescent="0.35">
      <c r="A20" s="4" t="s">
        <v>76</v>
      </c>
      <c r="B20" s="79">
        <f>357238306267</f>
        <v>357238306267</v>
      </c>
      <c r="C20" s="4" t="s">
        <v>82</v>
      </c>
      <c r="D20" t="s">
        <v>67</v>
      </c>
    </row>
    <row r="21" spans="1:4" ht="18" x14ac:dyDescent="0.35">
      <c r="A21" s="4" t="s">
        <v>77</v>
      </c>
      <c r="B21" s="79">
        <f>367293289000</f>
        <v>367293289000</v>
      </c>
      <c r="C21" s="4" t="s">
        <v>66</v>
      </c>
      <c r="D21" t="s">
        <v>68</v>
      </c>
    </row>
    <row r="22" spans="1:4" ht="18.75" x14ac:dyDescent="0.35">
      <c r="A22" s="4" t="s">
        <v>106</v>
      </c>
      <c r="B22" s="4">
        <f>B20/B18</f>
        <v>333555841.51914102</v>
      </c>
      <c r="C22" s="4" t="s">
        <v>86</v>
      </c>
      <c r="D22" t="s">
        <v>87</v>
      </c>
    </row>
    <row r="23" spans="1:4" ht="18.75" x14ac:dyDescent="0.35">
      <c r="A23" s="4" t="s">
        <v>107</v>
      </c>
      <c r="B23" s="4">
        <f>B20/B19</f>
        <v>458585759.00770217</v>
      </c>
      <c r="C23" s="4" t="s">
        <v>86</v>
      </c>
      <c r="D23" t="s">
        <v>87</v>
      </c>
    </row>
    <row r="24" spans="1:4" ht="18" x14ac:dyDescent="0.35">
      <c r="A24" s="4" t="s">
        <v>90</v>
      </c>
      <c r="B24" s="4">
        <f>B58</f>
        <v>710.95238095238096</v>
      </c>
      <c r="C24" s="4" t="s">
        <v>6</v>
      </c>
      <c r="D24" t="s">
        <v>91</v>
      </c>
    </row>
    <row r="25" spans="1:4" x14ac:dyDescent="0.25">
      <c r="A25" s="61" t="s">
        <v>88</v>
      </c>
      <c r="B25" s="61">
        <f>B18-B24</f>
        <v>360.04761904761904</v>
      </c>
      <c r="C25" s="61" t="s">
        <v>6</v>
      </c>
      <c r="D25" t="s">
        <v>89</v>
      </c>
    </row>
    <row r="26" spans="1:4" x14ac:dyDescent="0.25">
      <c r="A26" s="40"/>
      <c r="B26" s="40"/>
      <c r="C26" s="40"/>
    </row>
    <row r="27" spans="1:4" x14ac:dyDescent="0.25">
      <c r="A27" s="87" t="s">
        <v>419</v>
      </c>
      <c r="B27" s="87"/>
      <c r="C27" s="87"/>
    </row>
    <row r="28" spans="1:4" x14ac:dyDescent="0.25">
      <c r="A28" s="87"/>
      <c r="B28" s="87"/>
      <c r="C28" s="87"/>
    </row>
    <row r="29" spans="1:4" s="18" customFormat="1" x14ac:dyDescent="0.25">
      <c r="A29" s="71"/>
      <c r="B29" s="71"/>
      <c r="C29" s="71"/>
    </row>
    <row r="30" spans="1:4" x14ac:dyDescent="0.25">
      <c r="A30" s="89" t="s">
        <v>153</v>
      </c>
      <c r="B30" s="90"/>
      <c r="C30" s="91"/>
    </row>
    <row r="31" spans="1:4" x14ac:dyDescent="0.25">
      <c r="A31" s="27" t="s">
        <v>154</v>
      </c>
      <c r="B31" s="27">
        <v>2.5</v>
      </c>
      <c r="C31" s="27" t="s">
        <v>3</v>
      </c>
      <c r="D31" t="s">
        <v>155</v>
      </c>
    </row>
    <row r="32" spans="1:4" x14ac:dyDescent="0.25">
      <c r="A32" s="27" t="s">
        <v>37</v>
      </c>
      <c r="B32" s="27">
        <v>0.25</v>
      </c>
      <c r="C32" s="27" t="s">
        <v>3</v>
      </c>
      <c r="D32" t="s">
        <v>156</v>
      </c>
    </row>
    <row r="33" spans="1:4" ht="18.75" x14ac:dyDescent="0.35">
      <c r="A33" s="43" t="s">
        <v>166</v>
      </c>
      <c r="B33" s="30">
        <f>B31*B32*1000^2</f>
        <v>625000</v>
      </c>
      <c r="C33" s="22" t="s">
        <v>8</v>
      </c>
      <c r="D33" t="s">
        <v>167</v>
      </c>
    </row>
    <row r="34" spans="1:4" x14ac:dyDescent="0.25">
      <c r="A34" s="17" t="s">
        <v>159</v>
      </c>
      <c r="B34" s="27">
        <f>10</f>
        <v>10</v>
      </c>
      <c r="C34" s="27" t="s">
        <v>6</v>
      </c>
      <c r="D34" t="s">
        <v>160</v>
      </c>
    </row>
    <row r="35" spans="1:4" ht="17.25" x14ac:dyDescent="0.25">
      <c r="A35" s="27" t="s">
        <v>157</v>
      </c>
      <c r="B35" s="9">
        <f>10*B34^2*PI()/4</f>
        <v>785.39816339744823</v>
      </c>
      <c r="C35" s="27" t="s">
        <v>8</v>
      </c>
      <c r="D35" t="s">
        <v>161</v>
      </c>
    </row>
    <row r="36" spans="1:4" ht="17.25" x14ac:dyDescent="0.25">
      <c r="A36" s="27" t="s">
        <v>158</v>
      </c>
      <c r="B36" s="9">
        <f>10*B34^2*PI()/4</f>
        <v>785.39816339744823</v>
      </c>
      <c r="C36" s="27" t="s">
        <v>8</v>
      </c>
      <c r="D36" t="s">
        <v>162</v>
      </c>
    </row>
    <row r="37" spans="1:4" x14ac:dyDescent="0.25">
      <c r="A37"/>
      <c r="B37"/>
      <c r="C37"/>
    </row>
    <row r="38" spans="1:4" x14ac:dyDescent="0.25">
      <c r="A38" s="86" t="s">
        <v>163</v>
      </c>
      <c r="B38" s="86"/>
      <c r="C38" s="86"/>
    </row>
    <row r="39" spans="1:4" x14ac:dyDescent="0.25">
      <c r="A39" s="27" t="s">
        <v>62</v>
      </c>
      <c r="B39" s="27">
        <v>6</v>
      </c>
      <c r="C39" s="27"/>
      <c r="D39" t="s">
        <v>170</v>
      </c>
    </row>
    <row r="40" spans="1:4" x14ac:dyDescent="0.25">
      <c r="A40" s="27" t="s">
        <v>164</v>
      </c>
      <c r="B40" s="23">
        <f>Materiali!B10/Materiali!K10</f>
        <v>1.051714182491849</v>
      </c>
      <c r="C40" s="27"/>
      <c r="D40" t="s">
        <v>165</v>
      </c>
    </row>
    <row r="41" spans="1:4" ht="17.25" x14ac:dyDescent="0.25">
      <c r="A41" s="27" t="s">
        <v>168</v>
      </c>
      <c r="B41" s="27">
        <f>B33+'Caratteristiche trave V185'!B5</f>
        <v>1501300</v>
      </c>
      <c r="C41" s="27" t="s">
        <v>8</v>
      </c>
      <c r="D41" t="s">
        <v>169</v>
      </c>
    </row>
    <row r="42" spans="1:4" ht="18.75" x14ac:dyDescent="0.35">
      <c r="A42" s="27" t="s">
        <v>175</v>
      </c>
      <c r="B42" s="27">
        <f>'Caratteristiche trave V185'!B14</f>
        <v>5838</v>
      </c>
      <c r="C42" s="27" t="s">
        <v>8</v>
      </c>
      <c r="D42" t="s">
        <v>182</v>
      </c>
    </row>
    <row r="43" spans="1:4" ht="18.75" x14ac:dyDescent="0.35">
      <c r="A43" s="27" t="s">
        <v>80</v>
      </c>
      <c r="B43" s="27">
        <f>B41+B40*B42+B39*B42</f>
        <v>1542467.9073973873</v>
      </c>
      <c r="C43" s="27" t="s">
        <v>8</v>
      </c>
      <c r="D43" t="s">
        <v>181</v>
      </c>
    </row>
    <row r="44" spans="1:4" x14ac:dyDescent="0.25">
      <c r="A44" s="27" t="s">
        <v>171</v>
      </c>
      <c r="B44" s="27">
        <f>B32*1000+'Caratteristiche trave V185'!B4</f>
        <v>2100</v>
      </c>
      <c r="C44" s="27" t="s">
        <v>6</v>
      </c>
      <c r="D44" t="s">
        <v>180</v>
      </c>
    </row>
    <row r="45" spans="1:4" x14ac:dyDescent="0.25">
      <c r="A45" s="27" t="s">
        <v>70</v>
      </c>
      <c r="B45" s="79">
        <v>1257</v>
      </c>
      <c r="C45" s="27" t="s">
        <v>6</v>
      </c>
      <c r="D45" t="s">
        <v>179</v>
      </c>
    </row>
    <row r="46" spans="1:4" x14ac:dyDescent="0.25">
      <c r="A46" s="27" t="s">
        <v>172</v>
      </c>
      <c r="B46" s="27">
        <f>B44-B45</f>
        <v>843</v>
      </c>
      <c r="C46" s="27" t="s">
        <v>6</v>
      </c>
      <c r="D46" t="s">
        <v>183</v>
      </c>
    </row>
    <row r="47" spans="1:4" x14ac:dyDescent="0.25">
      <c r="A47" s="27" t="s">
        <v>184</v>
      </c>
      <c r="B47" s="27">
        <f>'Caratteristiche trave V185'!B4-'Caratteristiche trave V185'!B45</f>
        <v>593</v>
      </c>
      <c r="C47" s="27" t="s">
        <v>6</v>
      </c>
      <c r="D47" t="s">
        <v>185</v>
      </c>
    </row>
    <row r="48" spans="1:4" ht="18.75" x14ac:dyDescent="0.35">
      <c r="A48" s="27" t="s">
        <v>173</v>
      </c>
      <c r="B48" s="79">
        <f>896275382452</f>
        <v>896275382452</v>
      </c>
      <c r="C48" s="27" t="s">
        <v>82</v>
      </c>
      <c r="D48" t="s">
        <v>177</v>
      </c>
    </row>
    <row r="49" spans="1:4" ht="18.75" x14ac:dyDescent="0.35">
      <c r="A49" s="27" t="s">
        <v>174</v>
      </c>
      <c r="B49" s="79">
        <f xml:space="preserve"> 689628896120</f>
        <v>689628896120</v>
      </c>
      <c r="C49" s="27" t="s">
        <v>82</v>
      </c>
      <c r="D49" t="s">
        <v>178</v>
      </c>
    </row>
    <row r="50" spans="1:4" x14ac:dyDescent="0.25">
      <c r="A50" s="27" t="s">
        <v>88</v>
      </c>
      <c r="B50" s="27">
        <f>B45-'Caratteristiche trave V185'!B24</f>
        <v>546.04761904761904</v>
      </c>
      <c r="C50" s="27" t="s">
        <v>6</v>
      </c>
      <c r="D50" t="s">
        <v>176</v>
      </c>
    </row>
    <row r="52" spans="1:4" x14ac:dyDescent="0.25">
      <c r="A52" s="86" t="s">
        <v>477</v>
      </c>
      <c r="B52" s="86"/>
      <c r="C52" s="86"/>
    </row>
    <row r="53" spans="1:4" ht="18.75" x14ac:dyDescent="0.35">
      <c r="A53" s="76" t="s">
        <v>479</v>
      </c>
      <c r="B53" s="76" t="s">
        <v>317</v>
      </c>
      <c r="C53" s="76" t="s">
        <v>478</v>
      </c>
    </row>
    <row r="54" spans="1:4" x14ac:dyDescent="0.25">
      <c r="A54" s="76">
        <f>1850-110</f>
        <v>1740</v>
      </c>
      <c r="B54" s="76">
        <v>4</v>
      </c>
      <c r="C54" s="81">
        <f>Materiali!$B$26*B54</f>
        <v>556</v>
      </c>
    </row>
    <row r="55" spans="1:4" x14ac:dyDescent="0.25">
      <c r="A55" s="76">
        <v>1150</v>
      </c>
      <c r="B55" s="76">
        <v>18</v>
      </c>
      <c r="C55" s="81">
        <f>Materiali!$B$26*B55</f>
        <v>2502</v>
      </c>
    </row>
    <row r="56" spans="1:4" x14ac:dyDescent="0.25">
      <c r="A56" s="76">
        <v>110</v>
      </c>
      <c r="B56" s="76">
        <v>20</v>
      </c>
      <c r="C56" s="81">
        <f>Materiali!$B$26*B56</f>
        <v>2780</v>
      </c>
    </row>
    <row r="57" spans="1:4" x14ac:dyDescent="0.25">
      <c r="A57" s="86" t="s">
        <v>480</v>
      </c>
      <c r="B57" s="86"/>
      <c r="C57" s="86"/>
    </row>
    <row r="58" spans="1:4" x14ac:dyDescent="0.25">
      <c r="A58" s="76" t="s">
        <v>484</v>
      </c>
      <c r="B58" s="9">
        <f>(C54*A54+C55*A55+C56*A56)/SUM(C54:C56)</f>
        <v>710.95238095238096</v>
      </c>
      <c r="C58" s="76" t="s">
        <v>6</v>
      </c>
    </row>
    <row r="59" spans="1:4" ht="18" x14ac:dyDescent="0.35">
      <c r="A59" s="76" t="s">
        <v>481</v>
      </c>
      <c r="B59" s="76">
        <v>430</v>
      </c>
      <c r="C59" s="76" t="s">
        <v>6</v>
      </c>
    </row>
    <row r="60" spans="1:4" x14ac:dyDescent="0.25">
      <c r="A60" s="75" t="s">
        <v>482</v>
      </c>
      <c r="B60" s="96" t="str">
        <f>IF(B58&gt;B59,"SFORZO INTERNO AL NOCCIOLO","SFORZO FUORI AL NOCCIOLO")</f>
        <v>SFORZO INTERNO AL NOCCIOLO</v>
      </c>
      <c r="C60" s="96"/>
    </row>
  </sheetData>
  <mergeCells count="10">
    <mergeCell ref="A52:C52"/>
    <mergeCell ref="A57:C57"/>
    <mergeCell ref="B60:C60"/>
    <mergeCell ref="A38:C38"/>
    <mergeCell ref="A27:C28"/>
    <mergeCell ref="A1:C1"/>
    <mergeCell ref="A12:C12"/>
    <mergeCell ref="A3:C3"/>
    <mergeCell ref="A15:C15"/>
    <mergeCell ref="A30:C30"/>
  </mergeCells>
  <phoneticPr fontId="4" type="noConversion"/>
  <conditionalFormatting sqref="B60:C60">
    <cfRule type="cellIs" dxfId="163" priority="1" operator="equal">
      <formula>"SFORZO INTERNO AL NOCCIOLO"</formula>
    </cfRule>
    <cfRule type="cellIs" dxfId="162" priority="2" operator="equal">
      <formula>"""SFORZO INTERNO AL NOCCIOLO"""</formula>
    </cfRule>
    <cfRule type="cellIs" dxfId="161" priority="3" operator="equal">
      <formula>"SFORZO FUORI AL NOCCIOLO"</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2"/>
  <sheetViews>
    <sheetView tabSelected="1" zoomScale="85" zoomScaleNormal="85" workbookViewId="0">
      <selection activeCell="B4" sqref="B4"/>
    </sheetView>
  </sheetViews>
  <sheetFormatPr defaultRowHeight="15" x14ac:dyDescent="0.25"/>
  <cols>
    <col min="1" max="1" width="13" customWidth="1"/>
    <col min="2" max="2" width="13.7109375" bestFit="1" customWidth="1"/>
    <col min="4" max="4" width="16.7109375" customWidth="1"/>
    <col min="5" max="5" width="24.7109375" bestFit="1" customWidth="1"/>
    <col min="6" max="6" width="17.5703125" customWidth="1"/>
    <col min="9" max="9" width="9.28515625" bestFit="1" customWidth="1"/>
    <col min="10" max="10" width="10.28515625" bestFit="1" customWidth="1"/>
    <col min="13" max="13" width="9.28515625" bestFit="1" customWidth="1"/>
    <col min="14" max="14" width="11.5703125" customWidth="1"/>
    <col min="17" max="17" width="9.28515625" bestFit="1" customWidth="1"/>
  </cols>
  <sheetData>
    <row r="1" spans="1:18" x14ac:dyDescent="0.25">
      <c r="A1" s="86" t="s">
        <v>0</v>
      </c>
      <c r="B1" s="86"/>
      <c r="C1" s="86"/>
      <c r="I1" s="100" t="s">
        <v>113</v>
      </c>
      <c r="J1" s="100"/>
      <c r="M1" s="100" t="s">
        <v>114</v>
      </c>
      <c r="N1" s="100"/>
      <c r="Q1" s="100" t="s">
        <v>114</v>
      </c>
      <c r="R1" s="100"/>
    </row>
    <row r="2" spans="1:18" ht="18" x14ac:dyDescent="0.35">
      <c r="A2" s="61" t="s">
        <v>94</v>
      </c>
      <c r="B2" s="9">
        <f>(25*'Caratteristiche trave V185'!B5/1000^2)+ (25*1.4*2.5*0.3*3)/'Caratteristiche trave V185'!B2</f>
        <v>24.293863636363636</v>
      </c>
      <c r="C2" s="61" t="s">
        <v>1</v>
      </c>
      <c r="I2" s="1" t="s">
        <v>112</v>
      </c>
      <c r="J2" s="1" t="s">
        <v>111</v>
      </c>
      <c r="M2" s="1" t="s">
        <v>112</v>
      </c>
      <c r="N2" s="1" t="s">
        <v>111</v>
      </c>
      <c r="Q2" s="1" t="s">
        <v>112</v>
      </c>
      <c r="R2" s="1" t="s">
        <v>111</v>
      </c>
    </row>
    <row r="3" spans="1:18" x14ac:dyDescent="0.25">
      <c r="A3" s="61" t="s">
        <v>37</v>
      </c>
      <c r="B3" s="61">
        <v>5.3</v>
      </c>
      <c r="C3" s="61" t="s">
        <v>3</v>
      </c>
      <c r="D3" t="s">
        <v>474</v>
      </c>
      <c r="I3" s="1">
        <v>0</v>
      </c>
      <c r="J3" s="1">
        <f>'Caratteristiche trave V185'!B19</f>
        <v>779</v>
      </c>
      <c r="M3" s="1">
        <v>0</v>
      </c>
      <c r="N3" s="1">
        <f>J3</f>
        <v>779</v>
      </c>
      <c r="Q3" s="1">
        <f>I3+M3</f>
        <v>0</v>
      </c>
      <c r="R3" s="1">
        <f>N3</f>
        <v>779</v>
      </c>
    </row>
    <row r="4" spans="1:18" ht="17.25" x14ac:dyDescent="0.25">
      <c r="A4" s="4" t="s">
        <v>104</v>
      </c>
      <c r="B4" s="9">
        <f>B2*0.5*(B3*'Caratteristiche trave V185'!$B$2-B3^2)</f>
        <v>1783.2910602272727</v>
      </c>
      <c r="C4" s="4" t="s">
        <v>4</v>
      </c>
      <c r="D4" t="s">
        <v>475</v>
      </c>
      <c r="I4" s="20">
        <f xml:space="preserve">  'fase 0 '!B4*1000^2/'Caratteristiche trave V185'!B23</f>
        <v>3.8886751827749659</v>
      </c>
      <c r="J4" s="20">
        <f>'Caratteristiche trave V185'!B19</f>
        <v>779</v>
      </c>
      <c r="K4" s="20"/>
      <c r="L4" s="20"/>
      <c r="M4" s="20">
        <f xml:space="preserve"> (B13*1000/'Caratteristiche trave V185'!B17) - B13*1000*'Caratteristiche trave V185'!B25/('Caratteristiche trave V185'!B23)</f>
        <v>2.029111863534995</v>
      </c>
      <c r="N4" s="20">
        <f t="shared" ref="N4:N6" si="0">J4</f>
        <v>779</v>
      </c>
      <c r="O4" s="20"/>
      <c r="P4" s="20"/>
      <c r="Q4" s="20">
        <f t="shared" ref="Q4:Q6" si="1">I4+M4</f>
        <v>5.9177870463099609</v>
      </c>
      <c r="R4" s="1">
        <f t="shared" ref="R4:R6" si="2">N4</f>
        <v>779</v>
      </c>
    </row>
    <row r="5" spans="1:18" x14ac:dyDescent="0.25">
      <c r="A5" s="97" t="s">
        <v>93</v>
      </c>
      <c r="B5" s="97"/>
      <c r="C5" s="97"/>
      <c r="I5" s="20">
        <f xml:space="preserve"> - 'fase 0 '!B4*1000^2/'Caratteristiche trave V185'!B22</f>
        <v>-5.3463043912092276</v>
      </c>
      <c r="J5" s="20">
        <f>-'Caratteristiche trave V185'!B18</f>
        <v>-1071</v>
      </c>
      <c r="K5" s="20"/>
      <c r="L5" s="20"/>
      <c r="M5" s="20">
        <f>(B13*1000/'Caratteristiche trave V185'!B17) + B13*1000*'Caratteristiche trave V185'!B25/('Caratteristiche trave V185'!B22)</f>
        <v>15.226714870926232</v>
      </c>
      <c r="N5" s="20">
        <f t="shared" si="0"/>
        <v>-1071</v>
      </c>
      <c r="O5" s="20"/>
      <c r="P5" s="20"/>
      <c r="Q5" s="20">
        <f t="shared" si="1"/>
        <v>9.8804104797170034</v>
      </c>
      <c r="R5" s="1">
        <f t="shared" si="2"/>
        <v>-1071</v>
      </c>
    </row>
    <row r="6" spans="1:18" ht="18.75" x14ac:dyDescent="0.35">
      <c r="A6" s="24" t="s">
        <v>95</v>
      </c>
      <c r="B6" s="25">
        <f>12000*'Caratteristiche trave V185'!B13/(50+10+8)</f>
        <v>7411.7647058823532</v>
      </c>
      <c r="C6" s="24" t="s">
        <v>7</v>
      </c>
      <c r="I6" s="31">
        <v>0</v>
      </c>
      <c r="J6" s="1">
        <f>-'Caratteristiche trave V185'!B18</f>
        <v>-1071</v>
      </c>
      <c r="M6">
        <v>0</v>
      </c>
      <c r="N6" s="1">
        <f t="shared" si="0"/>
        <v>-1071</v>
      </c>
      <c r="Q6" s="1">
        <f t="shared" si="1"/>
        <v>0</v>
      </c>
      <c r="R6" s="1">
        <f t="shared" si="2"/>
        <v>-1071</v>
      </c>
    </row>
    <row r="7" spans="1:18" ht="17.25" x14ac:dyDescent="0.25">
      <c r="A7" s="6" t="s">
        <v>96</v>
      </c>
      <c r="B7" s="9">
        <f>B6*1000/'Caratteristiche trave V185'!B14</f>
        <v>1269.5725772323317</v>
      </c>
      <c r="C7" s="11" t="s">
        <v>5</v>
      </c>
      <c r="D7" s="22" t="s">
        <v>97</v>
      </c>
      <c r="E7" s="6" t="s">
        <v>116</v>
      </c>
      <c r="F7" s="4" t="str">
        <f>IF(B7&lt;MIN(Materiali!B32:B33),"VERIFICA", " NON VERIFICA")</f>
        <v>VERIFICA</v>
      </c>
    </row>
    <row r="8" spans="1:18" x14ac:dyDescent="0.25">
      <c r="A8" s="98" t="s">
        <v>98</v>
      </c>
      <c r="B8" s="98"/>
      <c r="C8" s="98"/>
    </row>
    <row r="9" spans="1:18" ht="17.25" x14ac:dyDescent="0.25">
      <c r="A9" s="6" t="s">
        <v>99</v>
      </c>
      <c r="B9" s="23">
        <f>B6*1000/'Caratteristiche trave V185'!B17 + B6*1000*'Caratteristiche trave V185'!B25/'Caratteristiche trave V185'!B20*'Caratteristiche trave V185'!B25</f>
        <v>10.633485389819393</v>
      </c>
      <c r="C9" s="11" t="s">
        <v>5</v>
      </c>
    </row>
    <row r="10" spans="1:18" x14ac:dyDescent="0.25">
      <c r="A10" s="97" t="s">
        <v>100</v>
      </c>
      <c r="B10" s="97"/>
      <c r="C10" s="97"/>
    </row>
    <row r="11" spans="1:18" x14ac:dyDescent="0.25">
      <c r="A11" s="17" t="s">
        <v>101</v>
      </c>
      <c r="B11" s="23">
        <f>'Perdite di tiro '!B90</f>
        <v>333.58784181540005</v>
      </c>
      <c r="C11" s="11" t="s">
        <v>7</v>
      </c>
    </row>
    <row r="12" spans="1:18" ht="41.25" customHeight="1" x14ac:dyDescent="0.25">
      <c r="A12" s="99" t="s">
        <v>103</v>
      </c>
      <c r="B12" s="99"/>
      <c r="C12" s="99"/>
    </row>
    <row r="13" spans="1:18" ht="18.75" x14ac:dyDescent="0.35">
      <c r="A13" s="6" t="s">
        <v>102</v>
      </c>
      <c r="B13" s="9">
        <f>B6-B11</f>
        <v>7078.1768640669534</v>
      </c>
      <c r="C13" s="11" t="s">
        <v>7</v>
      </c>
    </row>
    <row r="14" spans="1:18" x14ac:dyDescent="0.25">
      <c r="A14" s="97" t="s">
        <v>105</v>
      </c>
      <c r="B14" s="97"/>
      <c r="C14" s="97"/>
      <c r="D14" s="97"/>
      <c r="E14" s="97"/>
      <c r="F14" s="97"/>
      <c r="G14" s="30" t="s">
        <v>230</v>
      </c>
    </row>
    <row r="15" spans="1:18" ht="17.25" x14ac:dyDescent="0.25">
      <c r="A15" s="6" t="s">
        <v>110</v>
      </c>
      <c r="B15" s="21">
        <f>(B13*1000/'Caratteristiche trave V185'!B17) - B13*1000*'Caratteristiche trave V185'!B25/('Caratteristiche trave V185'!B23) + 'fase 0 '!B4*1000^2/'Caratteristiche trave V185'!B23</f>
        <v>5.9177870463099609</v>
      </c>
      <c r="C15" s="11" t="s">
        <v>5</v>
      </c>
      <c r="D15" s="22" t="str">
        <f>IF(B15 &lt; 0,"Trazione","Compressione")</f>
        <v>Compressione</v>
      </c>
      <c r="E15" s="6" t="str">
        <f xml:space="preserve"> IF(D15="Trazione","ϭ &gt; fctm(t)/1.2", "ϭ &lt; 0.7fck(t)")</f>
        <v>ϭ &lt; 0.7fck(t)</v>
      </c>
      <c r="F15" s="4" t="str">
        <f>IF(D15 = "Trazione", IF(ABS(B15) &lt; Materiali!$B$22/1.2,"VERIFICA", " NON VERIFICA"), IF(B15 &lt; 0.7*Materiali!$B$16,"VERIFICA", " NON VERIFICA"))</f>
        <v>VERIFICA</v>
      </c>
      <c r="G15" s="23">
        <f>ABS(B15/IF(D15 = "Trazione",  Materiali!$B$22/1.2,  0.7*Materiali!$B$16))</f>
        <v>0.21575770169149619</v>
      </c>
    </row>
    <row r="16" spans="1:18" x14ac:dyDescent="0.25">
      <c r="A16" s="97" t="s">
        <v>108</v>
      </c>
      <c r="B16" s="97"/>
      <c r="C16" s="97"/>
      <c r="D16" s="97"/>
      <c r="E16" s="97"/>
      <c r="F16" s="97"/>
      <c r="G16" s="23"/>
    </row>
    <row r="17" spans="1:7" ht="17.25" x14ac:dyDescent="0.25">
      <c r="A17" s="6" t="s">
        <v>109</v>
      </c>
      <c r="B17" s="9">
        <f>(B13*1000/'Caratteristiche trave V185'!B17) + B13*1000*'Caratteristiche trave V185'!B25/('Caratteristiche trave V185'!B22) - 'fase 0 '!B4*1000^2/'Caratteristiche trave V185'!B22</f>
        <v>9.8804104797170034</v>
      </c>
      <c r="C17" s="11" t="s">
        <v>5</v>
      </c>
      <c r="D17" s="22" t="str">
        <f t="shared" ref="D17" si="3">IF(B17 &lt; 0,"Trazione","Compressione")</f>
        <v>Compressione</v>
      </c>
      <c r="E17" s="6" t="s">
        <v>115</v>
      </c>
      <c r="F17" s="30" t="str">
        <f>IF(D17 = "Trazione", IF(ABS(B17) &lt; Materiali!$B$22/1.2,"VERIFICA", " NON VERIFICA"), IF(B17 &lt; 0.7*Materiali!$B$16,"VERIFICA", " NON VERIFICA"))</f>
        <v>VERIFICA</v>
      </c>
      <c r="G17" s="23">
        <f>ABS(B17/IF(D17 = "Trazione",  Materiali!$B$22/1.2,  0.7*Materiali!$B$16))</f>
        <v>0.36023172854818813</v>
      </c>
    </row>
    <row r="18" spans="1:7" x14ac:dyDescent="0.25">
      <c r="A18" s="97" t="s">
        <v>117</v>
      </c>
      <c r="B18" s="97"/>
      <c r="C18" s="97"/>
      <c r="D18" s="97"/>
      <c r="E18" s="97"/>
      <c r="F18" s="97"/>
      <c r="G18" s="23"/>
    </row>
    <row r="19" spans="1:7" ht="17.25" x14ac:dyDescent="0.25">
      <c r="A19" s="6" t="s">
        <v>120</v>
      </c>
      <c r="B19" s="9">
        <f>B13*1000/'Caratteristiche trave V185'!B17 + ('fase 0 '!B13*1000*'Caratteristiche trave V185'!B25- 'fase 0 '!B4)/'Caratteristiche trave V185'!B20*'Caratteristiche trave V185'!B25</f>
        <v>10.154892921736227</v>
      </c>
      <c r="C19" s="11" t="s">
        <v>5</v>
      </c>
      <c r="D19" s="22" t="str">
        <f t="shared" ref="D19" si="4">IF(B19 &lt; 0,"Trazione","Compressione")</f>
        <v>Compressione</v>
      </c>
      <c r="E19" s="6" t="s">
        <v>115</v>
      </c>
      <c r="F19" s="30" t="str">
        <f>IF(D19 = "Trazione", IF(ABS(B19) &lt; Materiali!$B$22/1.2,"VERIFICA", " NON VERIFICA"), IF(B19 &lt; 0.7*Materiali!$B$16,"VERIFICA", " NON VERIFICA"))</f>
        <v>VERIFICA</v>
      </c>
      <c r="G19" s="23">
        <f>ABS(B19/IF(D19 = "Trazione",  Materiali!$B$22/1.2,  0.7*Materiali!$B$16))</f>
        <v>0.37023913509751044</v>
      </c>
    </row>
    <row r="20" spans="1:7" x14ac:dyDescent="0.25">
      <c r="A20" s="97" t="s">
        <v>118</v>
      </c>
      <c r="B20" s="97"/>
      <c r="C20" s="97"/>
      <c r="D20" s="97"/>
      <c r="E20" s="97"/>
      <c r="F20" s="97"/>
      <c r="G20" s="30"/>
    </row>
    <row r="21" spans="1:7" x14ac:dyDescent="0.25">
      <c r="A21" s="96" t="s">
        <v>119</v>
      </c>
      <c r="B21" s="96"/>
      <c r="C21" s="96"/>
      <c r="D21" s="96"/>
      <c r="E21" s="96"/>
      <c r="F21" s="96"/>
      <c r="G21" s="22"/>
    </row>
    <row r="22" spans="1:7" ht="17.25" x14ac:dyDescent="0.25">
      <c r="A22" s="6" t="s">
        <v>121</v>
      </c>
      <c r="B22" s="9">
        <f>B13*1000/'Caratteristiche trave V185'!B14 + 'Caratteristiche trave V185'!B16*'fase 0 '!B4*1000^2/'Caratteristiche trave V185'!B20*'Caratteristiche trave V185'!B25</f>
        <v>1223.2156915730211</v>
      </c>
      <c r="C22" s="11" t="s">
        <v>5</v>
      </c>
      <c r="D22" s="22" t="s">
        <v>97</v>
      </c>
      <c r="E22" s="6" t="s">
        <v>116</v>
      </c>
      <c r="F22" s="4" t="str">
        <f>IF(B22&lt;MIN(Materiali!B32:B33),"VERIFICA", " NON VERIFICA")</f>
        <v>VERIFICA</v>
      </c>
      <c r="G22" s="9">
        <f>B22/MIN(Materiali!B32:B33)</f>
        <v>0.82205355616466469</v>
      </c>
    </row>
  </sheetData>
  <mergeCells count="13">
    <mergeCell ref="A1:C1"/>
    <mergeCell ref="A5:C5"/>
    <mergeCell ref="I1:J1"/>
    <mergeCell ref="M1:N1"/>
    <mergeCell ref="Q1:R1"/>
    <mergeCell ref="A18:F18"/>
    <mergeCell ref="A20:F20"/>
    <mergeCell ref="A21:F21"/>
    <mergeCell ref="A8:C8"/>
    <mergeCell ref="A10:C10"/>
    <mergeCell ref="A12:C12"/>
    <mergeCell ref="A14:F14"/>
    <mergeCell ref="A16:F16"/>
  </mergeCells>
  <phoneticPr fontId="4" type="noConversion"/>
  <conditionalFormatting sqref="F22">
    <cfRule type="containsText" dxfId="160" priority="15" operator="containsText" text="NON ">
      <formula>NOT(ISERROR(SEARCH("NON ",F22)))</formula>
    </cfRule>
    <cfRule type="containsText" dxfId="159" priority="16" operator="containsText" text="VERIFICA">
      <formula>NOT(ISERROR(SEARCH("VERIFICA",F22)))</formula>
    </cfRule>
    <cfRule type="containsText" dxfId="158" priority="17" operator="containsText" text="N">
      <formula>NOT(ISERROR(SEARCH("N",F22)))</formula>
    </cfRule>
    <cfRule type="containsText" dxfId="157" priority="18" operator="containsText" text="NON VERIFICA ">
      <formula>NOT(ISERROR(SEARCH("NON VERIFICA ",F22)))</formula>
    </cfRule>
    <cfRule type="cellIs" dxfId="156" priority="19" operator="equal">
      <formula>"NON VERIFICA"</formula>
    </cfRule>
    <cfRule type="cellIs" dxfId="155" priority="20" operator="equal">
      <formula>"NON VERIFICA"</formula>
    </cfRule>
    <cfRule type="cellIs" dxfId="154" priority="21" operator="equal">
      <formula>"VERIFICA"</formula>
    </cfRule>
  </conditionalFormatting>
  <conditionalFormatting sqref="F7">
    <cfRule type="containsText" dxfId="153" priority="50" operator="containsText" text="NON ">
      <formula>NOT(ISERROR(SEARCH("NON ",F7)))</formula>
    </cfRule>
    <cfRule type="containsText" dxfId="152" priority="51" operator="containsText" text="VERIFICA">
      <formula>NOT(ISERROR(SEARCH("VERIFICA",F7)))</formula>
    </cfRule>
    <cfRule type="containsText" dxfId="151" priority="52" operator="containsText" text="N">
      <formula>NOT(ISERROR(SEARCH("N",F7)))</formula>
    </cfRule>
    <cfRule type="containsText" dxfId="150" priority="53" operator="containsText" text="NON VERIFICA ">
      <formula>NOT(ISERROR(SEARCH("NON VERIFICA ",F7)))</formula>
    </cfRule>
    <cfRule type="cellIs" dxfId="149" priority="54" operator="equal">
      <formula>"NON VERIFICA"</formula>
    </cfRule>
    <cfRule type="cellIs" dxfId="148" priority="55" operator="equal">
      <formula>"NON VERIFICA"</formula>
    </cfRule>
    <cfRule type="cellIs" dxfId="147" priority="56" operator="equal">
      <formula>"VERIFICA"</formula>
    </cfRule>
  </conditionalFormatting>
  <conditionalFormatting sqref="F15">
    <cfRule type="containsText" dxfId="146" priority="43" operator="containsText" text="NON ">
      <formula>NOT(ISERROR(SEARCH("NON ",F15)))</formula>
    </cfRule>
    <cfRule type="containsText" dxfId="145" priority="44" operator="containsText" text="VERIFICA">
      <formula>NOT(ISERROR(SEARCH("VERIFICA",F15)))</formula>
    </cfRule>
    <cfRule type="containsText" dxfId="144" priority="45" operator="containsText" text="N">
      <formula>NOT(ISERROR(SEARCH("N",F15)))</formula>
    </cfRule>
    <cfRule type="containsText" dxfId="143" priority="46" operator="containsText" text="NON VERIFICA ">
      <formula>NOT(ISERROR(SEARCH("NON VERIFICA ",F15)))</formula>
    </cfRule>
    <cfRule type="cellIs" dxfId="142" priority="47" operator="equal">
      <formula>"NON VERIFICA"</formula>
    </cfRule>
    <cfRule type="cellIs" dxfId="141" priority="48" operator="equal">
      <formula>"NON VERIFICA"</formula>
    </cfRule>
    <cfRule type="cellIs" dxfId="140" priority="49" operator="equal">
      <formula>"VERIFICA"</formula>
    </cfRule>
  </conditionalFormatting>
  <conditionalFormatting sqref="F17">
    <cfRule type="containsText" dxfId="139" priority="8" operator="containsText" text="NON ">
      <formula>NOT(ISERROR(SEARCH("NON ",F17)))</formula>
    </cfRule>
    <cfRule type="containsText" dxfId="138" priority="9" operator="containsText" text="VERIFICA">
      <formula>NOT(ISERROR(SEARCH("VERIFICA",F17)))</formula>
    </cfRule>
    <cfRule type="containsText" dxfId="137" priority="10" operator="containsText" text="N">
      <formula>NOT(ISERROR(SEARCH("N",F17)))</formula>
    </cfRule>
    <cfRule type="containsText" dxfId="136" priority="11" operator="containsText" text="NON VERIFICA ">
      <formula>NOT(ISERROR(SEARCH("NON VERIFICA ",F17)))</formula>
    </cfRule>
    <cfRule type="cellIs" dxfId="135" priority="12" operator="equal">
      <formula>"NON VERIFICA"</formula>
    </cfRule>
    <cfRule type="cellIs" dxfId="134" priority="13" operator="equal">
      <formula>"NON VERIFICA"</formula>
    </cfRule>
    <cfRule type="cellIs" dxfId="133" priority="14" operator="equal">
      <formula>"VERIFICA"</formula>
    </cfRule>
  </conditionalFormatting>
  <conditionalFormatting sqref="F19">
    <cfRule type="containsText" dxfId="132" priority="1" operator="containsText" text="NON ">
      <formula>NOT(ISERROR(SEARCH("NON ",F19)))</formula>
    </cfRule>
    <cfRule type="containsText" dxfId="131" priority="2" operator="containsText" text="VERIFICA">
      <formula>NOT(ISERROR(SEARCH("VERIFICA",F19)))</formula>
    </cfRule>
    <cfRule type="containsText" dxfId="130" priority="3" operator="containsText" text="N">
      <formula>NOT(ISERROR(SEARCH("N",F19)))</formula>
    </cfRule>
    <cfRule type="containsText" dxfId="129" priority="4" operator="containsText" text="NON VERIFICA ">
      <formula>NOT(ISERROR(SEARCH("NON VERIFICA ",F19)))</formula>
    </cfRule>
    <cfRule type="cellIs" dxfId="128" priority="5" operator="equal">
      <formula>"NON VERIFICA"</formula>
    </cfRule>
    <cfRule type="cellIs" dxfId="127" priority="6" operator="equal">
      <formula>"NON VERIFICA"</formula>
    </cfRule>
    <cfRule type="cellIs" dxfId="126" priority="7" operator="equal">
      <formula>"VERIFICA"</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7"/>
  <sheetViews>
    <sheetView topLeftCell="A7" zoomScale="70" zoomScaleNormal="70" workbookViewId="0">
      <selection activeCell="B7" sqref="B7"/>
    </sheetView>
  </sheetViews>
  <sheetFormatPr defaultRowHeight="15" x14ac:dyDescent="0.25"/>
  <cols>
    <col min="2" max="2" width="12" bestFit="1" customWidth="1"/>
    <col min="3" max="3" width="13.85546875" customWidth="1"/>
    <col min="4" max="4" width="17.85546875" customWidth="1"/>
    <col min="5" max="5" width="29.85546875" customWidth="1"/>
    <col min="6" max="6" width="28.5703125" customWidth="1"/>
  </cols>
  <sheetData>
    <row r="1" spans="1:6" x14ac:dyDescent="0.25">
      <c r="A1" s="32" t="s">
        <v>122</v>
      </c>
      <c r="B1" s="32"/>
      <c r="C1" s="32"/>
      <c r="D1" s="32"/>
    </row>
    <row r="2" spans="1:6" x14ac:dyDescent="0.25">
      <c r="A2" t="s">
        <v>123</v>
      </c>
    </row>
    <row r="4" spans="1:6" x14ac:dyDescent="0.25">
      <c r="A4" s="28" t="s">
        <v>124</v>
      </c>
      <c r="B4" s="28"/>
      <c r="C4" s="28"/>
    </row>
    <row r="5" spans="1:6" ht="18" x14ac:dyDescent="0.35">
      <c r="A5" s="22" t="s">
        <v>126</v>
      </c>
      <c r="B5" s="12">
        <f xml:space="preserve"> 25*10*0.25/4</f>
        <v>15.625</v>
      </c>
      <c r="C5" s="22" t="s">
        <v>1</v>
      </c>
    </row>
    <row r="6" spans="1:6" x14ac:dyDescent="0.25">
      <c r="A6" s="61" t="s">
        <v>37</v>
      </c>
      <c r="B6" s="61">
        <f>'fase 0 '!B3</f>
        <v>5.3</v>
      </c>
      <c r="C6" s="61" t="s">
        <v>3</v>
      </c>
      <c r="D6" t="s">
        <v>474</v>
      </c>
    </row>
    <row r="7" spans="1:6" ht="17.25" x14ac:dyDescent="0.25">
      <c r="A7" s="61" t="s">
        <v>104</v>
      </c>
      <c r="B7" s="9">
        <f>B5*0.5*(B6*'Caratteristiche trave V185'!$B$2-B6^2)</f>
        <v>1146.953125</v>
      </c>
      <c r="C7" s="61" t="s">
        <v>4</v>
      </c>
      <c r="D7" t="s">
        <v>475</v>
      </c>
    </row>
    <row r="8" spans="1:6" ht="18" x14ac:dyDescent="0.35">
      <c r="A8" s="28" t="s">
        <v>127</v>
      </c>
      <c r="B8" s="28"/>
      <c r="C8" s="28"/>
    </row>
    <row r="9" spans="1:6" ht="17.25" x14ac:dyDescent="0.25">
      <c r="A9" s="29" t="s">
        <v>138</v>
      </c>
      <c r="B9" s="22">
        <f>B7*1000^2/'Caratteristiche trave V185'!B23</f>
        <v>2.5010657275572665</v>
      </c>
      <c r="C9" s="11" t="s">
        <v>5</v>
      </c>
      <c r="D9" t="s">
        <v>128</v>
      </c>
    </row>
    <row r="10" spans="1:6" ht="17.25" x14ac:dyDescent="0.25">
      <c r="A10" s="29" t="s">
        <v>139</v>
      </c>
      <c r="B10" s="22">
        <f>-B7*1000^2/'Caratteristiche trave V185'!B22</f>
        <v>-3.4385640490549836</v>
      </c>
      <c r="C10" s="11" t="s">
        <v>5</v>
      </c>
      <c r="D10" t="s">
        <v>129</v>
      </c>
    </row>
    <row r="11" spans="1:6" ht="17.25" x14ac:dyDescent="0.25">
      <c r="A11" s="29" t="s">
        <v>132</v>
      </c>
      <c r="B11" s="22">
        <f>-B7*1000^2*'Caratteristiche trave V185'!B25/'Caratteristiche trave V185'!B20</f>
        <v>-1.1559727346451796</v>
      </c>
      <c r="C11" s="11" t="s">
        <v>5</v>
      </c>
      <c r="D11" t="s">
        <v>130</v>
      </c>
    </row>
    <row r="12" spans="1:6" ht="18" customHeight="1" x14ac:dyDescent="0.25"/>
    <row r="13" spans="1:6" ht="46.5" customHeight="1" x14ac:dyDescent="0.25">
      <c r="A13" s="101" t="s">
        <v>131</v>
      </c>
      <c r="B13" s="101"/>
      <c r="C13" s="101"/>
      <c r="D13" s="101"/>
      <c r="E13" s="101"/>
      <c r="F13" s="101"/>
    </row>
    <row r="15" spans="1:6" x14ac:dyDescent="0.25">
      <c r="A15" s="28" t="s">
        <v>134</v>
      </c>
      <c r="B15" s="28"/>
      <c r="C15" s="28"/>
      <c r="D15" s="28"/>
      <c r="E15" s="28"/>
      <c r="F15" s="39"/>
    </row>
    <row r="16" spans="1:6" x14ac:dyDescent="0.25">
      <c r="A16" s="46" t="s">
        <v>135</v>
      </c>
      <c r="B16" s="47">
        <f>'Perdite di tiro '!B94</f>
        <v>926.06163145331936</v>
      </c>
      <c r="C16" s="47" t="s">
        <v>7</v>
      </c>
      <c r="D16" s="39" t="s">
        <v>136</v>
      </c>
      <c r="E16" s="39"/>
      <c r="F16" s="39"/>
    </row>
    <row r="17" spans="1:16" ht="17.25" x14ac:dyDescent="0.25">
      <c r="A17" s="29" t="s">
        <v>138</v>
      </c>
      <c r="B17" s="9">
        <f>-B16*1000/'Caratteristiche trave V185'!B17 + B16*1000*'Caratteristiche trave V185'!B25/'Caratteristiche trave V185'!B23</f>
        <v>-0.2654755142225742</v>
      </c>
      <c r="C17" s="11" t="s">
        <v>5</v>
      </c>
      <c r="D17" s="30" t="str">
        <f>IF(B17 &lt; 0,"Trazione","Compressione")</f>
        <v>Trazione</v>
      </c>
      <c r="E17" s="39" t="s">
        <v>128</v>
      </c>
      <c r="F17" s="39"/>
    </row>
    <row r="18" spans="1:16" ht="17.25" x14ac:dyDescent="0.25">
      <c r="A18" s="29" t="s">
        <v>133</v>
      </c>
      <c r="B18" s="9">
        <f>-B16*1000/'Caratteristiche trave V185'!B17 - B16*1000*'Caratteristiche trave V185'!B25/'Caratteristiche trave V185'!B22</f>
        <v>-1.9921622030425548</v>
      </c>
      <c r="C18" s="11" t="s">
        <v>5</v>
      </c>
      <c r="D18" s="30" t="str">
        <f t="shared" ref="D18:D19" si="0">IF(B18 &lt; 0,"Trazione","Compressione")</f>
        <v>Trazione</v>
      </c>
      <c r="E18" s="39" t="s">
        <v>129</v>
      </c>
      <c r="F18" s="39"/>
      <c r="O18" s="30"/>
    </row>
    <row r="19" spans="1:16" ht="17.25" x14ac:dyDescent="0.25">
      <c r="A19" s="29" t="s">
        <v>132</v>
      </c>
      <c r="B19" s="9">
        <f>-B16*1000/'Caratteristiche trave V185'!B17 - B16*1000*'Caratteristiche trave V185'!B25^2/'Caratteristiche trave V185'!B20</f>
        <v>-1.3285989530018263</v>
      </c>
      <c r="C19" s="11" t="s">
        <v>5</v>
      </c>
      <c r="D19" s="30" t="str">
        <f t="shared" si="0"/>
        <v>Trazione</v>
      </c>
      <c r="E19" s="39" t="s">
        <v>130</v>
      </c>
      <c r="F19" s="39"/>
      <c r="O19" s="9"/>
    </row>
    <row r="21" spans="1:16" x14ac:dyDescent="0.25">
      <c r="A21" s="86" t="s">
        <v>137</v>
      </c>
      <c r="B21" s="86"/>
      <c r="C21" s="86"/>
      <c r="D21" s="86"/>
      <c r="E21" s="86"/>
      <c r="F21" s="86"/>
      <c r="G21" s="30" t="s">
        <v>230</v>
      </c>
    </row>
    <row r="22" spans="1:16" ht="17.25" x14ac:dyDescent="0.25">
      <c r="A22" s="29" t="s">
        <v>142</v>
      </c>
      <c r="B22" s="9">
        <f>'fase 0 '!B15 +'fase 1 '!B9+'fase 1 '!B17</f>
        <v>8.1533772596446532</v>
      </c>
      <c r="C22" s="11" t="s">
        <v>5</v>
      </c>
      <c r="D22" s="4" t="str">
        <f>IF(B22 &lt; 0,"Trazione","Compressione")</f>
        <v>Compressione</v>
      </c>
      <c r="E22" s="30" t="str">
        <f>IF(D22 = "Trazione", IF(ABS(B22) &lt; Materiali!$B$22/1.2,"VERIFICA", " NON VERIFICA"), IF(B22 &lt; 0.7*Materiali!$B$16,"VERIFICA", " NON VERIFICA"))</f>
        <v>VERIFICA</v>
      </c>
      <c r="F22" s="6" t="str">
        <f xml:space="preserve"> IF(D22="Trazione","ϭ &gt; fctm(t)/1.2", "ϭ &lt; 0.6fck(t)")</f>
        <v>ϭ &lt; 0.6fck(t)</v>
      </c>
      <c r="G22" s="30">
        <f>ABS(B22/IF(D22 = "Trazione",  Materiali!$B$22/1.2,  0.7*Materiali!$B$16))</f>
        <v>0.29726550225587467</v>
      </c>
    </row>
    <row r="23" spans="1:16" x14ac:dyDescent="0.25">
      <c r="A23" s="86" t="s">
        <v>140</v>
      </c>
      <c r="B23" s="86"/>
      <c r="C23" s="86"/>
      <c r="D23" s="86"/>
      <c r="E23" s="86"/>
      <c r="F23" s="86"/>
      <c r="G23" s="30"/>
    </row>
    <row r="24" spans="1:16" ht="17.25" x14ac:dyDescent="0.25">
      <c r="A24" s="29" t="s">
        <v>141</v>
      </c>
      <c r="B24" s="26">
        <f>'fase 0 '!B17 +'fase 1 '!B10+'fase 1 '!B18</f>
        <v>4.449684227619465</v>
      </c>
      <c r="C24" s="11" t="s">
        <v>5</v>
      </c>
      <c r="D24" s="4" t="str">
        <f t="shared" ref="D24" si="1">IF(B24 &lt; 0,"Trazione","Compressione")</f>
        <v>Compressione</v>
      </c>
      <c r="E24" s="30" t="str">
        <f>IF(D24 = "Trazione", IF(ABS(B24) &lt; Materiali!$B$22/1.2,"VERIFICA", " NON VERIFICA"), IF(B24 &lt; 0.7*Materiali!$B$16,"VERIFICA", " NON VERIFICA"))</f>
        <v>VERIFICA</v>
      </c>
      <c r="F24" s="6" t="str">
        <f t="shared" ref="F24:F26" si="2" xml:space="preserve"> IF(D24="Trazione","ϭ &gt; fctm(t)/1.2", "ϭ &lt; 0.6fck(t)")</f>
        <v>ϭ &lt; 0.6fck(t)</v>
      </c>
      <c r="G24" s="30">
        <f>ABS(B24/IF(D24 = "Trazione",  Materiali!$B$22/1.2,  0.7*Materiali!$B$16))</f>
        <v>0.16223186719818147</v>
      </c>
    </row>
    <row r="25" spans="1:16" x14ac:dyDescent="0.25">
      <c r="A25" s="86" t="s">
        <v>143</v>
      </c>
      <c r="B25" s="86"/>
      <c r="C25" s="86"/>
      <c r="D25" s="86"/>
      <c r="E25" s="86"/>
      <c r="F25" s="86"/>
      <c r="G25" s="30"/>
    </row>
    <row r="26" spans="1:16" ht="17.25" x14ac:dyDescent="0.25">
      <c r="A26" s="29" t="s">
        <v>144</v>
      </c>
      <c r="B26" s="26">
        <f>'fase 0 '!B19+B11+B19</f>
        <v>7.6703212340892222</v>
      </c>
      <c r="C26" s="11" t="s">
        <v>5</v>
      </c>
      <c r="D26" s="4" t="str">
        <f t="shared" ref="D26" si="3">IF(B26 &lt; 0,"Trazione","Compressione")</f>
        <v>Compressione</v>
      </c>
      <c r="E26" s="30" t="str">
        <f>IF(D26 = "Trazione", IF(ABS(B26) &lt; Materiali!$B$22/1.2,"VERIFICA", " NON VERIFICA"), IF(B26 &lt; 0.7*Materiali!$B$16,"VERIFICA", " NON VERIFICA"))</f>
        <v>VERIFICA</v>
      </c>
      <c r="F26" s="6" t="str">
        <f t="shared" si="2"/>
        <v>ϭ &lt; 0.6fck(t)</v>
      </c>
      <c r="G26" s="30">
        <f>ABS(B26/IF(D26 = "Trazione",  Materiali!$B$22/1.2,  0.7*Materiali!$B$16))</f>
        <v>0.27965367252180934</v>
      </c>
    </row>
    <row r="27" spans="1:16" x14ac:dyDescent="0.25">
      <c r="A27" s="86" t="s">
        <v>145</v>
      </c>
      <c r="B27" s="86"/>
      <c r="C27" s="86"/>
      <c r="D27" s="86"/>
      <c r="E27" s="86"/>
      <c r="F27" s="86"/>
      <c r="G27" s="30"/>
    </row>
    <row r="28" spans="1:16" x14ac:dyDescent="0.25">
      <c r="A28" s="29" t="s">
        <v>146</v>
      </c>
      <c r="B28" s="22"/>
      <c r="C28" s="22"/>
      <c r="D28" s="22"/>
      <c r="E28" s="22"/>
      <c r="F28" s="22"/>
      <c r="G28" s="30"/>
    </row>
    <row r="29" spans="1:16" ht="17.25" x14ac:dyDescent="0.25">
      <c r="A29" s="29" t="s">
        <v>147</v>
      </c>
      <c r="B29" s="22">
        <f>'fase 0 '!B22-'Caratteristiche trave V185'!B16*'fase 1 '!B19 + 'Caratteristiche trave V185'!B16*'fase 1 '!B11</f>
        <v>1224.2514488831612</v>
      </c>
      <c r="C29" s="11" t="s">
        <v>5</v>
      </c>
      <c r="D29" s="22" t="s">
        <v>97</v>
      </c>
      <c r="E29" s="4" t="str">
        <f>IF(B29&lt;MIN(Materiali!B32:B33),"VERIFICA", " NON VERIFICA")</f>
        <v>VERIFICA</v>
      </c>
      <c r="F29" s="6" t="s">
        <v>116</v>
      </c>
      <c r="G29" s="30">
        <f>B29/MIN(Materiali!B32:B33)</f>
        <v>0.82274962962578035</v>
      </c>
    </row>
    <row r="32" spans="1:16" x14ac:dyDescent="0.25">
      <c r="B32" s="100" t="s">
        <v>148</v>
      </c>
      <c r="C32" s="100"/>
      <c r="F32" s="100" t="s">
        <v>149</v>
      </c>
      <c r="G32" s="100"/>
      <c r="J32" s="100" t="s">
        <v>150</v>
      </c>
      <c r="K32" s="100"/>
      <c r="O32" s="100" t="s">
        <v>150</v>
      </c>
      <c r="P32" s="100"/>
    </row>
    <row r="33" spans="2:16" x14ac:dyDescent="0.25">
      <c r="B33" s="1" t="s">
        <v>112</v>
      </c>
      <c r="C33" s="1" t="s">
        <v>111</v>
      </c>
      <c r="F33" s="1" t="s">
        <v>112</v>
      </c>
      <c r="G33" s="1" t="s">
        <v>111</v>
      </c>
      <c r="J33" s="1" t="s">
        <v>112</v>
      </c>
      <c r="K33" s="1" t="s">
        <v>111</v>
      </c>
      <c r="O33" s="1" t="s">
        <v>112</v>
      </c>
      <c r="P33" s="1" t="s">
        <v>111</v>
      </c>
    </row>
    <row r="34" spans="2:16" x14ac:dyDescent="0.25">
      <c r="B34" s="1">
        <f>'fase 0 '!Q3</f>
        <v>0</v>
      </c>
      <c r="C34" s="1">
        <f>'fase 0 '!R3</f>
        <v>779</v>
      </c>
      <c r="F34" s="1">
        <v>0</v>
      </c>
      <c r="G34" s="1">
        <f>C34</f>
        <v>779</v>
      </c>
      <c r="J34" s="1">
        <f>B34+F34</f>
        <v>0</v>
      </c>
      <c r="K34" s="1">
        <f>G34</f>
        <v>779</v>
      </c>
      <c r="O34" s="1">
        <f>B34+F34+J34</f>
        <v>0</v>
      </c>
      <c r="P34" s="1">
        <f>G34</f>
        <v>779</v>
      </c>
    </row>
    <row r="35" spans="2:16" x14ac:dyDescent="0.25">
      <c r="B35" s="2">
        <f>'fase 0 '!Q4</f>
        <v>5.9177870463099609</v>
      </c>
      <c r="C35" s="1">
        <f>'fase 0 '!R4</f>
        <v>779</v>
      </c>
      <c r="D35" s="20"/>
      <c r="E35" s="20"/>
      <c r="F35" s="20">
        <f>B17</f>
        <v>-0.2654755142225742</v>
      </c>
      <c r="G35" s="20">
        <f t="shared" ref="G35:G37" si="4">C35</f>
        <v>779</v>
      </c>
      <c r="H35" s="20"/>
      <c r="I35" s="20"/>
      <c r="J35" s="20">
        <f>B9</f>
        <v>2.5010657275572665</v>
      </c>
      <c r="K35" s="1">
        <f t="shared" ref="K35:K37" si="5">G35</f>
        <v>779</v>
      </c>
      <c r="O35" s="2">
        <f t="shared" ref="O35:O37" si="6">B35+F35+J35</f>
        <v>8.1533772596446532</v>
      </c>
      <c r="P35" s="1">
        <f t="shared" ref="P35:P37" si="7">G35</f>
        <v>779</v>
      </c>
    </row>
    <row r="36" spans="2:16" x14ac:dyDescent="0.25">
      <c r="B36" s="2">
        <f>'fase 0 '!Q5</f>
        <v>9.8804104797170034</v>
      </c>
      <c r="C36" s="1">
        <f>'fase 0 '!R5</f>
        <v>-1071</v>
      </c>
      <c r="D36" s="20"/>
      <c r="E36" s="20"/>
      <c r="F36" s="20">
        <f>B18</f>
        <v>-1.9921622030425548</v>
      </c>
      <c r="G36" s="20">
        <f t="shared" si="4"/>
        <v>-1071</v>
      </c>
      <c r="H36" s="20"/>
      <c r="I36" s="20"/>
      <c r="J36" s="20">
        <f>B10</f>
        <v>-3.4385640490549836</v>
      </c>
      <c r="K36" s="1">
        <f t="shared" si="5"/>
        <v>-1071</v>
      </c>
      <c r="O36" s="2">
        <f t="shared" si="6"/>
        <v>4.449684227619465</v>
      </c>
      <c r="P36" s="1">
        <f t="shared" si="7"/>
        <v>-1071</v>
      </c>
    </row>
    <row r="37" spans="2:16" x14ac:dyDescent="0.25">
      <c r="B37" s="1">
        <f>'fase 0 '!Q6</f>
        <v>0</v>
      </c>
      <c r="C37" s="1">
        <f>'fase 0 '!R6</f>
        <v>-1071</v>
      </c>
      <c r="F37">
        <v>0</v>
      </c>
      <c r="G37" s="1">
        <f t="shared" si="4"/>
        <v>-1071</v>
      </c>
      <c r="J37" s="1">
        <f t="shared" ref="J37" si="8">B37+F37</f>
        <v>0</v>
      </c>
      <c r="K37" s="1">
        <f t="shared" si="5"/>
        <v>-1071</v>
      </c>
      <c r="O37" s="1">
        <f t="shared" si="6"/>
        <v>0</v>
      </c>
      <c r="P37" s="1">
        <f t="shared" si="7"/>
        <v>-1071</v>
      </c>
    </row>
  </sheetData>
  <mergeCells count="9">
    <mergeCell ref="A13:F13"/>
    <mergeCell ref="B32:C32"/>
    <mergeCell ref="F32:G32"/>
    <mergeCell ref="J32:K32"/>
    <mergeCell ref="O32:P32"/>
    <mergeCell ref="A21:F21"/>
    <mergeCell ref="A23:F23"/>
    <mergeCell ref="A25:F25"/>
    <mergeCell ref="A27:F27"/>
  </mergeCells>
  <phoneticPr fontId="4" type="noConversion"/>
  <conditionalFormatting sqref="E29">
    <cfRule type="containsText" dxfId="125" priority="36" operator="containsText" text="NON ">
      <formula>NOT(ISERROR(SEARCH("NON ",E29)))</formula>
    </cfRule>
    <cfRule type="containsText" dxfId="124" priority="37" operator="containsText" text="VERIFICA">
      <formula>NOT(ISERROR(SEARCH("VERIFICA",E29)))</formula>
    </cfRule>
    <cfRule type="containsText" dxfId="123" priority="38" operator="containsText" text="N">
      <formula>NOT(ISERROR(SEARCH("N",E29)))</formula>
    </cfRule>
    <cfRule type="containsText" dxfId="122" priority="39" operator="containsText" text="NON VERIFICA ">
      <formula>NOT(ISERROR(SEARCH("NON VERIFICA ",E29)))</formula>
    </cfRule>
    <cfRule type="cellIs" dxfId="121" priority="40" operator="equal">
      <formula>"NON VERIFICA"</formula>
    </cfRule>
    <cfRule type="cellIs" dxfId="120" priority="41" operator="equal">
      <formula>"NON VERIFICA"</formula>
    </cfRule>
    <cfRule type="cellIs" dxfId="119" priority="42" operator="equal">
      <formula>"VERIFICA"</formula>
    </cfRule>
  </conditionalFormatting>
  <conditionalFormatting sqref="E22">
    <cfRule type="containsText" dxfId="118" priority="29" operator="containsText" text="NON ">
      <formula>NOT(ISERROR(SEARCH("NON ",E22)))</formula>
    </cfRule>
    <cfRule type="containsText" dxfId="117" priority="30" operator="containsText" text="VERIFICA">
      <formula>NOT(ISERROR(SEARCH("VERIFICA",E22)))</formula>
    </cfRule>
    <cfRule type="containsText" dxfId="116" priority="31" operator="containsText" text="N">
      <formula>NOT(ISERROR(SEARCH("N",E22)))</formula>
    </cfRule>
    <cfRule type="containsText" dxfId="115" priority="32" operator="containsText" text="NON VERIFICA ">
      <formula>NOT(ISERROR(SEARCH("NON VERIFICA ",E22)))</formula>
    </cfRule>
    <cfRule type="cellIs" dxfId="114" priority="33" operator="equal">
      <formula>"NON VERIFICA"</formula>
    </cfRule>
    <cfRule type="cellIs" dxfId="113" priority="34" operator="equal">
      <formula>"NON VERIFICA"</formula>
    </cfRule>
    <cfRule type="cellIs" dxfId="112" priority="35" operator="equal">
      <formula>"VERIFICA"</formula>
    </cfRule>
  </conditionalFormatting>
  <conditionalFormatting sqref="E24">
    <cfRule type="containsText" dxfId="111" priority="8" operator="containsText" text="NON ">
      <formula>NOT(ISERROR(SEARCH("NON ",E24)))</formula>
    </cfRule>
    <cfRule type="containsText" dxfId="110" priority="9" operator="containsText" text="VERIFICA">
      <formula>NOT(ISERROR(SEARCH("VERIFICA",E24)))</formula>
    </cfRule>
    <cfRule type="containsText" dxfId="109" priority="10" operator="containsText" text="N">
      <formula>NOT(ISERROR(SEARCH("N",E24)))</formula>
    </cfRule>
    <cfRule type="containsText" dxfId="108" priority="11" operator="containsText" text="NON VERIFICA ">
      <formula>NOT(ISERROR(SEARCH("NON VERIFICA ",E24)))</formula>
    </cfRule>
    <cfRule type="cellIs" dxfId="107" priority="12" operator="equal">
      <formula>"NON VERIFICA"</formula>
    </cfRule>
    <cfRule type="cellIs" dxfId="106" priority="13" operator="equal">
      <formula>"NON VERIFICA"</formula>
    </cfRule>
    <cfRule type="cellIs" dxfId="105" priority="14" operator="equal">
      <formula>"VERIFICA"</formula>
    </cfRule>
  </conditionalFormatting>
  <conditionalFormatting sqref="E26">
    <cfRule type="containsText" dxfId="104" priority="1" operator="containsText" text="NON ">
      <formula>NOT(ISERROR(SEARCH("NON ",E26)))</formula>
    </cfRule>
    <cfRule type="containsText" dxfId="103" priority="2" operator="containsText" text="VERIFICA">
      <formula>NOT(ISERROR(SEARCH("VERIFICA",E26)))</formula>
    </cfRule>
    <cfRule type="containsText" dxfId="102" priority="3" operator="containsText" text="N">
      <formula>NOT(ISERROR(SEARCH("N",E26)))</formula>
    </cfRule>
    <cfRule type="containsText" dxfId="101" priority="4" operator="containsText" text="NON VERIFICA ">
      <formula>NOT(ISERROR(SEARCH("NON VERIFICA ",E26)))</formula>
    </cfRule>
    <cfRule type="cellIs" dxfId="100" priority="5" operator="equal">
      <formula>"NON VERIFICA"</formula>
    </cfRule>
    <cfRule type="cellIs" dxfId="99" priority="6" operator="equal">
      <formula>"NON VERIFICA"</formula>
    </cfRule>
    <cfRule type="cellIs" dxfId="98" priority="7" operator="equal">
      <formula>"VERIFICA"</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7"/>
  <sheetViews>
    <sheetView topLeftCell="A19" zoomScale="70" zoomScaleNormal="70" workbookViewId="0">
      <selection activeCell="G13" sqref="G13"/>
    </sheetView>
  </sheetViews>
  <sheetFormatPr defaultRowHeight="15" x14ac:dyDescent="0.25"/>
  <cols>
    <col min="1" max="1" width="19.140625" customWidth="1"/>
    <col min="2" max="3" width="13.5703125" customWidth="1"/>
    <col min="4" max="4" width="21.85546875" customWidth="1"/>
    <col min="5" max="5" width="22.140625" customWidth="1"/>
    <col min="6" max="6" width="26.42578125" customWidth="1"/>
  </cols>
  <sheetData>
    <row r="1" spans="1:10" x14ac:dyDescent="0.25">
      <c r="A1" s="32" t="s">
        <v>152</v>
      </c>
      <c r="B1" s="32"/>
      <c r="C1" s="32"/>
      <c r="D1" s="32"/>
    </row>
    <row r="2" spans="1:10" x14ac:dyDescent="0.25">
      <c r="A2" s="102" t="s">
        <v>190</v>
      </c>
      <c r="B2" s="102"/>
      <c r="C2" s="102"/>
    </row>
    <row r="3" spans="1:10" ht="18" x14ac:dyDescent="0.35">
      <c r="A3" s="11" t="s">
        <v>188</v>
      </c>
      <c r="B3" s="27">
        <f>(2.7+3.14)*2.5/2 + 0.7*2.5</f>
        <v>9.0500000000000007</v>
      </c>
      <c r="C3" s="11" t="s">
        <v>1</v>
      </c>
      <c r="D3" t="s">
        <v>187</v>
      </c>
    </row>
    <row r="4" spans="1:10" ht="18" x14ac:dyDescent="0.35">
      <c r="A4" s="11" t="s">
        <v>189</v>
      </c>
      <c r="B4" s="27">
        <f>(1.01+2.7)*2.5/2 +0.7*(2.5-0.7) +3.8*0.7</f>
        <v>8.5574999999999992</v>
      </c>
      <c r="C4" s="11" t="s">
        <v>1</v>
      </c>
      <c r="D4" t="s">
        <v>186</v>
      </c>
    </row>
    <row r="5" spans="1:10" x14ac:dyDescent="0.25">
      <c r="A5" s="78" t="s">
        <v>37</v>
      </c>
      <c r="B5" s="78">
        <f>'fase 0 '!B3</f>
        <v>5.3</v>
      </c>
      <c r="C5" s="78" t="s">
        <v>3</v>
      </c>
      <c r="D5" t="s">
        <v>474</v>
      </c>
    </row>
    <row r="6" spans="1:10" ht="18" x14ac:dyDescent="0.35">
      <c r="A6" s="11" t="s">
        <v>125</v>
      </c>
      <c r="B6" s="9">
        <f>MAX(B3:B4)*0.5*(B5*'Caratteristiche trave V185'!B2-'fase 2 '!B5^2)</f>
        <v>664.31525000000011</v>
      </c>
      <c r="C6" s="11" t="s">
        <v>4</v>
      </c>
      <c r="D6" t="s">
        <v>191</v>
      </c>
    </row>
    <row r="7" spans="1:10" x14ac:dyDescent="0.25">
      <c r="A7" s="102" t="s">
        <v>192</v>
      </c>
      <c r="B7" s="102"/>
      <c r="C7" s="102"/>
    </row>
    <row r="8" spans="1:10" ht="17.25" x14ac:dyDescent="0.25">
      <c r="A8" s="8" t="s">
        <v>193</v>
      </c>
      <c r="B8" s="9">
        <f>B6*1000^2/('Caratteristiche trave V185'!B40*'Caratteristiche trave V185'!B48)*'Caratteristiche trave V185'!B46</f>
        <v>0.59410416676375699</v>
      </c>
      <c r="C8" s="11" t="s">
        <v>5</v>
      </c>
      <c r="D8" t="s">
        <v>195</v>
      </c>
    </row>
    <row r="9" spans="1:10" ht="17.25" x14ac:dyDescent="0.25">
      <c r="A9" s="8" t="s">
        <v>194</v>
      </c>
      <c r="B9" s="9">
        <f>B6*1000^2/('Caratteristiche trave V185'!B40*'Caratteristiche trave V185'!B48)*'Caratteristiche trave V185'!B47</f>
        <v>0.4179166914482893</v>
      </c>
      <c r="C9" s="11" t="s">
        <v>5</v>
      </c>
      <c r="D9" t="s">
        <v>197</v>
      </c>
    </row>
    <row r="10" spans="1:10" ht="17.25" x14ac:dyDescent="0.25">
      <c r="A10" s="8" t="s">
        <v>196</v>
      </c>
      <c r="B10" s="9">
        <f>B6*1000^2/('Caratteristiche trave V185'!B48)*'Caratteristiche trave V185'!B47</f>
        <v>0.43952891149623591</v>
      </c>
      <c r="C10" s="11" t="s">
        <v>5</v>
      </c>
      <c r="D10" t="s">
        <v>198</v>
      </c>
    </row>
    <row r="11" spans="1:10" ht="17.25" x14ac:dyDescent="0.25">
      <c r="A11" s="8" t="s">
        <v>199</v>
      </c>
      <c r="B11" s="9">
        <f>-B6*1000^2/('Caratteristiche trave V185'!B48)*'Caratteristiche trave V185'!B45</f>
        <v>-0.93168270109741746</v>
      </c>
      <c r="C11" s="11" t="s">
        <v>5</v>
      </c>
      <c r="D11" t="s">
        <v>200</v>
      </c>
    </row>
    <row r="12" spans="1:10" ht="17.25" x14ac:dyDescent="0.25">
      <c r="A12" s="8" t="s">
        <v>201</v>
      </c>
      <c r="B12" s="9">
        <f>-B6*1000^2/('Caratteristiche trave V185'!B48)*'Caratteristiche trave V185'!B50</f>
        <v>-0.40472801960389759</v>
      </c>
      <c r="C12" s="11" t="s">
        <v>5</v>
      </c>
      <c r="D12" t="s">
        <v>202</v>
      </c>
    </row>
    <row r="13" spans="1:10" x14ac:dyDescent="0.25">
      <c r="A13" s="34"/>
      <c r="B13" s="36"/>
      <c r="C13" s="33"/>
    </row>
    <row r="14" spans="1:10" x14ac:dyDescent="0.25">
      <c r="A14" s="89" t="s">
        <v>208</v>
      </c>
      <c r="B14" s="90"/>
      <c r="C14" s="91"/>
      <c r="H14" s="41"/>
      <c r="I14" s="41"/>
      <c r="J14" s="41"/>
    </row>
    <row r="15" spans="1:10" ht="17.25" x14ac:dyDescent="0.25">
      <c r="A15" s="8" t="s">
        <v>207</v>
      </c>
      <c r="B15" s="27">
        <f>'Perdite di tiro '!B98</f>
        <v>-6.9996133990704585</v>
      </c>
      <c r="C15" s="11" t="s">
        <v>5</v>
      </c>
      <c r="H15" s="41"/>
      <c r="I15" s="41"/>
      <c r="J15" s="41"/>
    </row>
    <row r="16" spans="1:10" x14ac:dyDescent="0.25">
      <c r="A16" s="17" t="s">
        <v>209</v>
      </c>
      <c r="B16" s="9">
        <f>-B15*'Caratteristiche trave V185'!B33/1000</f>
        <v>4374.758374419036</v>
      </c>
      <c r="C16" s="27" t="s">
        <v>7</v>
      </c>
      <c r="H16" s="41"/>
      <c r="I16" s="41"/>
      <c r="J16" s="41"/>
    </row>
    <row r="17" spans="1:7" x14ac:dyDescent="0.25">
      <c r="A17" s="8" t="s">
        <v>210</v>
      </c>
      <c r="B17" s="9">
        <f>B16*('Caratteristiche trave V185'!B46-250)/1000</f>
        <v>2594.2317160304883</v>
      </c>
      <c r="C17" s="11" t="s">
        <v>4</v>
      </c>
      <c r="D17" s="39"/>
      <c r="E17" s="39"/>
      <c r="F17" s="39"/>
    </row>
    <row r="18" spans="1:7" ht="17.25" x14ac:dyDescent="0.25">
      <c r="A18" s="8" t="s">
        <v>193</v>
      </c>
      <c r="B18" s="9">
        <f>B16*1000/('Caratteristiche trave V185'!B40*'Caratteristiche trave V185'!B43) +B17*1000^2/('Caratteristiche trave V185'!B40*'Caratteristiche trave V185'!B48)*'Caratteristiche trave V185'!B46 + B15</f>
        <v>-1.9828174911895413</v>
      </c>
      <c r="C18" s="11" t="s">
        <v>5</v>
      </c>
      <c r="D18" s="40" t="str">
        <f>IF(B18 &lt; 0,"Trazione","Compressione")</f>
        <v>Trazione</v>
      </c>
      <c r="E18" t="s">
        <v>195</v>
      </c>
      <c r="F18" s="39"/>
    </row>
    <row r="19" spans="1:7" ht="17.25" x14ac:dyDescent="0.25">
      <c r="A19" s="8" t="s">
        <v>194</v>
      </c>
      <c r="B19" s="38">
        <f>B16*1000/('Caratteristiche trave V185'!B40*'Caratteristiche trave V185'!B43) +B17*1000^2/('Caratteristiche trave V185'!B40*'Caratteristiche trave V185'!B48)*'Caratteristiche trave V185'!B47 + B15</f>
        <v>-2.6708509759405317</v>
      </c>
      <c r="C19" s="11" t="s">
        <v>5</v>
      </c>
      <c r="D19" s="40" t="str">
        <f t="shared" ref="D19:D22" si="0">IF(B19 &lt; 0,"Trazione","Compressione")</f>
        <v>Trazione</v>
      </c>
      <c r="E19" t="s">
        <v>197</v>
      </c>
      <c r="F19" s="39"/>
    </row>
    <row r="20" spans="1:7" ht="17.25" x14ac:dyDescent="0.25">
      <c r="A20" s="8" t="s">
        <v>196</v>
      </c>
      <c r="B20" s="9">
        <f>B16*1000/('Caratteristiche trave V185'!B43) +B17*1000^2/('Caratteristiche trave V185'!B48)*'Caratteristiche trave V185'!B47</f>
        <v>4.5526208330435267</v>
      </c>
      <c r="C20" s="11" t="s">
        <v>5</v>
      </c>
      <c r="D20" s="40" t="str">
        <f t="shared" si="0"/>
        <v>Compressione</v>
      </c>
      <c r="E20" t="s">
        <v>198</v>
      </c>
      <c r="F20" s="39"/>
    </row>
    <row r="21" spans="1:7" ht="17.25" x14ac:dyDescent="0.25">
      <c r="A21" s="8" t="s">
        <v>199</v>
      </c>
      <c r="B21" s="9">
        <f>B16*1000/('Caratteristiche trave V185'!B43) -B17*1000^2/('Caratteristiche trave V185'!B48)*'Caratteristiche trave V185'!B45</f>
        <v>-0.80212701412657195</v>
      </c>
      <c r="C21" s="11" t="s">
        <v>5</v>
      </c>
      <c r="D21" s="40" t="str">
        <f t="shared" si="0"/>
        <v>Trazione</v>
      </c>
      <c r="E21" t="s">
        <v>200</v>
      </c>
      <c r="F21" s="39"/>
    </row>
    <row r="22" spans="1:7" ht="17.25" x14ac:dyDescent="0.25">
      <c r="A22" s="8" t="s">
        <v>214</v>
      </c>
      <c r="B22" s="9">
        <f>B16*1000/('Caratteristiche trave V185'!B43) -B17*1000^2/('Caratteristiche trave V185'!B48)*('Caratteristiche trave V185'!B45-'Caratteristiche trave V185'!B24)</f>
        <v>1.255695002816789</v>
      </c>
      <c r="C22" s="11" t="s">
        <v>5</v>
      </c>
      <c r="D22" s="40" t="str">
        <f t="shared" si="0"/>
        <v>Compressione</v>
      </c>
      <c r="E22" t="s">
        <v>202</v>
      </c>
      <c r="F22" s="39"/>
    </row>
    <row r="23" spans="1:7" x14ac:dyDescent="0.25">
      <c r="D23" s="41"/>
      <c r="E23" s="41"/>
      <c r="F23" s="41"/>
    </row>
    <row r="24" spans="1:7" x14ac:dyDescent="0.25">
      <c r="A24" s="28" t="s">
        <v>134</v>
      </c>
      <c r="B24" s="28"/>
      <c r="C24" s="42"/>
      <c r="D24" s="41"/>
      <c r="E24" s="41"/>
      <c r="F24" s="41"/>
    </row>
    <row r="25" spans="1:7" x14ac:dyDescent="0.25">
      <c r="A25" s="17" t="s">
        <v>135</v>
      </c>
      <c r="B25" s="27">
        <f>'Perdite di tiro '!B112</f>
        <v>42.791263124978038</v>
      </c>
      <c r="C25" s="27" t="s">
        <v>7</v>
      </c>
      <c r="D25" s="41" t="s">
        <v>136</v>
      </c>
      <c r="E25" s="41"/>
      <c r="F25" s="41"/>
    </row>
    <row r="26" spans="1:7" ht="17.25" x14ac:dyDescent="0.25">
      <c r="A26" s="8" t="s">
        <v>193</v>
      </c>
      <c r="B26" s="9">
        <f>-B25*1000/('Caratteristiche trave V185'!B40*'Caratteristiche trave V185'!B43) +B25*1000*'Caratteristiche trave V185'!B50/('Caratteristiche trave V185'!B40*'Caratteristiche trave V185'!B48)*'Caratteristiche trave V185'!B46</f>
        <v>-5.4814404419609476E-3</v>
      </c>
      <c r="C26" s="11" t="s">
        <v>5</v>
      </c>
      <c r="D26" s="33" t="str">
        <f>IF(B26 &lt; 0,"Trazione","Compressione")</f>
        <v>Trazione</v>
      </c>
      <c r="E26" t="s">
        <v>215</v>
      </c>
      <c r="F26" s="41"/>
    </row>
    <row r="27" spans="1:7" ht="17.25" x14ac:dyDescent="0.25">
      <c r="A27" s="8" t="s">
        <v>194</v>
      </c>
      <c r="B27" s="38">
        <f>-B25*1000/('Caratteristiche trave V185'!B40*'Caratteristiche trave V185'!B43) +B25*1000*'Caratteristiche trave V185'!B50/('Caratteristiche trave V185'!B40*'Caratteristiche trave V185'!B48)*'Caratteristiche trave V185'!B47</f>
        <v>-1.1678510904581343E-2</v>
      </c>
      <c r="C27" s="11" t="s">
        <v>5</v>
      </c>
      <c r="D27" s="33" t="str">
        <f t="shared" ref="D27:D30" si="1">IF(B27 &lt; 0,"Trazione","Compressione")</f>
        <v>Trazione</v>
      </c>
      <c r="E27" t="s">
        <v>197</v>
      </c>
      <c r="F27" s="41"/>
    </row>
    <row r="28" spans="1:7" ht="17.25" x14ac:dyDescent="0.25">
      <c r="A28" s="8" t="s">
        <v>196</v>
      </c>
      <c r="B28" s="37">
        <f>-B25*1000/('Caratteristiche trave V185'!B43) +B25*1000*'Caratteristiche trave V185'!B50/('Caratteristiche trave V185'!B48)*'Caratteristiche trave V185'!B47</f>
        <v>-1.2282455548733915E-2</v>
      </c>
      <c r="C28" s="11" t="s">
        <v>5</v>
      </c>
      <c r="D28" s="33" t="str">
        <f t="shared" si="1"/>
        <v>Trazione</v>
      </c>
      <c r="E28" t="s">
        <v>216</v>
      </c>
      <c r="F28" s="41"/>
    </row>
    <row r="29" spans="1:7" ht="17.25" x14ac:dyDescent="0.25">
      <c r="A29" s="8" t="s">
        <v>199</v>
      </c>
      <c r="B29" s="9">
        <f>-B25*1000/('Caratteristiche trave V185'!B43) -B25*1000*'Caratteristiche trave V185'!B50/('Caratteristiche trave V185'!B48)*'Caratteristiche trave V185'!B45</f>
        <v>-6.0512302574983953E-2</v>
      </c>
      <c r="C29" s="11" t="s">
        <v>5</v>
      </c>
      <c r="D29" s="33" t="str">
        <f t="shared" si="1"/>
        <v>Trazione</v>
      </c>
      <c r="E29" t="s">
        <v>217</v>
      </c>
      <c r="F29" s="41"/>
    </row>
    <row r="30" spans="1:7" ht="17.25" x14ac:dyDescent="0.25">
      <c r="A30" s="8" t="s">
        <v>201</v>
      </c>
      <c r="B30" s="9">
        <f>-B25*1000/('Caratteristiche trave V185'!B43) -B25*1000*'Caratteristiche trave V185'!B50/('Caratteristiche trave V185'!B48)*('Caratteristiche trave V185'!B45-'Caratteristiche trave V185'!B24)</f>
        <v>-4.1977640641858771E-2</v>
      </c>
      <c r="C30" s="11" t="s">
        <v>5</v>
      </c>
      <c r="D30" s="33" t="str">
        <f t="shared" si="1"/>
        <v>Trazione</v>
      </c>
      <c r="E30" t="s">
        <v>218</v>
      </c>
    </row>
    <row r="32" spans="1:7" x14ac:dyDescent="0.25">
      <c r="A32" s="86" t="s">
        <v>221</v>
      </c>
      <c r="B32" s="86"/>
      <c r="C32" s="86"/>
      <c r="D32" s="86"/>
      <c r="E32" s="86"/>
      <c r="F32" s="86"/>
      <c r="G32" s="30" t="s">
        <v>230</v>
      </c>
    </row>
    <row r="33" spans="1:7" ht="17.25" x14ac:dyDescent="0.25">
      <c r="A33" s="17" t="s">
        <v>225</v>
      </c>
      <c r="B33" s="9">
        <f>G51</f>
        <v>-1.3941947648677453</v>
      </c>
      <c r="C33" s="11" t="s">
        <v>5</v>
      </c>
      <c r="D33" s="30" t="str">
        <f>IF(B33 &lt; 0,"Trazione","Compressione")</f>
        <v>Trazione</v>
      </c>
      <c r="E33" s="30" t="str">
        <f>IF(D33 = "Trazione", IF(ABS(B33) &lt; Materiali!$B$22/1.2,"VERIFICA", " NON VERIFICA"), IF(B33 &lt; 0.7*Materiali!$B$16,"VERIFICA", " NON VERIFICA"))</f>
        <v>VERIFICA</v>
      </c>
      <c r="F33" s="6" t="str">
        <f xml:space="preserve"> IF(D33="Trazione","ϭ &gt; fctm(t)/1.2", "ϭ &lt; 0.6fck(t)")</f>
        <v>ϭ &gt; fctm(t)/1.2</v>
      </c>
      <c r="G33" s="30">
        <f>ABS(B33/IF(D33 = "Trazione",  Materiali!$B$22/1.2,  0.7*Materiali!$B$16))</f>
        <v>0.50866912836519074</v>
      </c>
    </row>
    <row r="34" spans="1:7" x14ac:dyDescent="0.25">
      <c r="A34" s="86" t="s">
        <v>220</v>
      </c>
      <c r="B34" s="86"/>
      <c r="C34" s="86"/>
      <c r="D34" s="86"/>
      <c r="E34" s="86"/>
      <c r="F34" s="86"/>
      <c r="G34" s="30"/>
    </row>
    <row r="35" spans="1:7" ht="17.25" x14ac:dyDescent="0.25">
      <c r="A35" s="17" t="s">
        <v>226</v>
      </c>
      <c r="B35" s="9">
        <f>G52</f>
        <v>-2.2646127953968236</v>
      </c>
      <c r="C35" s="11" t="s">
        <v>5</v>
      </c>
      <c r="D35" s="30" t="str">
        <f t="shared" ref="D35" si="2">IF(B35 &lt; 0,"Trazione","Compressione")</f>
        <v>Trazione</v>
      </c>
      <c r="E35" s="30" t="str">
        <f>IF(D35 = "Trazione", IF(ABS(B35) &lt; Materiali!$B$22/1.2,"VERIFICA", " NON VERIFICA"), IF(B35 &lt; 0.7*Materiali!$B$16,"VERIFICA", " NON VERIFICA"))</f>
        <v>VERIFICA</v>
      </c>
      <c r="F35" s="6" t="str">
        <f t="shared" ref="F35:F39" si="3" xml:space="preserve"> IF(D35="Trazione","ϭ &gt; fctm(t)/1.2", "ϭ &lt; 0.6fck(t)")</f>
        <v>ϭ &gt; fctm(t)/1.2</v>
      </c>
      <c r="G35" s="30">
        <f>ABS(B35/IF(D35 = "Trazione",  Materiali!$B$22/1.2,  0.7*Materiali!$B$16))</f>
        <v>0.82623937899267197</v>
      </c>
    </row>
    <row r="36" spans="1:7" x14ac:dyDescent="0.25">
      <c r="A36" s="86" t="s">
        <v>222</v>
      </c>
      <c r="B36" s="86"/>
      <c r="C36" s="86"/>
      <c r="D36" s="86"/>
      <c r="E36" s="86"/>
      <c r="F36" s="86"/>
      <c r="G36" s="30"/>
    </row>
    <row r="37" spans="1:7" ht="17.25" x14ac:dyDescent="0.25">
      <c r="A37" s="17" t="s">
        <v>227</v>
      </c>
      <c r="B37" s="9">
        <f>G55</f>
        <v>13.133244548635682</v>
      </c>
      <c r="C37" s="11" t="s">
        <v>5</v>
      </c>
      <c r="D37" s="30" t="str">
        <f t="shared" ref="D37:D39" si="4">IF(B37 &lt; 0,"Trazione","Compressione")</f>
        <v>Compressione</v>
      </c>
      <c r="E37" s="30" t="str">
        <f>IF(D37 = "Trazione", IF(ABS(B37) &lt; Materiali!$B$22/1.2,"VERIFICA", " NON VERIFICA"), IF(B37 &lt; 0.7*Materiali!$B$16,"VERIFICA", " NON VERIFICA"))</f>
        <v>VERIFICA</v>
      </c>
      <c r="F37" s="6" t="str">
        <f t="shared" si="3"/>
        <v>ϭ &lt; 0.6fck(t)</v>
      </c>
      <c r="G37" s="30">
        <f>ABS(B37/IF(D37 = "Trazione",  Materiali!$B$22/1.2,  0.7*Materiali!$B$16))</f>
        <v>0.47882741257695266</v>
      </c>
    </row>
    <row r="38" spans="1:7" x14ac:dyDescent="0.25">
      <c r="A38" s="86" t="s">
        <v>223</v>
      </c>
      <c r="B38" s="86"/>
      <c r="C38" s="86"/>
      <c r="D38" s="86"/>
      <c r="E38" s="86"/>
      <c r="F38" s="86"/>
      <c r="G38" s="30"/>
    </row>
    <row r="39" spans="1:7" ht="17.25" x14ac:dyDescent="0.25">
      <c r="A39" s="17" t="s">
        <v>228</v>
      </c>
      <c r="B39" s="9">
        <f>G56</f>
        <v>2.6553622098204919</v>
      </c>
      <c r="C39" s="11" t="s">
        <v>5</v>
      </c>
      <c r="D39" s="30" t="str">
        <f t="shared" si="4"/>
        <v>Compressione</v>
      </c>
      <c r="E39" s="30" t="str">
        <f>IF(D39 = "Trazione", IF(ABS(B39) &lt; Materiali!$B$22/1.2,"VERIFICA", " NON VERIFICA"), IF(B39 &lt; 0.7*Materiali!$B$16,"VERIFICA", " NON VERIFICA"))</f>
        <v>VERIFICA</v>
      </c>
      <c r="F39" s="6" t="str">
        <f t="shared" si="3"/>
        <v>ϭ &lt; 0.6fck(t)</v>
      </c>
      <c r="G39" s="30">
        <f>ABS(B39/IF(D39 = "Trazione",  Materiali!$B$22/1.2,  0.7*Materiali!$B$16))</f>
        <v>9.681234607902342E-2</v>
      </c>
    </row>
    <row r="40" spans="1:7" x14ac:dyDescent="0.25">
      <c r="A40" s="86" t="s">
        <v>237</v>
      </c>
      <c r="B40" s="86"/>
      <c r="C40" s="86"/>
      <c r="D40" s="86"/>
      <c r="E40" s="86"/>
      <c r="F40" s="86"/>
      <c r="G40" s="30"/>
    </row>
    <row r="41" spans="1:7" x14ac:dyDescent="0.25">
      <c r="A41" s="103" t="s">
        <v>231</v>
      </c>
      <c r="B41" s="104"/>
      <c r="C41" s="104"/>
      <c r="D41" s="104"/>
      <c r="E41" s="104"/>
      <c r="F41" s="105"/>
      <c r="G41" s="30"/>
    </row>
    <row r="42" spans="1:7" ht="17.25" x14ac:dyDescent="0.25">
      <c r="A42" s="17" t="s">
        <v>229</v>
      </c>
      <c r="B42" s="9">
        <f>ABS(B30+B22+B12)*'Caratteristiche trave V185'!B39 +'fase 1 '!B29</f>
        <v>1229.1053849385873</v>
      </c>
      <c r="C42" s="11" t="s">
        <v>5</v>
      </c>
      <c r="D42" s="30" t="s">
        <v>97</v>
      </c>
      <c r="E42" s="30" t="str">
        <f>IF(B42&lt;MIN(Materiali!B32:B33),"VERIFICA", " NON VERIFICA")</f>
        <v>VERIFICA</v>
      </c>
      <c r="F42" s="6" t="s">
        <v>116</v>
      </c>
      <c r="G42" s="9">
        <f>B42/MIN(Materiali!B32:B33)</f>
        <v>0.82601168342647002</v>
      </c>
    </row>
    <row r="43" spans="1:7" x14ac:dyDescent="0.25">
      <c r="G43" s="36"/>
    </row>
    <row r="44" spans="1:7" x14ac:dyDescent="0.25">
      <c r="A44" s="52"/>
      <c r="B44" s="36"/>
      <c r="C44" s="33"/>
      <c r="D44" s="40"/>
      <c r="E44" s="40"/>
      <c r="F44" s="45"/>
      <c r="G44" s="36"/>
    </row>
    <row r="45" spans="1:7" x14ac:dyDescent="0.25">
      <c r="A45" s="52"/>
      <c r="B45" s="36"/>
      <c r="C45" s="33"/>
      <c r="D45" s="40"/>
      <c r="E45" s="40"/>
      <c r="F45" s="45"/>
      <c r="G45" s="36"/>
    </row>
    <row r="46" spans="1:7" x14ac:dyDescent="0.25">
      <c r="A46" s="44"/>
      <c r="B46" s="39"/>
      <c r="C46" s="33"/>
      <c r="D46" s="39"/>
      <c r="E46" s="40"/>
      <c r="F46" s="45"/>
    </row>
    <row r="48" spans="1:7" x14ac:dyDescent="0.25">
      <c r="C48" s="27" t="s">
        <v>205</v>
      </c>
      <c r="D48" s="27" t="s">
        <v>212</v>
      </c>
      <c r="E48" s="27" t="s">
        <v>211</v>
      </c>
      <c r="F48" s="27" t="s">
        <v>213</v>
      </c>
    </row>
    <row r="49" spans="1:7" x14ac:dyDescent="0.25">
      <c r="A49" s="27" t="s">
        <v>203</v>
      </c>
      <c r="B49" s="27" t="s">
        <v>204</v>
      </c>
      <c r="C49" s="35" t="s">
        <v>206</v>
      </c>
      <c r="D49" s="35" t="s">
        <v>206</v>
      </c>
      <c r="E49" s="35" t="s">
        <v>206</v>
      </c>
      <c r="F49" s="35" t="s">
        <v>206</v>
      </c>
      <c r="G49" s="35" t="s">
        <v>219</v>
      </c>
    </row>
    <row r="50" spans="1:7" x14ac:dyDescent="0.25">
      <c r="A50" s="27">
        <v>1</v>
      </c>
      <c r="B50" s="27">
        <f>B52+250</f>
        <v>1029</v>
      </c>
      <c r="C50" s="9">
        <v>0</v>
      </c>
      <c r="D50" s="27">
        <v>0</v>
      </c>
      <c r="E50" s="27">
        <v>0</v>
      </c>
      <c r="F50" s="27">
        <v>0</v>
      </c>
      <c r="G50" s="9">
        <f>SUM(C50:F50)</f>
        <v>0</v>
      </c>
    </row>
    <row r="51" spans="1:7" x14ac:dyDescent="0.25">
      <c r="A51" s="27">
        <v>2</v>
      </c>
      <c r="B51" s="27">
        <f>B52+250</f>
        <v>1029</v>
      </c>
      <c r="C51" s="9">
        <v>0</v>
      </c>
      <c r="D51" s="9">
        <f>B8</f>
        <v>0.59410416676375699</v>
      </c>
      <c r="E51" s="13">
        <f>B18</f>
        <v>-1.9828174911895413</v>
      </c>
      <c r="F51" s="9">
        <f>B26</f>
        <v>-5.4814404419609476E-3</v>
      </c>
      <c r="G51" s="9">
        <f t="shared" ref="G51:G57" si="5">SUM(C51:F51)</f>
        <v>-1.3941947648677453</v>
      </c>
    </row>
    <row r="52" spans="1:7" x14ac:dyDescent="0.25">
      <c r="A52" s="27">
        <v>3</v>
      </c>
      <c r="B52" s="27">
        <f>B54</f>
        <v>779</v>
      </c>
      <c r="C52" s="9">
        <v>0</v>
      </c>
      <c r="D52" s="9">
        <f>B9</f>
        <v>0.4179166914482893</v>
      </c>
      <c r="E52" s="13">
        <f>B19</f>
        <v>-2.6708509759405317</v>
      </c>
      <c r="F52" s="38">
        <f>B27</f>
        <v>-1.1678510904581343E-2</v>
      </c>
      <c r="G52" s="9">
        <f t="shared" si="5"/>
        <v>-2.2646127953968236</v>
      </c>
    </row>
    <row r="53" spans="1:7" x14ac:dyDescent="0.25">
      <c r="A53" s="27">
        <v>4</v>
      </c>
      <c r="B53" s="27">
        <f>B54</f>
        <v>779</v>
      </c>
      <c r="C53" s="9">
        <v>0</v>
      </c>
      <c r="D53" s="9">
        <f>B10</f>
        <v>0.43952891149623591</v>
      </c>
      <c r="E53" s="13">
        <v>0</v>
      </c>
      <c r="F53" s="27">
        <v>0</v>
      </c>
      <c r="G53" s="9">
        <f t="shared" si="5"/>
        <v>0.43952891149623591</v>
      </c>
    </row>
    <row r="54" spans="1:7" x14ac:dyDescent="0.25">
      <c r="A54" s="27">
        <v>5</v>
      </c>
      <c r="B54" s="27">
        <f>'fase 1 '!P34</f>
        <v>779</v>
      </c>
      <c r="C54" s="9">
        <f>'fase 1 '!O34</f>
        <v>0</v>
      </c>
      <c r="D54" s="9">
        <f>D53</f>
        <v>0.43952891149623591</v>
      </c>
      <c r="E54" s="13">
        <v>0</v>
      </c>
      <c r="F54" s="27">
        <v>0</v>
      </c>
      <c r="G54" s="9">
        <f t="shared" si="5"/>
        <v>0.43952891149623591</v>
      </c>
    </row>
    <row r="55" spans="1:7" x14ac:dyDescent="0.25">
      <c r="A55" s="27">
        <v>6</v>
      </c>
      <c r="B55" s="27">
        <f>'fase 1 '!P35</f>
        <v>779</v>
      </c>
      <c r="C55" s="9">
        <f>'fase 1 '!O35</f>
        <v>8.1533772596446532</v>
      </c>
      <c r="D55" s="9">
        <f>D54</f>
        <v>0.43952891149623591</v>
      </c>
      <c r="E55" s="13">
        <f>B20</f>
        <v>4.5526208330435267</v>
      </c>
      <c r="F55" s="37">
        <f>B28</f>
        <v>-1.2282455548733915E-2</v>
      </c>
      <c r="G55" s="9">
        <f t="shared" si="5"/>
        <v>13.133244548635682</v>
      </c>
    </row>
    <row r="56" spans="1:7" x14ac:dyDescent="0.25">
      <c r="A56" s="27">
        <v>7</v>
      </c>
      <c r="B56" s="27">
        <f>'fase 1 '!P36</f>
        <v>-1071</v>
      </c>
      <c r="C56" s="9">
        <f>'fase 1 '!O36</f>
        <v>4.449684227619465</v>
      </c>
      <c r="D56" s="9">
        <f>B11</f>
        <v>-0.93168270109741746</v>
      </c>
      <c r="E56" s="13">
        <f>B21</f>
        <v>-0.80212701412657195</v>
      </c>
      <c r="F56" s="9">
        <f>B29</f>
        <v>-6.0512302574983953E-2</v>
      </c>
      <c r="G56" s="9">
        <f t="shared" si="5"/>
        <v>2.6553622098204919</v>
      </c>
    </row>
    <row r="57" spans="1:7" x14ac:dyDescent="0.25">
      <c r="A57" s="27">
        <v>8</v>
      </c>
      <c r="B57" s="27">
        <f>'fase 1 '!P37</f>
        <v>-1071</v>
      </c>
      <c r="C57" s="9">
        <f>'fase 1 '!O37</f>
        <v>0</v>
      </c>
      <c r="D57" s="9">
        <v>0</v>
      </c>
      <c r="E57" s="27">
        <v>0</v>
      </c>
      <c r="F57" s="27">
        <v>0</v>
      </c>
      <c r="G57" s="9">
        <f t="shared" si="5"/>
        <v>0</v>
      </c>
    </row>
  </sheetData>
  <mergeCells count="9">
    <mergeCell ref="A2:C2"/>
    <mergeCell ref="A7:C7"/>
    <mergeCell ref="A14:C14"/>
    <mergeCell ref="A41:F41"/>
    <mergeCell ref="A32:F32"/>
    <mergeCell ref="A34:F34"/>
    <mergeCell ref="A36:F36"/>
    <mergeCell ref="A38:F38"/>
    <mergeCell ref="A40:F40"/>
  </mergeCells>
  <phoneticPr fontId="4" type="noConversion"/>
  <conditionalFormatting sqref="E42 E44:E45">
    <cfRule type="containsText" dxfId="97" priority="36" operator="containsText" text="NON ">
      <formula>NOT(ISERROR(SEARCH("NON ",E42)))</formula>
    </cfRule>
    <cfRule type="containsText" dxfId="96" priority="37" operator="containsText" text="VERIFICA">
      <formula>NOT(ISERROR(SEARCH("VERIFICA",E42)))</formula>
    </cfRule>
    <cfRule type="containsText" dxfId="95" priority="38" operator="containsText" text="N">
      <formula>NOT(ISERROR(SEARCH("N",E42)))</formula>
    </cfRule>
    <cfRule type="containsText" dxfId="94" priority="39" operator="containsText" text="NON VERIFICA ">
      <formula>NOT(ISERROR(SEARCH("NON VERIFICA ",E42)))</formula>
    </cfRule>
    <cfRule type="cellIs" dxfId="93" priority="40" operator="equal">
      <formula>"NON VERIFICA"</formula>
    </cfRule>
    <cfRule type="cellIs" dxfId="92" priority="41" operator="equal">
      <formula>"NON VERIFICA"</formula>
    </cfRule>
    <cfRule type="cellIs" dxfId="91" priority="42" operator="equal">
      <formula>"VERIFICA"</formula>
    </cfRule>
  </conditionalFormatting>
  <conditionalFormatting sqref="E46">
    <cfRule type="containsText" dxfId="90" priority="43" operator="containsText" text="NON ">
      <formula>NOT(ISERROR(SEARCH("NON ",E46)))</formula>
    </cfRule>
    <cfRule type="containsText" dxfId="89" priority="44" operator="containsText" text="VERIFICA">
      <formula>NOT(ISERROR(SEARCH("VERIFICA",E46)))</formula>
    </cfRule>
    <cfRule type="containsText" dxfId="88" priority="45" operator="containsText" text="N">
      <formula>NOT(ISERROR(SEARCH("N",E46)))</formula>
    </cfRule>
    <cfRule type="containsText" dxfId="87" priority="46" operator="containsText" text="NON VERIFICA ">
      <formula>NOT(ISERROR(SEARCH("NON VERIFICA ",E46)))</formula>
    </cfRule>
    <cfRule type="cellIs" dxfId="86" priority="47" operator="equal">
      <formula>"NON VERIFICA"</formula>
    </cfRule>
    <cfRule type="cellIs" dxfId="85" priority="48" operator="equal">
      <formula>"NON VERIFICA"</formula>
    </cfRule>
    <cfRule type="cellIs" dxfId="84" priority="49" operator="equal">
      <formula>"VERIFICA"</formula>
    </cfRule>
  </conditionalFormatting>
  <conditionalFormatting sqref="E33">
    <cfRule type="containsText" dxfId="83" priority="22" operator="containsText" text="NON ">
      <formula>NOT(ISERROR(SEARCH("NON ",E33)))</formula>
    </cfRule>
    <cfRule type="containsText" dxfId="82" priority="23" operator="containsText" text="VERIFICA">
      <formula>NOT(ISERROR(SEARCH("VERIFICA",E33)))</formula>
    </cfRule>
    <cfRule type="containsText" dxfId="81" priority="24" operator="containsText" text="N">
      <formula>NOT(ISERROR(SEARCH("N",E33)))</formula>
    </cfRule>
    <cfRule type="containsText" dxfId="80" priority="25" operator="containsText" text="NON VERIFICA ">
      <formula>NOT(ISERROR(SEARCH("NON VERIFICA ",E33)))</formula>
    </cfRule>
    <cfRule type="cellIs" dxfId="79" priority="26" operator="equal">
      <formula>"NON VERIFICA"</formula>
    </cfRule>
    <cfRule type="cellIs" dxfId="78" priority="27" operator="equal">
      <formula>"NON VERIFICA"</formula>
    </cfRule>
    <cfRule type="cellIs" dxfId="77" priority="28" operator="equal">
      <formula>"VERIFICA"</formula>
    </cfRule>
  </conditionalFormatting>
  <conditionalFormatting sqref="E35">
    <cfRule type="containsText" dxfId="76" priority="15" operator="containsText" text="NON ">
      <formula>NOT(ISERROR(SEARCH("NON ",E35)))</formula>
    </cfRule>
    <cfRule type="containsText" dxfId="75" priority="16" operator="containsText" text="VERIFICA">
      <formula>NOT(ISERROR(SEARCH("VERIFICA",E35)))</formula>
    </cfRule>
    <cfRule type="containsText" dxfId="74" priority="17" operator="containsText" text="N">
      <formula>NOT(ISERROR(SEARCH("N",E35)))</formula>
    </cfRule>
    <cfRule type="containsText" dxfId="73" priority="18" operator="containsText" text="NON VERIFICA ">
      <formula>NOT(ISERROR(SEARCH("NON VERIFICA ",E35)))</formula>
    </cfRule>
    <cfRule type="cellIs" dxfId="72" priority="19" operator="equal">
      <formula>"NON VERIFICA"</formula>
    </cfRule>
    <cfRule type="cellIs" dxfId="71" priority="20" operator="equal">
      <formula>"NON VERIFICA"</formula>
    </cfRule>
    <cfRule type="cellIs" dxfId="70" priority="21" operator="equal">
      <formula>"VERIFICA"</formula>
    </cfRule>
  </conditionalFormatting>
  <conditionalFormatting sqref="E37">
    <cfRule type="containsText" dxfId="69" priority="8" operator="containsText" text="NON ">
      <formula>NOT(ISERROR(SEARCH("NON ",E37)))</formula>
    </cfRule>
    <cfRule type="containsText" dxfId="68" priority="9" operator="containsText" text="VERIFICA">
      <formula>NOT(ISERROR(SEARCH("VERIFICA",E37)))</formula>
    </cfRule>
    <cfRule type="containsText" dxfId="67" priority="10" operator="containsText" text="N">
      <formula>NOT(ISERROR(SEARCH("N",E37)))</formula>
    </cfRule>
    <cfRule type="containsText" dxfId="66" priority="11" operator="containsText" text="NON VERIFICA ">
      <formula>NOT(ISERROR(SEARCH("NON VERIFICA ",E37)))</formula>
    </cfRule>
    <cfRule type="cellIs" dxfId="65" priority="12" operator="equal">
      <formula>"NON VERIFICA"</formula>
    </cfRule>
    <cfRule type="cellIs" dxfId="64" priority="13" operator="equal">
      <formula>"NON VERIFICA"</formula>
    </cfRule>
    <cfRule type="cellIs" dxfId="63" priority="14" operator="equal">
      <formula>"VERIFICA"</formula>
    </cfRule>
  </conditionalFormatting>
  <conditionalFormatting sqref="E39">
    <cfRule type="containsText" dxfId="62" priority="1" operator="containsText" text="NON ">
      <formula>NOT(ISERROR(SEARCH("NON ",E39)))</formula>
    </cfRule>
    <cfRule type="containsText" dxfId="61" priority="2" operator="containsText" text="VERIFICA">
      <formula>NOT(ISERROR(SEARCH("VERIFICA",E39)))</formula>
    </cfRule>
    <cfRule type="containsText" dxfId="60" priority="3" operator="containsText" text="N">
      <formula>NOT(ISERROR(SEARCH("N",E39)))</formula>
    </cfRule>
    <cfRule type="containsText" dxfId="59" priority="4" operator="containsText" text="NON VERIFICA ">
      <formula>NOT(ISERROR(SEARCH("NON VERIFICA ",E39)))</formula>
    </cfRule>
    <cfRule type="cellIs" dxfId="58" priority="5" operator="equal">
      <formula>"NON VERIFICA"</formula>
    </cfRule>
    <cfRule type="cellIs" dxfId="57" priority="6" operator="equal">
      <formula>"NON VERIFICA"</formula>
    </cfRule>
    <cfRule type="cellIs" dxfId="56" priority="7" operator="equal">
      <formula>"VERIFICA"</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8"/>
  <sheetViews>
    <sheetView zoomScale="70" zoomScaleNormal="70" workbookViewId="0">
      <selection activeCell="I20" sqref="I20"/>
    </sheetView>
  </sheetViews>
  <sheetFormatPr defaultRowHeight="15" x14ac:dyDescent="0.25"/>
  <cols>
    <col min="1" max="1" width="13.5703125" customWidth="1"/>
    <col min="2" max="2" width="13.85546875" customWidth="1"/>
    <col min="3" max="3" width="11.28515625" customWidth="1"/>
    <col min="4" max="4" width="38.5703125" customWidth="1"/>
    <col min="5" max="5" width="19.7109375" customWidth="1"/>
    <col min="6" max="6" width="28.140625" customWidth="1"/>
    <col min="7" max="7" width="9.5703125" customWidth="1"/>
  </cols>
  <sheetData>
    <row r="1" spans="1:7" x14ac:dyDescent="0.25">
      <c r="A1" s="32" t="s">
        <v>232</v>
      </c>
    </row>
    <row r="2" spans="1:7" ht="18" x14ac:dyDescent="0.35">
      <c r="A2" s="11" t="s">
        <v>483</v>
      </c>
      <c r="B2" s="80">
        <v>3162</v>
      </c>
      <c r="C2" s="11" t="s">
        <v>1</v>
      </c>
      <c r="D2" t="s">
        <v>186</v>
      </c>
    </row>
    <row r="3" spans="1:7" x14ac:dyDescent="0.25">
      <c r="A3" s="80" t="s">
        <v>37</v>
      </c>
      <c r="B3" s="80">
        <f>'fase 0 '!B3</f>
        <v>5.3</v>
      </c>
      <c r="C3" s="80" t="s">
        <v>3</v>
      </c>
      <c r="D3" t="s">
        <v>474</v>
      </c>
    </row>
    <row r="4" spans="1:7" ht="18" x14ac:dyDescent="0.35">
      <c r="A4" s="11" t="s">
        <v>125</v>
      </c>
      <c r="B4" s="9">
        <f>$B$2/((16.5)^2)*$B$3^2</f>
        <v>326.24639118457299</v>
      </c>
      <c r="C4" s="11" t="s">
        <v>4</v>
      </c>
      <c r="D4" t="s">
        <v>485</v>
      </c>
    </row>
    <row r="5" spans="1:7" x14ac:dyDescent="0.25">
      <c r="A5" s="102" t="s">
        <v>192</v>
      </c>
      <c r="B5" s="102"/>
      <c r="C5" s="102"/>
    </row>
    <row r="6" spans="1:7" ht="17.25" x14ac:dyDescent="0.25">
      <c r="A6" s="8" t="s">
        <v>193</v>
      </c>
      <c r="B6" s="9">
        <f>B2*1000^2/('Caratteristiche trave V185'!B40*'Caratteristiche trave V185'!B48)*'Caratteristiche trave V185'!B46</f>
        <v>2.8278101026688747</v>
      </c>
      <c r="C6" s="11" t="s">
        <v>5</v>
      </c>
      <c r="D6" t="s">
        <v>195</v>
      </c>
    </row>
    <row r="7" spans="1:7" ht="17.25" x14ac:dyDescent="0.25">
      <c r="A7" s="8" t="s">
        <v>194</v>
      </c>
      <c r="B7" s="9">
        <f>B2*1000^2/('Caratteristiche trave V185'!B40*'Caratteristiche trave V185'!B48)*'Caratteristiche trave V185'!B47</f>
        <v>1.9891950069782238</v>
      </c>
      <c r="C7" s="11" t="s">
        <v>5</v>
      </c>
      <c r="D7" t="s">
        <v>197</v>
      </c>
    </row>
    <row r="8" spans="1:7" ht="17.25" x14ac:dyDescent="0.25">
      <c r="A8" s="8" t="s">
        <v>196</v>
      </c>
      <c r="B8" s="9">
        <f>B2*1000^2/('Caratteristiche trave V185'!B48)*'Caratteristiche trave V185'!B47</f>
        <v>2.0920646005809704</v>
      </c>
      <c r="C8" s="11" t="s">
        <v>5</v>
      </c>
      <c r="D8" t="s">
        <v>198</v>
      </c>
    </row>
    <row r="9" spans="1:7" ht="17.25" x14ac:dyDescent="0.25">
      <c r="A9" s="8" t="s">
        <v>199</v>
      </c>
      <c r="B9" s="9">
        <f>-B2*1000^2/('Caratteristiche trave V185'!B48)*'Caratteristiche trave V185'!B45</f>
        <v>-4.4346124838621925</v>
      </c>
      <c r="C9" s="11" t="s">
        <v>5</v>
      </c>
      <c r="D9" t="s">
        <v>200</v>
      </c>
    </row>
    <row r="10" spans="1:7" ht="17.25" x14ac:dyDescent="0.25">
      <c r="A10" s="8" t="s">
        <v>201</v>
      </c>
      <c r="B10" s="9">
        <f>-B2*1000^2/('Caratteristiche trave V185'!B48)*('Caratteristiche trave V185'!B45-'Caratteristiche trave V185'!B24)</f>
        <v>-1.9264197201366731</v>
      </c>
      <c r="C10" s="11" t="s">
        <v>5</v>
      </c>
      <c r="D10" t="s">
        <v>202</v>
      </c>
    </row>
    <row r="11" spans="1:7" ht="17.25" x14ac:dyDescent="0.25">
      <c r="A11" s="8" t="s">
        <v>233</v>
      </c>
      <c r="B11" s="9">
        <f>-B2*1000^2/('Caratteristiche trave V185'!B16*'Caratteristiche trave V185'!B48)*('Caratteristiche trave V185'!B45-'Caratteristiche trave V185'!B24)</f>
        <v>-0.32106995335611216</v>
      </c>
      <c r="C11" s="11" t="s">
        <v>5</v>
      </c>
      <c r="D11" t="s">
        <v>202</v>
      </c>
    </row>
    <row r="13" spans="1:7" x14ac:dyDescent="0.25">
      <c r="A13" s="86" t="s">
        <v>221</v>
      </c>
      <c r="B13" s="86"/>
      <c r="C13" s="86"/>
      <c r="D13" s="86"/>
      <c r="E13" s="86"/>
      <c r="F13" s="86"/>
      <c r="G13" s="48" t="s">
        <v>230</v>
      </c>
    </row>
    <row r="14" spans="1:7" ht="17.25" x14ac:dyDescent="0.25">
      <c r="A14" s="17" t="s">
        <v>241</v>
      </c>
      <c r="B14" s="9">
        <f>E32</f>
        <v>1.4336153378011294</v>
      </c>
      <c r="C14" s="11" t="s">
        <v>5</v>
      </c>
      <c r="D14" s="48" t="str">
        <f>IF(B14 &lt; 0,"Trazione","Compressione")</f>
        <v>Compressione</v>
      </c>
      <c r="E14" s="48" t="str">
        <f>IF(D14 = "Trazione", IF(ABS(B14) &lt; Materiali!$B$22/1.2,"VERIFICA", " NON VERIFICA"), IF(B14 &lt; 0.7*Materiali!$B$16,"VERIFICA", " NON VERIFICA"))</f>
        <v>VERIFICA</v>
      </c>
      <c r="F14" s="6" t="str">
        <f xml:space="preserve"> IF(D14="Trazione","ϭ &gt; fctm(t)/1.2", "ϭ &lt; 0.6fck(t)")</f>
        <v>ϭ &lt; 0.6fck(t)</v>
      </c>
      <c r="G14" s="9">
        <f>ABS(B14/IF(D14 = "Trazione",  Materiali!$B$22/1.2,  0.7*Materiali!$B$16))</f>
        <v>5.226844899505504E-2</v>
      </c>
    </row>
    <row r="15" spans="1:7" x14ac:dyDescent="0.25">
      <c r="A15" s="86" t="s">
        <v>220</v>
      </c>
      <c r="B15" s="86"/>
      <c r="C15" s="86"/>
      <c r="D15" s="86"/>
      <c r="E15" s="86"/>
      <c r="F15" s="86"/>
      <c r="G15" s="9"/>
    </row>
    <row r="16" spans="1:7" ht="17.25" x14ac:dyDescent="0.25">
      <c r="A16" s="17" t="s">
        <v>226</v>
      </c>
      <c r="B16" s="9">
        <f>E33</f>
        <v>-0.27541778841859976</v>
      </c>
      <c r="C16" s="11" t="s">
        <v>5</v>
      </c>
      <c r="D16" s="48" t="str">
        <f t="shared" ref="D16" si="0">IF(B16 &lt; 0,"Trazione","Compressione")</f>
        <v>Trazione</v>
      </c>
      <c r="E16" s="48" t="str">
        <f>IF(D16 = "Trazione", IF(ABS(B16) &lt; Materiali!$B$22/1.2,"VERIFICA", " NON VERIFICA"), IF(B16 &lt; 0.7*Materiali!$B$16,"VERIFICA", " NON VERIFICA"))</f>
        <v>VERIFICA</v>
      </c>
      <c r="F16" s="6" t="str">
        <f t="shared" ref="F16:F20" si="1" xml:space="preserve"> IF(D16="Trazione","ϭ &gt; fctm(t)/1.2", "ϭ &lt; 0.6fck(t)")</f>
        <v>ϭ &gt; fctm(t)/1.2</v>
      </c>
      <c r="G16" s="9">
        <f>ABS(B16/IF(D16 = "Trazione",  Materiali!$B$22/1.2,  0.7*Materiali!$B$16))</f>
        <v>0.10048562073351879</v>
      </c>
    </row>
    <row r="17" spans="1:7" x14ac:dyDescent="0.25">
      <c r="A17" s="86" t="s">
        <v>222</v>
      </c>
      <c r="B17" s="86"/>
      <c r="C17" s="86"/>
      <c r="D17" s="86"/>
      <c r="E17" s="86"/>
      <c r="F17" s="86"/>
      <c r="G17" s="9"/>
    </row>
    <row r="18" spans="1:7" ht="17.25" x14ac:dyDescent="0.25">
      <c r="A18" s="17" t="s">
        <v>240</v>
      </c>
      <c r="B18" s="9">
        <f>E36</f>
        <v>15.225309149216653</v>
      </c>
      <c r="C18" s="11" t="s">
        <v>5</v>
      </c>
      <c r="D18" s="48" t="str">
        <f t="shared" ref="D18:D20" si="2">IF(B18 &lt; 0,"Trazione","Compressione")</f>
        <v>Compressione</v>
      </c>
      <c r="E18" s="48" t="str">
        <f>IF(D18 = "Trazione", IF(ABS(B18) &lt; Materiali!$B$22/1.2,"VERIFICA", " NON VERIFICA"), IF(B18 &lt; 0.7*Materiali!$B$16,"VERIFICA", " NON VERIFICA"))</f>
        <v>VERIFICA</v>
      </c>
      <c r="F18" s="6" t="str">
        <f t="shared" si="1"/>
        <v>ϭ &lt; 0.6fck(t)</v>
      </c>
      <c r="G18" s="9">
        <f>ABS(B18/IF(D18 = "Trazione",  Materiali!$B$22/1.2,  0.7*Materiali!$B$16))</f>
        <v>0.55510238605592332</v>
      </c>
    </row>
    <row r="19" spans="1:7" x14ac:dyDescent="0.25">
      <c r="A19" s="86" t="s">
        <v>223</v>
      </c>
      <c r="B19" s="86"/>
      <c r="C19" s="86"/>
      <c r="D19" s="86"/>
      <c r="E19" s="86"/>
      <c r="F19" s="86"/>
      <c r="G19" s="9"/>
    </row>
    <row r="20" spans="1:7" ht="17.25" x14ac:dyDescent="0.25">
      <c r="A20" s="17" t="s">
        <v>239</v>
      </c>
      <c r="B20" s="9">
        <f>E37</f>
        <v>-1.7792502740417007</v>
      </c>
      <c r="C20" s="11" t="s">
        <v>5</v>
      </c>
      <c r="D20" s="48" t="str">
        <f t="shared" si="2"/>
        <v>Trazione</v>
      </c>
      <c r="E20" s="48" t="str">
        <f>IF(D20 = "Trazione", IF(ABS(B20) &lt; Materiali!$B$22/1.2,"VERIFICA", " NON VERIFICA"), IF(B20 &lt; 0.7*Materiali!$B$16,"VERIFICA", " NON VERIFICA"))</f>
        <v>VERIFICA</v>
      </c>
      <c r="F20" s="6" t="str">
        <f t="shared" si="1"/>
        <v>ϭ &gt; fctm(t)/1.2</v>
      </c>
      <c r="G20" s="9">
        <f>ABS(B20/IF(D20 = "Trazione",  Materiali!$B$22/1.2,  0.7*Materiali!$B$16))</f>
        <v>0.64915584884309363</v>
      </c>
    </row>
    <row r="21" spans="1:7" x14ac:dyDescent="0.25">
      <c r="A21" s="86" t="s">
        <v>224</v>
      </c>
      <c r="B21" s="86"/>
      <c r="C21" s="86"/>
      <c r="D21" s="86"/>
      <c r="E21" s="86"/>
      <c r="F21" s="86"/>
      <c r="G21" s="48"/>
    </row>
    <row r="22" spans="1:7" x14ac:dyDescent="0.25">
      <c r="A22" s="103" t="s">
        <v>231</v>
      </c>
      <c r="B22" s="104"/>
      <c r="C22" s="104"/>
      <c r="D22" s="104"/>
      <c r="E22" s="104"/>
      <c r="F22" s="105"/>
      <c r="G22" s="48"/>
    </row>
    <row r="23" spans="1:7" ht="17.25" x14ac:dyDescent="0.25">
      <c r="A23" s="17" t="s">
        <v>238</v>
      </c>
      <c r="B23" s="9">
        <f>'fase 2 '!B42+ABS('fase 3'!B11)</f>
        <v>1229.4264548919434</v>
      </c>
      <c r="C23" s="11" t="s">
        <v>5</v>
      </c>
      <c r="D23" s="48" t="s">
        <v>97</v>
      </c>
      <c r="E23" s="48" t="str">
        <f>IF(B23&lt;MIN(Materiali!B32:B33),"VERIFICA", " NON VERIFICA")</f>
        <v>VERIFICA</v>
      </c>
      <c r="F23" s="6" t="s">
        <v>116</v>
      </c>
      <c r="G23" s="9">
        <f>B23/MIN(Materiali!B32:B33)</f>
        <v>0.8262274562445856</v>
      </c>
    </row>
    <row r="24" spans="1:7" x14ac:dyDescent="0.25">
      <c r="A24" s="86" t="s">
        <v>236</v>
      </c>
      <c r="B24" s="86"/>
      <c r="C24" s="86"/>
      <c r="D24" s="86"/>
      <c r="E24" s="86"/>
      <c r="F24" s="86"/>
    </row>
    <row r="25" spans="1:7" ht="17.25" x14ac:dyDescent="0.25">
      <c r="A25" s="8" t="s">
        <v>242</v>
      </c>
      <c r="B25" s="48">
        <v>37.31</v>
      </c>
      <c r="C25" s="11" t="s">
        <v>5</v>
      </c>
    </row>
    <row r="26" spans="1:7" ht="17.25" x14ac:dyDescent="0.25">
      <c r="A26" s="17" t="s">
        <v>238</v>
      </c>
      <c r="B26" s="9">
        <f>B23+B25</f>
        <v>1266.7364548919434</v>
      </c>
      <c r="C26" s="11" t="s">
        <v>5</v>
      </c>
      <c r="D26" s="48" t="s">
        <v>97</v>
      </c>
      <c r="E26" s="48" t="str">
        <f>IF(B26&lt;MIN(Materiali!B32:B33),"VERIFICA", " NON VERIFICA")</f>
        <v>VERIFICA</v>
      </c>
      <c r="F26" s="6" t="s">
        <v>116</v>
      </c>
      <c r="G26" s="9">
        <f>B26/MIN(Materiali!B32:B33)</f>
        <v>0.85130138097576835</v>
      </c>
    </row>
    <row r="29" spans="1:7" x14ac:dyDescent="0.25">
      <c r="C29" s="43" t="s">
        <v>234</v>
      </c>
      <c r="D29" s="43" t="s">
        <v>235</v>
      </c>
    </row>
    <row r="30" spans="1:7" x14ac:dyDescent="0.25">
      <c r="A30" s="43" t="s">
        <v>203</v>
      </c>
      <c r="B30" s="43" t="s">
        <v>204</v>
      </c>
      <c r="C30" s="35" t="s">
        <v>206</v>
      </c>
      <c r="D30" s="35" t="s">
        <v>206</v>
      </c>
      <c r="E30" s="35" t="s">
        <v>219</v>
      </c>
    </row>
    <row r="31" spans="1:7" x14ac:dyDescent="0.25">
      <c r="A31" s="43">
        <v>1</v>
      </c>
      <c r="B31" s="43">
        <f>'fase 2 '!B50</f>
        <v>1029</v>
      </c>
      <c r="C31" s="9">
        <f>'fase 2 '!G50</f>
        <v>0</v>
      </c>
      <c r="D31" s="43">
        <v>0</v>
      </c>
      <c r="E31" s="9">
        <f>SUM(C31:D31)</f>
        <v>0</v>
      </c>
    </row>
    <row r="32" spans="1:7" x14ac:dyDescent="0.25">
      <c r="A32" s="43">
        <v>2</v>
      </c>
      <c r="B32" s="43">
        <f>'fase 2 '!B51</f>
        <v>1029</v>
      </c>
      <c r="C32" s="9">
        <f>'fase 2 '!G51</f>
        <v>-1.3941947648677453</v>
      </c>
      <c r="D32" s="9">
        <f>B6</f>
        <v>2.8278101026688747</v>
      </c>
      <c r="E32" s="9">
        <f t="shared" ref="E32:E38" si="3">SUM(C32:D32)</f>
        <v>1.4336153378011294</v>
      </c>
    </row>
    <row r="33" spans="1:5" x14ac:dyDescent="0.25">
      <c r="A33" s="43">
        <v>3</v>
      </c>
      <c r="B33" s="43">
        <f>'fase 2 '!B52</f>
        <v>779</v>
      </c>
      <c r="C33" s="9">
        <f>'fase 2 '!G52</f>
        <v>-2.2646127953968236</v>
      </c>
      <c r="D33" s="9">
        <f>B7</f>
        <v>1.9891950069782238</v>
      </c>
      <c r="E33" s="9">
        <f t="shared" si="3"/>
        <v>-0.27541778841859976</v>
      </c>
    </row>
    <row r="34" spans="1:5" x14ac:dyDescent="0.25">
      <c r="A34" s="43">
        <v>4</v>
      </c>
      <c r="B34" s="43">
        <f>'fase 2 '!B53</f>
        <v>779</v>
      </c>
      <c r="C34" s="9">
        <f>'fase 2 '!G53</f>
        <v>0.43952891149623591</v>
      </c>
      <c r="D34" s="9">
        <v>0</v>
      </c>
      <c r="E34" s="9">
        <f t="shared" si="3"/>
        <v>0.43952891149623591</v>
      </c>
    </row>
    <row r="35" spans="1:5" x14ac:dyDescent="0.25">
      <c r="A35" s="43">
        <v>5</v>
      </c>
      <c r="B35" s="43">
        <f>'fase 2 '!B54</f>
        <v>779</v>
      </c>
      <c r="C35" s="9">
        <f>'fase 2 '!G54</f>
        <v>0.43952891149623591</v>
      </c>
      <c r="D35" s="9">
        <f>B8</f>
        <v>2.0920646005809704</v>
      </c>
      <c r="E35" s="9">
        <f t="shared" si="3"/>
        <v>2.5315935120772064</v>
      </c>
    </row>
    <row r="36" spans="1:5" x14ac:dyDescent="0.25">
      <c r="A36" s="43">
        <v>6</v>
      </c>
      <c r="B36" s="43">
        <f>'fase 2 '!B55</f>
        <v>779</v>
      </c>
      <c r="C36" s="9">
        <f>'fase 2 '!G55</f>
        <v>13.133244548635682</v>
      </c>
      <c r="D36" s="9">
        <f>D35</f>
        <v>2.0920646005809704</v>
      </c>
      <c r="E36" s="9">
        <f t="shared" si="3"/>
        <v>15.225309149216653</v>
      </c>
    </row>
    <row r="37" spans="1:5" x14ac:dyDescent="0.25">
      <c r="A37" s="43">
        <v>7</v>
      </c>
      <c r="B37" s="43">
        <f>'fase 2 '!B56</f>
        <v>-1071</v>
      </c>
      <c r="C37" s="9">
        <f>'fase 2 '!G56</f>
        <v>2.6553622098204919</v>
      </c>
      <c r="D37" s="9">
        <f>B9</f>
        <v>-4.4346124838621925</v>
      </c>
      <c r="E37" s="9">
        <f t="shared" si="3"/>
        <v>-1.7792502740417007</v>
      </c>
    </row>
    <row r="38" spans="1:5" x14ac:dyDescent="0.25">
      <c r="A38" s="43">
        <v>8</v>
      </c>
      <c r="B38" s="43">
        <f>'fase 2 '!B57</f>
        <v>-1071</v>
      </c>
      <c r="C38" s="9">
        <f>'fase 2 '!G57</f>
        <v>0</v>
      </c>
      <c r="D38" s="9">
        <v>0</v>
      </c>
      <c r="E38" s="9">
        <f t="shared" si="3"/>
        <v>0</v>
      </c>
    </row>
  </sheetData>
  <mergeCells count="8">
    <mergeCell ref="A21:F21"/>
    <mergeCell ref="A22:F22"/>
    <mergeCell ref="A24:F24"/>
    <mergeCell ref="A5:C5"/>
    <mergeCell ref="A13:F13"/>
    <mergeCell ref="A15:F15"/>
    <mergeCell ref="A17:F17"/>
    <mergeCell ref="A19:F19"/>
  </mergeCells>
  <conditionalFormatting sqref="E23">
    <cfRule type="containsText" dxfId="55" priority="36" operator="containsText" text="NON ">
      <formula>NOT(ISERROR(SEARCH("NON ",E23)))</formula>
    </cfRule>
    <cfRule type="containsText" dxfId="54" priority="37" operator="containsText" text="VERIFICA">
      <formula>NOT(ISERROR(SEARCH("VERIFICA",E23)))</formula>
    </cfRule>
    <cfRule type="containsText" dxfId="53" priority="38" operator="containsText" text="N">
      <formula>NOT(ISERROR(SEARCH("N",E23)))</formula>
    </cfRule>
    <cfRule type="containsText" dxfId="52" priority="39" operator="containsText" text="NON VERIFICA ">
      <formula>NOT(ISERROR(SEARCH("NON VERIFICA ",E23)))</formula>
    </cfRule>
    <cfRule type="cellIs" dxfId="51" priority="40" operator="equal">
      <formula>"NON VERIFICA"</formula>
    </cfRule>
    <cfRule type="cellIs" dxfId="50" priority="41" operator="equal">
      <formula>"NON VERIFICA"</formula>
    </cfRule>
    <cfRule type="cellIs" dxfId="49" priority="42" operator="equal">
      <formula>"VERIFICA"</formula>
    </cfRule>
  </conditionalFormatting>
  <conditionalFormatting sqref="E14">
    <cfRule type="containsText" dxfId="48" priority="29" operator="containsText" text="NON ">
      <formula>NOT(ISERROR(SEARCH("NON ",E14)))</formula>
    </cfRule>
    <cfRule type="containsText" dxfId="47" priority="30" operator="containsText" text="VERIFICA">
      <formula>NOT(ISERROR(SEARCH("VERIFICA",E14)))</formula>
    </cfRule>
    <cfRule type="containsText" dxfId="46" priority="31" operator="containsText" text="N">
      <formula>NOT(ISERROR(SEARCH("N",E14)))</formula>
    </cfRule>
    <cfRule type="containsText" dxfId="45" priority="32" operator="containsText" text="NON VERIFICA ">
      <formula>NOT(ISERROR(SEARCH("NON VERIFICA ",E14)))</formula>
    </cfRule>
    <cfRule type="cellIs" dxfId="44" priority="33" operator="equal">
      <formula>"NON VERIFICA"</formula>
    </cfRule>
    <cfRule type="cellIs" dxfId="43" priority="34" operator="equal">
      <formula>"NON VERIFICA"</formula>
    </cfRule>
    <cfRule type="cellIs" dxfId="42" priority="35" operator="equal">
      <formula>"VERIFICA"</formula>
    </cfRule>
  </conditionalFormatting>
  <conditionalFormatting sqref="E16">
    <cfRule type="containsText" dxfId="41" priority="22" operator="containsText" text="NON ">
      <formula>NOT(ISERROR(SEARCH("NON ",E16)))</formula>
    </cfRule>
    <cfRule type="containsText" dxfId="40" priority="23" operator="containsText" text="VERIFICA">
      <formula>NOT(ISERROR(SEARCH("VERIFICA",E16)))</formula>
    </cfRule>
    <cfRule type="containsText" dxfId="39" priority="24" operator="containsText" text="N">
      <formula>NOT(ISERROR(SEARCH("N",E16)))</formula>
    </cfRule>
    <cfRule type="containsText" dxfId="38" priority="25" operator="containsText" text="NON VERIFICA ">
      <formula>NOT(ISERROR(SEARCH("NON VERIFICA ",E16)))</formula>
    </cfRule>
    <cfRule type="cellIs" dxfId="37" priority="26" operator="equal">
      <formula>"NON VERIFICA"</formula>
    </cfRule>
    <cfRule type="cellIs" dxfId="36" priority="27" operator="equal">
      <formula>"NON VERIFICA"</formula>
    </cfRule>
    <cfRule type="cellIs" dxfId="35" priority="28" operator="equal">
      <formula>"VERIFICA"</formula>
    </cfRule>
  </conditionalFormatting>
  <conditionalFormatting sqref="E18">
    <cfRule type="containsText" dxfId="34" priority="15" operator="containsText" text="NON ">
      <formula>NOT(ISERROR(SEARCH("NON ",E18)))</formula>
    </cfRule>
    <cfRule type="containsText" dxfId="33" priority="16" operator="containsText" text="VERIFICA">
      <formula>NOT(ISERROR(SEARCH("VERIFICA",E18)))</formula>
    </cfRule>
    <cfRule type="containsText" dxfId="32" priority="17" operator="containsText" text="N">
      <formula>NOT(ISERROR(SEARCH("N",E18)))</formula>
    </cfRule>
    <cfRule type="containsText" dxfId="31" priority="18" operator="containsText" text="NON VERIFICA ">
      <formula>NOT(ISERROR(SEARCH("NON VERIFICA ",E18)))</formula>
    </cfRule>
    <cfRule type="cellIs" dxfId="30" priority="19" operator="equal">
      <formula>"NON VERIFICA"</formula>
    </cfRule>
    <cfRule type="cellIs" dxfId="29" priority="20" operator="equal">
      <formula>"NON VERIFICA"</formula>
    </cfRule>
    <cfRule type="cellIs" dxfId="28" priority="21" operator="equal">
      <formula>"VERIFICA"</formula>
    </cfRule>
  </conditionalFormatting>
  <conditionalFormatting sqref="E20">
    <cfRule type="containsText" dxfId="27" priority="8" operator="containsText" text="NON ">
      <formula>NOT(ISERROR(SEARCH("NON ",E20)))</formula>
    </cfRule>
    <cfRule type="containsText" dxfId="26" priority="9" operator="containsText" text="VERIFICA">
      <formula>NOT(ISERROR(SEARCH("VERIFICA",E20)))</formula>
    </cfRule>
    <cfRule type="containsText" dxfId="25" priority="10" operator="containsText" text="N">
      <formula>NOT(ISERROR(SEARCH("N",E20)))</formula>
    </cfRule>
    <cfRule type="containsText" dxfId="24" priority="11" operator="containsText" text="NON VERIFICA ">
      <formula>NOT(ISERROR(SEARCH("NON VERIFICA ",E20)))</formula>
    </cfRule>
    <cfRule type="cellIs" dxfId="23" priority="12" operator="equal">
      <formula>"NON VERIFICA"</formula>
    </cfRule>
    <cfRule type="cellIs" dxfId="22" priority="13" operator="equal">
      <formula>"NON VERIFICA"</formula>
    </cfRule>
    <cfRule type="cellIs" dxfId="21" priority="14" operator="equal">
      <formula>"VERIFICA"</formula>
    </cfRule>
  </conditionalFormatting>
  <conditionalFormatting sqref="E26">
    <cfRule type="containsText" dxfId="20" priority="1" operator="containsText" text="NON ">
      <formula>NOT(ISERROR(SEARCH("NON ",E26)))</formula>
    </cfRule>
    <cfRule type="containsText" dxfId="19" priority="2" operator="containsText" text="VERIFICA">
      <formula>NOT(ISERROR(SEARCH("VERIFICA",E26)))</formula>
    </cfRule>
    <cfRule type="containsText" dxfId="18" priority="3" operator="containsText" text="N">
      <formula>NOT(ISERROR(SEARCH("N",E26)))</formula>
    </cfRule>
    <cfRule type="containsText" dxfId="17" priority="4" operator="containsText" text="NON VERIFICA ">
      <formula>NOT(ISERROR(SEARCH("NON VERIFICA ",E26)))</formula>
    </cfRule>
    <cfRule type="cellIs" dxfId="16" priority="5" operator="equal">
      <formula>"NON VERIFICA"</formula>
    </cfRule>
    <cfRule type="cellIs" dxfId="15" priority="6" operator="equal">
      <formula>"NON VERIFICA"</formula>
    </cfRule>
    <cfRule type="cellIs" dxfId="14" priority="7" operator="equal">
      <formula>"VERIFICA"</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18"/>
  <sheetViews>
    <sheetView topLeftCell="A91" workbookViewId="0">
      <selection activeCell="B105" sqref="B105"/>
    </sheetView>
  </sheetViews>
  <sheetFormatPr defaultRowHeight="15" x14ac:dyDescent="0.25"/>
  <cols>
    <col min="2" max="2" width="16" style="60" customWidth="1"/>
    <col min="3" max="3" width="15.42578125" customWidth="1"/>
    <col min="17" max="17" width="10.7109375" bestFit="1" customWidth="1"/>
  </cols>
  <sheetData>
    <row r="1" spans="1:22" x14ac:dyDescent="0.25">
      <c r="A1" s="102" t="s">
        <v>243</v>
      </c>
      <c r="B1" s="102"/>
      <c r="C1" s="102"/>
      <c r="D1" s="10"/>
      <c r="E1" s="10"/>
      <c r="F1" s="10"/>
      <c r="P1" s="96" t="s">
        <v>399</v>
      </c>
      <c r="Q1" s="96"/>
      <c r="R1" s="96"/>
      <c r="S1" s="16" t="s">
        <v>401</v>
      </c>
    </row>
    <row r="2" spans="1:22" x14ac:dyDescent="0.25">
      <c r="A2" s="22" t="s">
        <v>244</v>
      </c>
      <c r="B2" s="61">
        <f>'Caratteristiche trave V185'!B5/1000^2</f>
        <v>0.87629999999999997</v>
      </c>
      <c r="C2" s="49" t="s">
        <v>3</v>
      </c>
      <c r="D2" t="s">
        <v>278</v>
      </c>
      <c r="P2" s="51" t="s">
        <v>400</v>
      </c>
      <c r="Q2" s="51">
        <v>0.63</v>
      </c>
      <c r="R2" s="51" t="s">
        <v>3</v>
      </c>
      <c r="S2" s="16" t="s">
        <v>403</v>
      </c>
    </row>
    <row r="3" spans="1:22" x14ac:dyDescent="0.25">
      <c r="A3" s="22" t="s">
        <v>245</v>
      </c>
      <c r="B3" s="61">
        <f>9119.7685/1000</f>
        <v>9.1197684999999993</v>
      </c>
      <c r="C3" s="22" t="s">
        <v>3</v>
      </c>
      <c r="D3" t="s">
        <v>279</v>
      </c>
      <c r="P3" s="51" t="s">
        <v>402</v>
      </c>
      <c r="Q3" s="51">
        <v>1.24</v>
      </c>
      <c r="R3" s="51" t="s">
        <v>3</v>
      </c>
      <c r="S3" s="16" t="s">
        <v>405</v>
      </c>
      <c r="T3" s="10"/>
      <c r="U3" s="10"/>
      <c r="V3" s="10"/>
    </row>
    <row r="4" spans="1:22" ht="18" x14ac:dyDescent="0.35">
      <c r="A4" s="53" t="s">
        <v>246</v>
      </c>
      <c r="B4" s="61">
        <f>'Caratteristiche trave V185'!B7/1000</f>
        <v>1.0489999999999999</v>
      </c>
      <c r="C4" s="53" t="s">
        <v>3</v>
      </c>
      <c r="D4" s="10" t="s">
        <v>280</v>
      </c>
      <c r="P4" s="51" t="s">
        <v>404</v>
      </c>
      <c r="Q4" s="51">
        <f>'Caratteristiche trave V185'!B31*4</f>
        <v>10</v>
      </c>
      <c r="R4" s="51" t="s">
        <v>3</v>
      </c>
      <c r="S4" s="16" t="s">
        <v>407</v>
      </c>
      <c r="T4" s="16"/>
      <c r="U4" s="50"/>
      <c r="V4" s="50"/>
    </row>
    <row r="5" spans="1:22" ht="17.25" x14ac:dyDescent="0.25">
      <c r="A5" s="53" t="s">
        <v>247</v>
      </c>
      <c r="B5" s="61">
        <f>'Caratteristiche trave V185'!B9/1000^4</f>
        <v>0.33158361440700002</v>
      </c>
      <c r="C5" s="22" t="s">
        <v>248</v>
      </c>
      <c r="D5" s="10" t="s">
        <v>281</v>
      </c>
      <c r="P5" s="51" t="s">
        <v>406</v>
      </c>
      <c r="Q5" s="77">
        <f>'Caratteristiche trave V185'!B32</f>
        <v>0.25</v>
      </c>
      <c r="R5" s="51" t="s">
        <v>3</v>
      </c>
      <c r="S5" s="16" t="s">
        <v>409</v>
      </c>
      <c r="T5" s="16"/>
      <c r="U5" s="50"/>
      <c r="V5" s="50"/>
    </row>
    <row r="6" spans="1:22" ht="18" x14ac:dyDescent="0.35">
      <c r="A6" s="53" t="s">
        <v>2</v>
      </c>
      <c r="B6" s="61">
        <f>'Caratteristiche trave V185'!B2</f>
        <v>33</v>
      </c>
      <c r="C6" s="22" t="s">
        <v>3</v>
      </c>
      <c r="D6" s="10" t="s">
        <v>92</v>
      </c>
      <c r="P6" s="51" t="s">
        <v>408</v>
      </c>
      <c r="Q6" s="51">
        <v>0.22</v>
      </c>
      <c r="R6" s="51" t="s">
        <v>3</v>
      </c>
      <c r="S6" s="16" t="s">
        <v>411</v>
      </c>
      <c r="T6" s="16"/>
      <c r="U6" s="50"/>
      <c r="V6" s="50"/>
    </row>
    <row r="7" spans="1:22" ht="18" x14ac:dyDescent="0.35">
      <c r="A7" s="102" t="s">
        <v>249</v>
      </c>
      <c r="B7" s="102"/>
      <c r="C7" s="102"/>
      <c r="D7" s="10"/>
      <c r="E7" s="10"/>
      <c r="F7" s="10"/>
      <c r="P7" s="51" t="s">
        <v>410</v>
      </c>
      <c r="Q7" s="9">
        <f>(2.3+0.8+1.15)*0.025</f>
        <v>0.10625000000000001</v>
      </c>
      <c r="R7" s="51" t="s">
        <v>3</v>
      </c>
      <c r="S7" s="50"/>
      <c r="T7" s="16"/>
      <c r="U7" s="50"/>
      <c r="V7" s="50"/>
    </row>
    <row r="8" spans="1:22" ht="17.25" x14ac:dyDescent="0.25">
      <c r="A8" s="22" t="s">
        <v>250</v>
      </c>
      <c r="B8" s="61">
        <f>Materiali!B4</f>
        <v>45.65</v>
      </c>
      <c r="C8" s="22" t="s">
        <v>5</v>
      </c>
      <c r="D8" t="s">
        <v>282</v>
      </c>
      <c r="P8" s="96" t="s">
        <v>394</v>
      </c>
      <c r="Q8" s="96"/>
      <c r="R8" s="96"/>
      <c r="S8" s="50"/>
      <c r="T8" s="16"/>
      <c r="U8" s="50"/>
      <c r="V8" s="50"/>
    </row>
    <row r="9" spans="1:22" ht="17.25" x14ac:dyDescent="0.25">
      <c r="A9" s="22" t="s">
        <v>251</v>
      </c>
      <c r="B9" s="61">
        <f>Materiali!B3</f>
        <v>55</v>
      </c>
      <c r="C9" s="22" t="s">
        <v>5</v>
      </c>
      <c r="D9" t="s">
        <v>283</v>
      </c>
      <c r="P9" s="96" t="s">
        <v>395</v>
      </c>
      <c r="Q9" s="96"/>
      <c r="R9" s="96"/>
      <c r="S9" t="s">
        <v>282</v>
      </c>
      <c r="T9" s="16"/>
      <c r="U9" s="50"/>
      <c r="V9" s="50"/>
    </row>
    <row r="10" spans="1:22" ht="17.25" x14ac:dyDescent="0.25">
      <c r="A10" s="102" t="s">
        <v>252</v>
      </c>
      <c r="B10" s="102"/>
      <c r="C10" s="102"/>
      <c r="D10" s="10"/>
      <c r="E10" s="10"/>
      <c r="F10" s="10"/>
      <c r="P10" s="22" t="s">
        <v>250</v>
      </c>
      <c r="Q10" s="22">
        <f>Materiali!K4</f>
        <v>37.35</v>
      </c>
      <c r="R10" s="22" t="s">
        <v>5</v>
      </c>
      <c r="S10" t="s">
        <v>283</v>
      </c>
      <c r="T10" s="50"/>
      <c r="U10" s="50"/>
      <c r="V10" s="50"/>
    </row>
    <row r="11" spans="1:22" ht="17.25" x14ac:dyDescent="0.25">
      <c r="A11" s="22" t="s">
        <v>244</v>
      </c>
      <c r="B11" s="61">
        <f>B2</f>
        <v>0.87629999999999997</v>
      </c>
      <c r="C11" s="22" t="s">
        <v>253</v>
      </c>
      <c r="D11" t="s">
        <v>284</v>
      </c>
      <c r="P11" s="22" t="s">
        <v>251</v>
      </c>
      <c r="Q11" s="22">
        <f>Materiali!K3</f>
        <v>45</v>
      </c>
      <c r="R11" s="22" t="s">
        <v>5</v>
      </c>
      <c r="S11" t="s">
        <v>398</v>
      </c>
      <c r="T11" s="50"/>
      <c r="U11" s="50"/>
      <c r="V11" s="50"/>
    </row>
    <row r="12" spans="1:22" x14ac:dyDescent="0.25">
      <c r="A12" s="22" t="s">
        <v>254</v>
      </c>
      <c r="B12" s="61">
        <f>B3</f>
        <v>9.1197684999999993</v>
      </c>
      <c r="C12" s="22" t="s">
        <v>3</v>
      </c>
      <c r="D12" t="s">
        <v>279</v>
      </c>
      <c r="P12" s="22" t="s">
        <v>396</v>
      </c>
      <c r="Q12" s="22" t="s">
        <v>397</v>
      </c>
      <c r="R12" s="22" t="s">
        <v>259</v>
      </c>
    </row>
    <row r="13" spans="1:22" ht="18" x14ac:dyDescent="0.35">
      <c r="A13" s="22" t="s">
        <v>255</v>
      </c>
      <c r="B13" s="61">
        <f>B11*2/B12*1000</f>
        <v>192.17593078157631</v>
      </c>
      <c r="C13" s="22" t="s">
        <v>6</v>
      </c>
      <c r="D13" t="s">
        <v>305</v>
      </c>
    </row>
    <row r="14" spans="1:22" x14ac:dyDescent="0.25">
      <c r="A14" s="22" t="s">
        <v>256</v>
      </c>
      <c r="B14" s="61">
        <v>80</v>
      </c>
      <c r="C14" s="22" t="s">
        <v>257</v>
      </c>
      <c r="D14" t="s">
        <v>286</v>
      </c>
    </row>
    <row r="15" spans="1:22" ht="18" x14ac:dyDescent="0.35">
      <c r="A15" s="29" t="s">
        <v>258</v>
      </c>
      <c r="B15" s="61">
        <f>1+(1-B14/100)/(0.1*(B13)^(1/3))</f>
        <v>1.3465748132796862</v>
      </c>
      <c r="C15" s="22" t="s">
        <v>259</v>
      </c>
      <c r="D15" t="s">
        <v>287</v>
      </c>
    </row>
    <row r="16" spans="1:22" ht="18" x14ac:dyDescent="0.35">
      <c r="A16" s="29" t="s">
        <v>260</v>
      </c>
      <c r="B16" s="61">
        <f>16.8/SQRT(35+8)</f>
        <v>2.5619759815877585</v>
      </c>
      <c r="C16" s="22" t="s">
        <v>259</v>
      </c>
    </row>
    <row r="17" spans="1:21" ht="18" x14ac:dyDescent="0.35">
      <c r="A17" s="22" t="s">
        <v>261</v>
      </c>
      <c r="B17" s="61">
        <f>1/(0.1+7^0.2)</f>
        <v>0.63460910768913126</v>
      </c>
      <c r="C17" s="22" t="s">
        <v>259</v>
      </c>
      <c r="H17" s="10"/>
      <c r="I17" s="10"/>
      <c r="J17" s="10"/>
    </row>
    <row r="18" spans="1:21" x14ac:dyDescent="0.25">
      <c r="A18" s="22" t="s">
        <v>262</v>
      </c>
      <c r="B18" s="61">
        <f>50*365-7</f>
        <v>18243</v>
      </c>
      <c r="C18" s="22" t="s">
        <v>30</v>
      </c>
    </row>
    <row r="19" spans="1:21" ht="18" x14ac:dyDescent="0.35">
      <c r="A19" s="29" t="s">
        <v>263</v>
      </c>
      <c r="B19" s="61">
        <f>MIN(1.5*(1+(0.012*B14)^18)*B13+250,1500)</f>
        <v>676.51622224413745</v>
      </c>
      <c r="C19" s="22" t="s">
        <v>259</v>
      </c>
      <c r="P19" s="100" t="s">
        <v>393</v>
      </c>
      <c r="Q19" s="100"/>
      <c r="R19" s="100"/>
      <c r="S19" s="100"/>
      <c r="T19" s="100"/>
      <c r="U19" s="100"/>
    </row>
    <row r="20" spans="1:21" ht="17.25" x14ac:dyDescent="0.25">
      <c r="A20" s="22" t="s">
        <v>264</v>
      </c>
      <c r="B20" s="61">
        <f>(B18/(B19+B18))^0.3</f>
        <v>0.98913568300354437</v>
      </c>
      <c r="C20" s="22" t="s">
        <v>259</v>
      </c>
      <c r="P20" s="22" t="s">
        <v>244</v>
      </c>
      <c r="Q20" s="22">
        <f>Q4*Q5</f>
        <v>2.5</v>
      </c>
      <c r="R20" s="22" t="s">
        <v>253</v>
      </c>
      <c r="S20" t="s">
        <v>284</v>
      </c>
    </row>
    <row r="21" spans="1:21" ht="18" x14ac:dyDescent="0.35">
      <c r="A21" s="22" t="s">
        <v>265</v>
      </c>
      <c r="B21" s="61">
        <f>B15*B16*B17</f>
        <v>2.189333092551577</v>
      </c>
      <c r="C21" s="22" t="s">
        <v>259</v>
      </c>
      <c r="P21" s="22" t="s">
        <v>254</v>
      </c>
      <c r="Q21" s="22">
        <f>2*(Q4+Q5)</f>
        <v>20.5</v>
      </c>
      <c r="R21" s="22" t="s">
        <v>3</v>
      </c>
      <c r="S21" t="s">
        <v>279</v>
      </c>
    </row>
    <row r="22" spans="1:21" ht="18" x14ac:dyDescent="0.35">
      <c r="A22" s="22" t="s">
        <v>266</v>
      </c>
      <c r="B22" s="61">
        <f>B21*B20</f>
        <v>2.165547483823266</v>
      </c>
      <c r="C22" s="22" t="s">
        <v>259</v>
      </c>
      <c r="D22" t="s">
        <v>306</v>
      </c>
      <c r="P22" s="22" t="s">
        <v>255</v>
      </c>
      <c r="Q22" s="22">
        <f>Q20*2/Q21*1000</f>
        <v>243.90243902439025</v>
      </c>
      <c r="R22" s="22" t="s">
        <v>6</v>
      </c>
      <c r="S22" t="s">
        <v>285</v>
      </c>
    </row>
    <row r="23" spans="1:21" ht="18" x14ac:dyDescent="0.35">
      <c r="A23" s="29" t="s">
        <v>267</v>
      </c>
      <c r="B23" s="61">
        <v>0.55000000000000004</v>
      </c>
      <c r="C23" s="22" t="s">
        <v>259</v>
      </c>
      <c r="D23" t="s">
        <v>307</v>
      </c>
      <c r="P23" s="22" t="s">
        <v>256</v>
      </c>
      <c r="Q23" s="22">
        <v>80</v>
      </c>
      <c r="R23" s="22" t="s">
        <v>257</v>
      </c>
      <c r="S23" t="s">
        <v>286</v>
      </c>
    </row>
    <row r="24" spans="1:21" ht="18" x14ac:dyDescent="0.35">
      <c r="A24" s="29" t="s">
        <v>268</v>
      </c>
      <c r="B24" s="61">
        <v>1.1000000000000001</v>
      </c>
      <c r="C24" s="22" t="s">
        <v>259</v>
      </c>
      <c r="D24" t="s">
        <v>307</v>
      </c>
      <c r="P24" s="29" t="s">
        <v>258</v>
      </c>
      <c r="Q24" s="22">
        <f>1+(1-Q23/100)/(0.1*(Q22)^(1/3))</f>
        <v>1.320104132776631</v>
      </c>
      <c r="R24" s="22" t="s">
        <v>259</v>
      </c>
      <c r="S24" t="s">
        <v>287</v>
      </c>
    </row>
    <row r="25" spans="1:21" ht="18.75" x14ac:dyDescent="0.35">
      <c r="A25" s="29" t="s">
        <v>269</v>
      </c>
      <c r="B25" s="61">
        <f>22000*(($B$8+8)/10)^0.3</f>
        <v>36416.113897745636</v>
      </c>
      <c r="C25" s="22" t="s">
        <v>5</v>
      </c>
      <c r="D25" t="s">
        <v>288</v>
      </c>
      <c r="P25" s="29" t="s">
        <v>260</v>
      </c>
      <c r="Q25" s="22">
        <f>16.8/SQRT(35+8)</f>
        <v>2.5619759815877585</v>
      </c>
      <c r="R25" s="22" t="s">
        <v>259</v>
      </c>
    </row>
    <row r="26" spans="1:21" ht="18.75" x14ac:dyDescent="0.35">
      <c r="A26" s="29" t="s">
        <v>270</v>
      </c>
      <c r="B26" s="61">
        <f>B25/(1+B23+B15)</f>
        <v>12572.129582426698</v>
      </c>
      <c r="C26" s="22" t="s">
        <v>5</v>
      </c>
      <c r="D26" t="s">
        <v>289</v>
      </c>
      <c r="P26" s="22" t="s">
        <v>261</v>
      </c>
      <c r="Q26" s="22">
        <f>1/(0.1+7^0.2)</f>
        <v>0.63460910768913126</v>
      </c>
      <c r="R26" s="22" t="s">
        <v>259</v>
      </c>
    </row>
    <row r="27" spans="1:21" ht="18.75" x14ac:dyDescent="0.35">
      <c r="A27" s="29" t="s">
        <v>271</v>
      </c>
      <c r="B27" s="61">
        <f>B25/(1+B24*B22)</f>
        <v>10767.301340266511</v>
      </c>
      <c r="C27" s="22" t="s">
        <v>5</v>
      </c>
      <c r="D27" t="s">
        <v>290</v>
      </c>
      <c r="P27" s="22" t="s">
        <v>262</v>
      </c>
      <c r="Q27" s="22">
        <f>50*365-7</f>
        <v>18243</v>
      </c>
      <c r="R27" s="22" t="s">
        <v>30</v>
      </c>
    </row>
    <row r="28" spans="1:21" ht="18.75" x14ac:dyDescent="0.35">
      <c r="A28" s="29" t="s">
        <v>272</v>
      </c>
      <c r="B28" s="61">
        <f>B25/2</f>
        <v>18208.056948872818</v>
      </c>
      <c r="C28" s="22" t="s">
        <v>273</v>
      </c>
      <c r="D28" t="s">
        <v>291</v>
      </c>
      <c r="P28" s="29" t="s">
        <v>263</v>
      </c>
      <c r="Q28" s="22">
        <f>MIN(1.5*(1+(0.012*Q23)^18)*Q22+250,1500)</f>
        <v>791.31829342900778</v>
      </c>
      <c r="R28" s="22" t="s">
        <v>259</v>
      </c>
    </row>
    <row r="29" spans="1:21" ht="18" x14ac:dyDescent="0.35">
      <c r="A29" s="29" t="s">
        <v>274</v>
      </c>
      <c r="B29" s="61">
        <f>210000/B25</f>
        <v>5.7666779214736641</v>
      </c>
      <c r="C29" s="22" t="s">
        <v>259</v>
      </c>
      <c r="P29" s="22" t="s">
        <v>264</v>
      </c>
      <c r="Q29" s="22">
        <f>(Q27/(Q28+Q27))^0.3</f>
        <v>0.98734215371780354</v>
      </c>
      <c r="R29" s="22" t="s">
        <v>259</v>
      </c>
    </row>
    <row r="30" spans="1:21" ht="18" x14ac:dyDescent="0.35">
      <c r="A30" s="29" t="s">
        <v>275</v>
      </c>
      <c r="B30" s="61">
        <f>210000/B26</f>
        <v>16.703614023636668</v>
      </c>
      <c r="C30" s="22" t="s">
        <v>259</v>
      </c>
      <c r="H30" s="100"/>
      <c r="I30" s="100"/>
      <c r="P30" s="22" t="s">
        <v>265</v>
      </c>
      <c r="Q30" s="22">
        <f>Q24*Q25*Q26</f>
        <v>2.1462956495248879</v>
      </c>
      <c r="R30" s="22" t="s">
        <v>259</v>
      </c>
    </row>
    <row r="31" spans="1:21" ht="18" x14ac:dyDescent="0.35">
      <c r="A31" s="29" t="s">
        <v>276</v>
      </c>
      <c r="B31" s="61">
        <f>210000/B27</f>
        <v>19.503494270626785</v>
      </c>
      <c r="C31" s="22" t="s">
        <v>259</v>
      </c>
      <c r="H31" t="s">
        <v>250</v>
      </c>
      <c r="I31" s="56" t="s">
        <v>296</v>
      </c>
      <c r="P31" s="22" t="s">
        <v>266</v>
      </c>
      <c r="Q31" s="22">
        <f>Q30*Q29</f>
        <v>2.1191281691170549</v>
      </c>
      <c r="R31" s="22" t="s">
        <v>259</v>
      </c>
    </row>
    <row r="32" spans="1:21" ht="18" x14ac:dyDescent="0.35">
      <c r="A32" s="29" t="s">
        <v>277</v>
      </c>
      <c r="B32" s="61">
        <f>210000/B28</f>
        <v>11.533355842947328</v>
      </c>
      <c r="C32" s="22" t="s">
        <v>259</v>
      </c>
      <c r="H32">
        <v>20</v>
      </c>
      <c r="I32">
        <v>0.3</v>
      </c>
      <c r="P32" s="29" t="s">
        <v>267</v>
      </c>
      <c r="Q32" s="22">
        <v>0.55000000000000004</v>
      </c>
      <c r="R32" s="22" t="s">
        <v>259</v>
      </c>
    </row>
    <row r="33" spans="1:21" ht="18" x14ac:dyDescent="0.35">
      <c r="A33" s="102" t="s">
        <v>292</v>
      </c>
      <c r="B33" s="102"/>
      <c r="C33" s="102"/>
      <c r="D33" s="50"/>
      <c r="H33">
        <v>40</v>
      </c>
      <c r="I33">
        <v>0.24</v>
      </c>
      <c r="P33" s="29" t="s">
        <v>268</v>
      </c>
      <c r="Q33" s="22">
        <v>1.1000000000000001</v>
      </c>
      <c r="R33" s="22" t="s">
        <v>259</v>
      </c>
    </row>
    <row r="34" spans="1:21" ht="18.75" x14ac:dyDescent="0.35">
      <c r="A34" s="54" t="s">
        <v>293</v>
      </c>
      <c r="B34" s="61">
        <f>-2.5*($B$8-10)*10^-6</f>
        <v>-8.9124999999999998E-5</v>
      </c>
      <c r="C34" s="22" t="s">
        <v>259</v>
      </c>
      <c r="D34" t="s">
        <v>294</v>
      </c>
      <c r="H34">
        <v>60</v>
      </c>
      <c r="I34">
        <v>0.19</v>
      </c>
      <c r="P34" s="29" t="s">
        <v>269</v>
      </c>
      <c r="Q34" s="22">
        <f>22000*((Q10+8)/10)^0.3</f>
        <v>34625.485235412678</v>
      </c>
      <c r="R34" s="22" t="s">
        <v>5</v>
      </c>
      <c r="S34" t="s">
        <v>288</v>
      </c>
    </row>
    <row r="35" spans="1:21" ht="18.75" x14ac:dyDescent="0.35">
      <c r="A35" s="22" t="s">
        <v>295</v>
      </c>
      <c r="B35" s="61">
        <f>B18/(B18+0.04*B13^(3/2))</f>
        <v>0.99419258658572152</v>
      </c>
      <c r="C35" s="22" t="s">
        <v>259</v>
      </c>
      <c r="H35">
        <v>80</v>
      </c>
      <c r="I35">
        <v>0.15</v>
      </c>
      <c r="P35" s="29" t="s">
        <v>270</v>
      </c>
      <c r="Q35" s="22">
        <f>Q34/(1+Q32+Q24)</f>
        <v>12064.191274452078</v>
      </c>
      <c r="R35" s="22" t="s">
        <v>5</v>
      </c>
      <c r="S35" t="s">
        <v>289</v>
      </c>
    </row>
    <row r="36" spans="1:21" ht="18.75" x14ac:dyDescent="0.35">
      <c r="A36" s="54" t="s">
        <v>296</v>
      </c>
      <c r="B36" s="61">
        <f>-40/$B$8*0.24</f>
        <v>-0.21029572836801752</v>
      </c>
      <c r="C36" s="22" t="s">
        <v>259</v>
      </c>
      <c r="P36" s="29" t="s">
        <v>271</v>
      </c>
      <c r="Q36" s="22">
        <f>Q34/(1+Q33*Q31)</f>
        <v>10394.794114104519</v>
      </c>
      <c r="R36" s="22" t="s">
        <v>5</v>
      </c>
      <c r="S36" t="s">
        <v>290</v>
      </c>
    </row>
    <row r="37" spans="1:21" ht="18.75" x14ac:dyDescent="0.35">
      <c r="A37" s="54" t="s">
        <v>297</v>
      </c>
      <c r="B37" s="61">
        <f>3*10^-6*B13^2 - 0.0023*B13 + 1.2</f>
        <v>0.86879012431767011</v>
      </c>
      <c r="C37" s="22" t="s">
        <v>259</v>
      </c>
      <c r="H37" t="s">
        <v>303</v>
      </c>
      <c r="I37" t="s">
        <v>304</v>
      </c>
      <c r="P37" s="29" t="s">
        <v>272</v>
      </c>
      <c r="Q37" s="22">
        <f>Q34/2</f>
        <v>17312.742617706339</v>
      </c>
      <c r="R37" s="22" t="s">
        <v>273</v>
      </c>
      <c r="S37" t="s">
        <v>291</v>
      </c>
    </row>
    <row r="38" spans="1:21" ht="18" x14ac:dyDescent="0.35">
      <c r="A38" s="54" t="s">
        <v>296</v>
      </c>
      <c r="B38" s="61">
        <f>-0.3795*EXP(-(0.012*B8))</f>
        <v>-0.21943467868979916</v>
      </c>
      <c r="C38" s="22" t="s">
        <v>259</v>
      </c>
      <c r="H38">
        <v>100</v>
      </c>
      <c r="I38">
        <v>1</v>
      </c>
      <c r="P38" s="29" t="s">
        <v>274</v>
      </c>
      <c r="Q38" s="22">
        <f>210000/Q34</f>
        <v>6.0648969558764696</v>
      </c>
      <c r="R38" s="22" t="s">
        <v>259</v>
      </c>
      <c r="S38" t="s">
        <v>412</v>
      </c>
    </row>
    <row r="39" spans="1:21" ht="18" x14ac:dyDescent="0.35">
      <c r="A39" s="54" t="s">
        <v>298</v>
      </c>
      <c r="B39" s="55">
        <f>B38*B37/1000</f>
        <v>-1.9064268177851858E-4</v>
      </c>
      <c r="C39" s="22" t="s">
        <v>259</v>
      </c>
      <c r="H39">
        <v>200</v>
      </c>
      <c r="I39">
        <v>0.85</v>
      </c>
      <c r="P39" s="29" t="s">
        <v>275</v>
      </c>
      <c r="Q39" s="22">
        <f>210000/Q35</f>
        <v>17.406885817925463</v>
      </c>
      <c r="R39" s="22" t="s">
        <v>259</v>
      </c>
      <c r="S39" t="s">
        <v>413</v>
      </c>
    </row>
    <row r="40" spans="1:21" ht="18" x14ac:dyDescent="0.35">
      <c r="A40" s="54" t="s">
        <v>299</v>
      </c>
      <c r="B40" s="61">
        <f>B35*B39</f>
        <v>-1.8953554091102399E-4</v>
      </c>
      <c r="C40" s="22" t="s">
        <v>259</v>
      </c>
      <c r="D40" t="s">
        <v>300</v>
      </c>
      <c r="H40">
        <v>300</v>
      </c>
      <c r="I40">
        <v>0.75</v>
      </c>
      <c r="P40" s="29" t="s">
        <v>276</v>
      </c>
      <c r="Q40" s="22">
        <f>210000/Q36</f>
        <v>20.202420336065586</v>
      </c>
      <c r="R40" s="22" t="s">
        <v>259</v>
      </c>
      <c r="S40" t="s">
        <v>414</v>
      </c>
    </row>
    <row r="41" spans="1:21" ht="18" x14ac:dyDescent="0.35">
      <c r="A41" s="54" t="s">
        <v>301</v>
      </c>
      <c r="B41" s="61">
        <f>B40+B34</f>
        <v>-2.78660540911024E-4</v>
      </c>
      <c r="C41" s="22" t="s">
        <v>259</v>
      </c>
      <c r="D41" t="s">
        <v>302</v>
      </c>
      <c r="H41">
        <v>500</v>
      </c>
      <c r="I41">
        <v>0.7</v>
      </c>
      <c r="P41" s="29" t="s">
        <v>277</v>
      </c>
      <c r="Q41" s="22">
        <f>210000/Q37</f>
        <v>12.129793911752939</v>
      </c>
      <c r="R41" s="22" t="s">
        <v>259</v>
      </c>
      <c r="S41" t="s">
        <v>415</v>
      </c>
    </row>
    <row r="42" spans="1:21" x14ac:dyDescent="0.25">
      <c r="P42" s="96" t="s">
        <v>292</v>
      </c>
      <c r="Q42" s="96"/>
      <c r="R42" s="96"/>
      <c r="S42" s="10"/>
      <c r="T42" s="10"/>
      <c r="U42" s="10"/>
    </row>
    <row r="43" spans="1:21" ht="18" x14ac:dyDescent="0.35">
      <c r="A43" s="10"/>
      <c r="C43" s="10"/>
      <c r="P43" s="54" t="s">
        <v>293</v>
      </c>
      <c r="Q43" s="22">
        <f>-2.5*(Q10-10)*10^-6</f>
        <v>-6.8374999999999995E-5</v>
      </c>
      <c r="R43" s="22" t="s">
        <v>259</v>
      </c>
      <c r="S43" t="s">
        <v>294</v>
      </c>
    </row>
    <row r="44" spans="1:21" ht="18" x14ac:dyDescent="0.35">
      <c r="P44" s="22" t="s">
        <v>295</v>
      </c>
      <c r="Q44" s="22">
        <f>Q27/(Q27+0.04*Q22^(3/2))</f>
        <v>0.99171722612303714</v>
      </c>
      <c r="R44" s="22" t="s">
        <v>259</v>
      </c>
    </row>
    <row r="45" spans="1:21" ht="18" x14ac:dyDescent="0.35">
      <c r="P45" s="54" t="s">
        <v>296</v>
      </c>
      <c r="Q45" s="22">
        <f>-40/Q10*0.24</f>
        <v>-0.25702811244979917</v>
      </c>
      <c r="R45" s="22" t="s">
        <v>259</v>
      </c>
    </row>
    <row r="46" spans="1:21" ht="18" x14ac:dyDescent="0.35">
      <c r="A46" s="102" t="s">
        <v>308</v>
      </c>
      <c r="B46" s="102"/>
      <c r="C46" s="102"/>
      <c r="D46" s="10"/>
      <c r="E46" s="10"/>
      <c r="P46" s="54" t="s">
        <v>297</v>
      </c>
      <c r="Q46" s="22">
        <f>3*10^-6*Q22^2 - 0.0023*Q22 + 1.2</f>
        <v>0.81748958953004169</v>
      </c>
      <c r="R46" s="22" t="s">
        <v>259</v>
      </c>
    </row>
    <row r="47" spans="1:21" ht="18" x14ac:dyDescent="0.35">
      <c r="A47" s="102" t="s">
        <v>309</v>
      </c>
      <c r="B47" s="102"/>
      <c r="C47" s="102"/>
      <c r="D47" s="10"/>
      <c r="P47" s="54" t="s">
        <v>296</v>
      </c>
      <c r="Q47" s="22">
        <f>-0.3795*EXP(-(0.012*35))</f>
        <v>-0.24934926811981403</v>
      </c>
      <c r="R47" s="22" t="s">
        <v>259</v>
      </c>
    </row>
    <row r="48" spans="1:21" ht="18" x14ac:dyDescent="0.35">
      <c r="A48" s="29" t="s">
        <v>159</v>
      </c>
      <c r="B48" s="61">
        <f>Materiali!B25</f>
        <v>15.2</v>
      </c>
      <c r="C48" s="22" t="s">
        <v>6</v>
      </c>
      <c r="D48" t="s">
        <v>310</v>
      </c>
      <c r="P48" s="54" t="s">
        <v>298</v>
      </c>
      <c r="Q48" s="55">
        <f>Q47*Q46/1000</f>
        <v>-2.038404308448831E-4</v>
      </c>
      <c r="R48" s="22" t="s">
        <v>259</v>
      </c>
    </row>
    <row r="49" spans="1:19" ht="18.75" x14ac:dyDescent="0.35">
      <c r="A49" s="22" t="s">
        <v>311</v>
      </c>
      <c r="B49" s="61">
        <f>Materiali!B26</f>
        <v>139</v>
      </c>
      <c r="C49" s="22" t="s">
        <v>8</v>
      </c>
      <c r="D49" t="s">
        <v>312</v>
      </c>
      <c r="P49" s="54" t="s">
        <v>299</v>
      </c>
      <c r="Q49" s="22">
        <f>Q44*Q48</f>
        <v>-2.0215206664921226E-4</v>
      </c>
      <c r="R49" s="22" t="s">
        <v>259</v>
      </c>
      <c r="S49" t="s">
        <v>300</v>
      </c>
    </row>
    <row r="50" spans="1:19" ht="18.75" x14ac:dyDescent="0.35">
      <c r="A50" s="22" t="s">
        <v>53</v>
      </c>
      <c r="B50" s="61">
        <f>Materiali!B28</f>
        <v>1860</v>
      </c>
      <c r="C50" s="22" t="s">
        <v>5</v>
      </c>
      <c r="D50" t="s">
        <v>313</v>
      </c>
      <c r="P50" s="54" t="s">
        <v>301</v>
      </c>
      <c r="Q50" s="22">
        <f>Q49+Q43</f>
        <v>-2.7052706664921225E-4</v>
      </c>
      <c r="R50" s="22" t="s">
        <v>259</v>
      </c>
      <c r="S50" t="s">
        <v>302</v>
      </c>
    </row>
    <row r="51" spans="1:19" ht="18.75" x14ac:dyDescent="0.35">
      <c r="A51" s="22" t="s">
        <v>314</v>
      </c>
      <c r="B51" s="61">
        <f>Materiali!B29</f>
        <v>1670</v>
      </c>
      <c r="C51" s="22" t="s">
        <v>5</v>
      </c>
      <c r="D51" t="s">
        <v>315</v>
      </c>
    </row>
    <row r="52" spans="1:19" ht="18.75" x14ac:dyDescent="0.35">
      <c r="A52" s="22" t="s">
        <v>55</v>
      </c>
      <c r="B52" s="61">
        <f>Materiali!B27</f>
        <v>195000</v>
      </c>
      <c r="C52" s="22" t="s">
        <v>5</v>
      </c>
      <c r="D52" t="s">
        <v>316</v>
      </c>
    </row>
    <row r="53" spans="1:19" ht="18" x14ac:dyDescent="0.35">
      <c r="A53" s="22" t="s">
        <v>317</v>
      </c>
      <c r="B53" s="61">
        <f>'Caratteristiche trave V185'!B13</f>
        <v>42</v>
      </c>
      <c r="C53" s="22" t="s">
        <v>259</v>
      </c>
      <c r="D53" t="s">
        <v>318</v>
      </c>
    </row>
    <row r="54" spans="1:19" x14ac:dyDescent="0.25">
      <c r="A54" s="22" t="s">
        <v>88</v>
      </c>
      <c r="B54" s="61">
        <f>1.4-B4-0.11</f>
        <v>0.24099999999999999</v>
      </c>
      <c r="C54" s="22" t="s">
        <v>3</v>
      </c>
      <c r="D54" t="s">
        <v>319</v>
      </c>
    </row>
    <row r="55" spans="1:19" x14ac:dyDescent="0.25">
      <c r="A55" s="22" t="s">
        <v>320</v>
      </c>
      <c r="B55" s="61" t="s">
        <v>321</v>
      </c>
      <c r="C55" s="22" t="s">
        <v>259</v>
      </c>
    </row>
    <row r="56" spans="1:19" ht="18" x14ac:dyDescent="0.35">
      <c r="A56" s="29" t="s">
        <v>322</v>
      </c>
      <c r="B56" s="61">
        <v>2.5</v>
      </c>
      <c r="C56" s="22" t="s">
        <v>259</v>
      </c>
      <c r="D56" t="s">
        <v>323</v>
      </c>
    </row>
    <row r="57" spans="1:19" ht="18" x14ac:dyDescent="0.35">
      <c r="A57" s="29" t="s">
        <v>324</v>
      </c>
      <c r="B57" s="23">
        <f>B58/B50</f>
        <v>0.68256590173781273</v>
      </c>
      <c r="C57" s="22" t="s">
        <v>325</v>
      </c>
    </row>
    <row r="58" spans="1:19" ht="18.75" x14ac:dyDescent="0.35">
      <c r="A58" s="22" t="s">
        <v>326</v>
      </c>
      <c r="B58" s="9">
        <f>'fase 0 '!B7</f>
        <v>1269.5725772323317</v>
      </c>
      <c r="C58" s="22" t="s">
        <v>5</v>
      </c>
      <c r="D58" t="s">
        <v>327</v>
      </c>
    </row>
    <row r="59" spans="1:19" ht="18.75" x14ac:dyDescent="0.35">
      <c r="A59" s="29" t="s">
        <v>328</v>
      </c>
      <c r="B59" s="9">
        <f>0.66*B56*EXP(9.1*B57)*(B60/1000)^(0.75*(1-B57))*10^(-5)*B58</f>
        <v>45.841119157243213</v>
      </c>
      <c r="C59" s="22" t="s">
        <v>5</v>
      </c>
      <c r="D59" t="s">
        <v>329</v>
      </c>
    </row>
    <row r="60" spans="1:19" x14ac:dyDescent="0.25">
      <c r="A60" s="29" t="s">
        <v>29</v>
      </c>
      <c r="B60" s="61">
        <v>500000</v>
      </c>
      <c r="C60" s="22" t="s">
        <v>330</v>
      </c>
      <c r="D60" t="s">
        <v>331</v>
      </c>
    </row>
    <row r="61" spans="1:19" x14ac:dyDescent="0.25">
      <c r="A61" s="83" t="s">
        <v>332</v>
      </c>
      <c r="B61" s="83"/>
      <c r="C61" s="83"/>
      <c r="D61" s="10"/>
      <c r="E61" s="10"/>
    </row>
    <row r="62" spans="1:19" ht="17.25" x14ac:dyDescent="0.25">
      <c r="A62" s="29" t="s">
        <v>247</v>
      </c>
      <c r="B62" s="9">
        <f>'Caratteristiche trave V185'!B20/1000^4</f>
        <v>0.35723830626699998</v>
      </c>
      <c r="C62" s="22" t="s">
        <v>248</v>
      </c>
    </row>
    <row r="63" spans="1:19" ht="17.25" x14ac:dyDescent="0.25">
      <c r="A63" s="29" t="s">
        <v>244</v>
      </c>
      <c r="B63" s="13">
        <f>'Caratteristiche trave V185'!B17/1000^2</f>
        <v>0.93301199999999995</v>
      </c>
      <c r="C63" s="22" t="s">
        <v>253</v>
      </c>
    </row>
    <row r="64" spans="1:19" x14ac:dyDescent="0.25">
      <c r="A64" s="29" t="s">
        <v>62</v>
      </c>
      <c r="B64" s="13">
        <f>'Caratteristiche trave V185'!B16</f>
        <v>6</v>
      </c>
      <c r="C64" s="22" t="s">
        <v>259</v>
      </c>
    </row>
    <row r="65" spans="1:5" x14ac:dyDescent="0.25">
      <c r="A65" s="29" t="s">
        <v>333</v>
      </c>
      <c r="B65" s="13">
        <f>'Caratteristiche trave V185'!B18/1000</f>
        <v>1.071</v>
      </c>
      <c r="C65" s="22" t="s">
        <v>3</v>
      </c>
    </row>
    <row r="66" spans="1:5" x14ac:dyDescent="0.25">
      <c r="A66" s="83" t="s">
        <v>334</v>
      </c>
      <c r="B66" s="83"/>
      <c r="C66" s="83"/>
      <c r="D66" s="10"/>
      <c r="E66" s="10"/>
    </row>
    <row r="67" spans="1:5" ht="17.25" x14ac:dyDescent="0.25">
      <c r="A67" s="29" t="s">
        <v>247</v>
      </c>
      <c r="B67" s="9">
        <f>'Caratteristiche trave V185'!B48/1000^4</f>
        <v>0.896275382452</v>
      </c>
      <c r="C67" s="22" t="s">
        <v>248</v>
      </c>
    </row>
    <row r="68" spans="1:5" ht="17.25" x14ac:dyDescent="0.25">
      <c r="A68" s="29" t="s">
        <v>244</v>
      </c>
      <c r="B68" s="9">
        <f>'Caratteristiche trave V185'!B41/1000^2</f>
        <v>1.5013000000000001</v>
      </c>
      <c r="C68" s="22" t="s">
        <v>253</v>
      </c>
    </row>
    <row r="69" spans="1:5" x14ac:dyDescent="0.25">
      <c r="A69" s="29" t="s">
        <v>62</v>
      </c>
      <c r="B69" s="9">
        <f>'Caratteristiche trave V185'!B16</f>
        <v>6</v>
      </c>
      <c r="C69" s="22" t="s">
        <v>259</v>
      </c>
    </row>
    <row r="70" spans="1:5" x14ac:dyDescent="0.25">
      <c r="A70" s="29" t="s">
        <v>335</v>
      </c>
      <c r="B70" s="9">
        <f>'Caratteristiche trave V185'!B40</f>
        <v>1.051714182491849</v>
      </c>
      <c r="C70" s="22" t="s">
        <v>259</v>
      </c>
    </row>
    <row r="71" spans="1:5" x14ac:dyDescent="0.25">
      <c r="A71" s="29" t="s">
        <v>333</v>
      </c>
      <c r="B71" s="9">
        <f>'Caratteristiche trave V185'!B45/1000</f>
        <v>1.2569999999999999</v>
      </c>
      <c r="C71" s="22" t="s">
        <v>3</v>
      </c>
    </row>
    <row r="72" spans="1:5" x14ac:dyDescent="0.25">
      <c r="A72" s="82" t="s">
        <v>336</v>
      </c>
      <c r="B72" s="83"/>
      <c r="C72" s="84"/>
      <c r="D72" s="10"/>
      <c r="E72" s="10"/>
    </row>
    <row r="73" spans="1:5" x14ac:dyDescent="0.25">
      <c r="A73" s="82" t="s">
        <v>337</v>
      </c>
      <c r="B73" s="83"/>
      <c r="C73" s="84"/>
      <c r="D73" s="10"/>
      <c r="E73" s="10"/>
    </row>
    <row r="74" spans="1:5" x14ac:dyDescent="0.25">
      <c r="A74" s="82" t="s">
        <v>338</v>
      </c>
      <c r="B74" s="83"/>
      <c r="C74" s="84"/>
    </row>
    <row r="75" spans="1:5" ht="18" x14ac:dyDescent="0.35">
      <c r="A75" s="29" t="s">
        <v>339</v>
      </c>
      <c r="B75" s="23">
        <f>(B58*B49*B53/1000)*(1/B63+(B65)/B62*B65)/(B25*1000)</f>
        <v>8.7164780155599847E-4</v>
      </c>
      <c r="C75" s="22" t="s">
        <v>259</v>
      </c>
      <c r="D75" t="s">
        <v>340</v>
      </c>
    </row>
    <row r="76" spans="1:5" ht="18.75" x14ac:dyDescent="0.35">
      <c r="A76" s="29" t="s">
        <v>341</v>
      </c>
      <c r="B76" s="9">
        <f>B75*('Caratteristiche trave V185'!B25/1000)/(B65)*B52</f>
        <v>57.140774548715321</v>
      </c>
      <c r="C76" s="22" t="s">
        <v>5</v>
      </c>
      <c r="D76" t="s">
        <v>342</v>
      </c>
    </row>
    <row r="77" spans="1:5" x14ac:dyDescent="0.25">
      <c r="A77" s="102" t="s">
        <v>343</v>
      </c>
      <c r="B77" s="102"/>
      <c r="C77" s="102"/>
    </row>
    <row r="78" spans="1:5" ht="18.75" x14ac:dyDescent="0.35">
      <c r="A78" s="29" t="s">
        <v>344</v>
      </c>
      <c r="B78" s="9">
        <f>B59</f>
        <v>45.841119157243213</v>
      </c>
      <c r="C78" s="22" t="s">
        <v>5</v>
      </c>
      <c r="D78" t="s">
        <v>329</v>
      </c>
    </row>
    <row r="79" spans="1:5" x14ac:dyDescent="0.25">
      <c r="A79" s="102" t="s">
        <v>345</v>
      </c>
      <c r="B79" s="102"/>
      <c r="C79" s="102"/>
    </row>
    <row r="80" spans="1:5" ht="18.75" x14ac:dyDescent="0.35">
      <c r="A80" s="29" t="s">
        <v>346</v>
      </c>
      <c r="B80" s="9">
        <f>-B41*B52</f>
        <v>54.338805477649679</v>
      </c>
      <c r="C80" s="22" t="s">
        <v>5</v>
      </c>
      <c r="D80" t="s">
        <v>347</v>
      </c>
    </row>
    <row r="81" spans="1:4" x14ac:dyDescent="0.25">
      <c r="A81" s="102" t="s">
        <v>348</v>
      </c>
      <c r="B81" s="102"/>
      <c r="C81" s="102"/>
    </row>
    <row r="82" spans="1:4" x14ac:dyDescent="0.25">
      <c r="A82" s="22" t="s">
        <v>349</v>
      </c>
      <c r="B82" s="65">
        <f>'fase 0 '!B4</f>
        <v>1783.2910602272727</v>
      </c>
      <c r="C82" s="22" t="s">
        <v>350</v>
      </c>
      <c r="D82" t="s">
        <v>351</v>
      </c>
    </row>
    <row r="83" spans="1:4" x14ac:dyDescent="0.25">
      <c r="A83" s="22" t="s">
        <v>349</v>
      </c>
      <c r="B83" s="61">
        <v>0</v>
      </c>
      <c r="C83" s="22" t="s">
        <v>350</v>
      </c>
      <c r="D83" t="s">
        <v>352</v>
      </c>
    </row>
    <row r="84" spans="1:4" ht="18" x14ac:dyDescent="0.35">
      <c r="A84" s="29" t="s">
        <v>353</v>
      </c>
      <c r="B84" s="37">
        <f>(B82/B62+B83/B62)*('Caratteristiche trave V185'!B25/1000)/1000/B27</f>
        <v>1.6692342473775999E-4</v>
      </c>
      <c r="C84" s="22" t="s">
        <v>259</v>
      </c>
      <c r="D84" t="s">
        <v>354</v>
      </c>
    </row>
    <row r="85" spans="1:4" ht="18.75" x14ac:dyDescent="0.35">
      <c r="A85" s="29" t="s">
        <v>355</v>
      </c>
      <c r="B85" s="37">
        <f>B84*B52</f>
        <v>32.550067823863202</v>
      </c>
      <c r="C85" s="22" t="s">
        <v>5</v>
      </c>
      <c r="D85" t="s">
        <v>356</v>
      </c>
    </row>
    <row r="87" spans="1:4" x14ac:dyDescent="0.25">
      <c r="A87" s="108" t="s">
        <v>357</v>
      </c>
      <c r="B87" s="108"/>
      <c r="C87" s="108"/>
    </row>
    <row r="88" spans="1:4" ht="18.75" x14ac:dyDescent="0.35">
      <c r="A88" s="29" t="s">
        <v>358</v>
      </c>
      <c r="B88" s="9">
        <f>B76</f>
        <v>57.140774548715321</v>
      </c>
      <c r="C88" s="22" t="s">
        <v>5</v>
      </c>
      <c r="D88" t="s">
        <v>359</v>
      </c>
    </row>
    <row r="89" spans="1:4" ht="18.75" x14ac:dyDescent="0.35">
      <c r="A89" s="29" t="s">
        <v>360</v>
      </c>
      <c r="B89" s="9">
        <f>B58-B88</f>
        <v>1212.4318026836163</v>
      </c>
      <c r="C89" s="22" t="s">
        <v>5</v>
      </c>
      <c r="D89" t="s">
        <v>361</v>
      </c>
    </row>
    <row r="90" spans="1:4" ht="18" x14ac:dyDescent="0.35">
      <c r="A90" s="57" t="s">
        <v>362</v>
      </c>
      <c r="B90" s="66">
        <f>B88*B53*B49/1000</f>
        <v>333.58784181540005</v>
      </c>
      <c r="C90" s="58" t="s">
        <v>363</v>
      </c>
    </row>
    <row r="91" spans="1:4" x14ac:dyDescent="0.25">
      <c r="A91" s="108" t="s">
        <v>364</v>
      </c>
      <c r="B91" s="108"/>
      <c r="C91" s="108"/>
    </row>
    <row r="92" spans="1:4" ht="18.75" x14ac:dyDescent="0.35">
      <c r="A92" s="29" t="s">
        <v>365</v>
      </c>
      <c r="B92" s="9">
        <f>(B76+0.8*B78+B80+B85)/(1+(B52*B53*B49)/(B25*B2*1000^2)*(1+B2/B5*('Caratteristiche trave V185'!B25/1000)^2)*(1+0.8*B22*B24))</f>
        <v>158.6265213178005</v>
      </c>
      <c r="C92" s="22" t="s">
        <v>5</v>
      </c>
      <c r="D92" t="s">
        <v>366</v>
      </c>
    </row>
    <row r="93" spans="1:4" ht="18.75" x14ac:dyDescent="0.35">
      <c r="A93" s="29" t="s">
        <v>360</v>
      </c>
      <c r="B93" s="9">
        <f>B58-B92</f>
        <v>1110.9460559145311</v>
      </c>
      <c r="C93" s="22" t="s">
        <v>5</v>
      </c>
      <c r="D93" t="s">
        <v>367</v>
      </c>
    </row>
    <row r="94" spans="1:4" ht="18" x14ac:dyDescent="0.35">
      <c r="A94" s="57" t="s">
        <v>368</v>
      </c>
      <c r="B94" s="66">
        <f>B92*B53*B49/1000</f>
        <v>926.06163145331936</v>
      </c>
      <c r="C94" s="58" t="s">
        <v>363</v>
      </c>
    </row>
    <row r="95" spans="1:4" x14ac:dyDescent="0.25">
      <c r="A95" s="108" t="s">
        <v>369</v>
      </c>
      <c r="B95" s="108"/>
      <c r="C95" s="108"/>
    </row>
    <row r="96" spans="1:4" x14ac:dyDescent="0.25">
      <c r="A96" s="102" t="s">
        <v>370</v>
      </c>
      <c r="B96" s="102"/>
      <c r="C96" s="102"/>
    </row>
    <row r="97" spans="1:4" ht="18" x14ac:dyDescent="0.35">
      <c r="A97" s="54" t="s">
        <v>371</v>
      </c>
      <c r="B97" s="64">
        <f>Q49</f>
        <v>-2.0215206664921226E-4</v>
      </c>
      <c r="C97" s="59" t="s">
        <v>259</v>
      </c>
      <c r="D97" t="s">
        <v>372</v>
      </c>
    </row>
    <row r="98" spans="1:4" ht="18.75" x14ac:dyDescent="0.35">
      <c r="A98" s="57" t="s">
        <v>373</v>
      </c>
      <c r="B98" s="63">
        <f>B97*Q34</f>
        <v>-6.9996133990704585</v>
      </c>
      <c r="C98" s="58" t="s">
        <v>5</v>
      </c>
      <c r="D98" t="s">
        <v>347</v>
      </c>
    </row>
    <row r="99" spans="1:4" x14ac:dyDescent="0.25">
      <c r="A99" s="54" t="s">
        <v>374</v>
      </c>
      <c r="B99" s="9">
        <f>B98*Q4*Q5/4*1000</f>
        <v>-4374.758374419036</v>
      </c>
      <c r="C99" s="59" t="s">
        <v>363</v>
      </c>
      <c r="D99" t="s">
        <v>375</v>
      </c>
    </row>
    <row r="100" spans="1:4" x14ac:dyDescent="0.25">
      <c r="A100" s="54" t="s">
        <v>349</v>
      </c>
      <c r="B100" s="9">
        <f>B99*('Caratteristiche trave V185'!B50/1000)</f>
        <v>-2388.8263942601466</v>
      </c>
      <c r="C100" s="59" t="s">
        <v>350</v>
      </c>
      <c r="D100" t="s">
        <v>376</v>
      </c>
    </row>
    <row r="101" spans="1:4" ht="18.75" x14ac:dyDescent="0.35">
      <c r="A101" s="29" t="s">
        <v>377</v>
      </c>
      <c r="B101" s="9">
        <f>(B99/B68+B100/B67*('Caratteristiche trave V185'!B50/1000))/1000</f>
        <v>-4.369350871601271</v>
      </c>
      <c r="C101" s="22" t="s">
        <v>5</v>
      </c>
      <c r="D101" t="s">
        <v>378</v>
      </c>
    </row>
    <row r="102" spans="1:4" ht="18.75" x14ac:dyDescent="0.35">
      <c r="A102" s="29" t="s">
        <v>379</v>
      </c>
      <c r="B102" s="9">
        <f>(B99/B68+B100/B67*(B71))/1000</f>
        <v>-6.2642392573950172</v>
      </c>
      <c r="C102" s="22" t="s">
        <v>5</v>
      </c>
      <c r="D102" t="s">
        <v>380</v>
      </c>
    </row>
    <row r="103" spans="1:4" ht="18.75" x14ac:dyDescent="0.35">
      <c r="A103" s="29" t="s">
        <v>381</v>
      </c>
      <c r="B103" s="9">
        <f>(B99/B68+B100/B67*('Caratteristiche trave V185'!B50/1000))/1000*B69</f>
        <v>-26.216105229607628</v>
      </c>
      <c r="C103" s="22" t="s">
        <v>5</v>
      </c>
      <c r="D103" t="s">
        <v>382</v>
      </c>
    </row>
    <row r="104" spans="1:4" x14ac:dyDescent="0.25">
      <c r="A104" s="102" t="s">
        <v>348</v>
      </c>
      <c r="B104" s="102"/>
      <c r="C104" s="102"/>
    </row>
    <row r="105" spans="1:4" x14ac:dyDescent="0.25">
      <c r="A105" s="22" t="s">
        <v>349</v>
      </c>
      <c r="B105" s="9">
        <f>'fase 2 '!B6</f>
        <v>664.31525000000011</v>
      </c>
      <c r="C105" s="22" t="s">
        <v>350</v>
      </c>
      <c r="D105" t="s">
        <v>351</v>
      </c>
    </row>
    <row r="106" spans="1:4" ht="18" x14ac:dyDescent="0.35">
      <c r="A106" s="29" t="s">
        <v>353</v>
      </c>
      <c r="B106" s="9">
        <f>(B105/B67)*('Caratteristiche trave V185'!B50/1000)/1000/B27</f>
        <v>3.7588621959555906E-5</v>
      </c>
      <c r="C106" s="22" t="s">
        <v>259</v>
      </c>
      <c r="D106" t="s">
        <v>354</v>
      </c>
    </row>
    <row r="107" spans="1:4" ht="18.75" x14ac:dyDescent="0.35">
      <c r="A107" s="29" t="s">
        <v>355</v>
      </c>
      <c r="B107" s="9">
        <f>B106*B52</f>
        <v>7.3297812821134016</v>
      </c>
      <c r="C107" s="22" t="s">
        <v>5</v>
      </c>
      <c r="D107" t="s">
        <v>383</v>
      </c>
    </row>
    <row r="108" spans="1:4" x14ac:dyDescent="0.25">
      <c r="A108" s="102" t="s">
        <v>343</v>
      </c>
      <c r="B108" s="102"/>
      <c r="C108" s="102"/>
    </row>
    <row r="109" spans="1:4" ht="18.75" x14ac:dyDescent="0.35">
      <c r="A109" s="29" t="s">
        <v>344</v>
      </c>
      <c r="B109" s="61">
        <v>0</v>
      </c>
      <c r="C109" s="22" t="s">
        <v>5</v>
      </c>
      <c r="D109" t="s">
        <v>329</v>
      </c>
    </row>
    <row r="110" spans="1:4" x14ac:dyDescent="0.25">
      <c r="A110" s="106" t="s">
        <v>384</v>
      </c>
      <c r="B110" s="106"/>
      <c r="C110" s="106"/>
    </row>
    <row r="111" spans="1:4" ht="18.75" x14ac:dyDescent="0.35">
      <c r="A111" s="29" t="s">
        <v>385</v>
      </c>
      <c r="B111" s="9">
        <f>B109+B107</f>
        <v>7.3297812821134016</v>
      </c>
      <c r="C111" s="22" t="s">
        <v>5</v>
      </c>
    </row>
    <row r="112" spans="1:4" ht="18" x14ac:dyDescent="0.35">
      <c r="A112" s="57" t="s">
        <v>368</v>
      </c>
      <c r="B112" s="62">
        <f>B111*B53*B49/1000</f>
        <v>42.791263124978038</v>
      </c>
      <c r="C112" s="58" t="s">
        <v>363</v>
      </c>
    </row>
    <row r="113" spans="1:4" x14ac:dyDescent="0.25">
      <c r="A113" s="107" t="s">
        <v>386</v>
      </c>
      <c r="B113" s="107"/>
      <c r="C113" s="107"/>
    </row>
    <row r="114" spans="1:4" x14ac:dyDescent="0.25">
      <c r="A114" s="96" t="s">
        <v>387</v>
      </c>
      <c r="B114" s="96"/>
      <c r="C114" s="96"/>
    </row>
    <row r="115" spans="1:4" x14ac:dyDescent="0.25">
      <c r="A115" s="22" t="s">
        <v>388</v>
      </c>
      <c r="B115" s="61">
        <v>300</v>
      </c>
      <c r="C115" s="22" t="s">
        <v>363</v>
      </c>
      <c r="D115" t="s">
        <v>416</v>
      </c>
    </row>
    <row r="116" spans="1:4" ht="17.25" x14ac:dyDescent="0.25">
      <c r="A116" s="22" t="s">
        <v>389</v>
      </c>
      <c r="B116" s="61">
        <v>9</v>
      </c>
      <c r="C116" s="22" t="s">
        <v>390</v>
      </c>
      <c r="D116" t="s">
        <v>417</v>
      </c>
    </row>
    <row r="117" spans="1:4" x14ac:dyDescent="0.25">
      <c r="A117" s="22" t="s">
        <v>391</v>
      </c>
      <c r="B117" s="9">
        <f>'fase 3'!B2</f>
        <v>3162</v>
      </c>
      <c r="C117" s="22" t="s">
        <v>350</v>
      </c>
    </row>
    <row r="118" spans="1:4" ht="18.75" x14ac:dyDescent="0.35">
      <c r="A118" s="29" t="s">
        <v>392</v>
      </c>
      <c r="B118" s="9">
        <f>B117/B67*('Caratteristiche trave V185'!B50/1000)*B69/1000</f>
        <v>11.558518320820037</v>
      </c>
      <c r="C118" s="22" t="s">
        <v>390</v>
      </c>
      <c r="D118" t="s">
        <v>418</v>
      </c>
    </row>
  </sheetData>
  <mergeCells count="29">
    <mergeCell ref="P8:R8"/>
    <mergeCell ref="P9:R9"/>
    <mergeCell ref="P1:R1"/>
    <mergeCell ref="A96:C96"/>
    <mergeCell ref="A104:C104"/>
    <mergeCell ref="A95:C95"/>
    <mergeCell ref="A72:C72"/>
    <mergeCell ref="A77:C77"/>
    <mergeCell ref="A33:C33"/>
    <mergeCell ref="H30:I30"/>
    <mergeCell ref="A1:C1"/>
    <mergeCell ref="A7:C7"/>
    <mergeCell ref="A10:C10"/>
    <mergeCell ref="A110:C110"/>
    <mergeCell ref="A113:C113"/>
    <mergeCell ref="A114:C114"/>
    <mergeCell ref="P19:U19"/>
    <mergeCell ref="P42:R42"/>
    <mergeCell ref="A108:C108"/>
    <mergeCell ref="A46:C46"/>
    <mergeCell ref="A47:C47"/>
    <mergeCell ref="A61:C61"/>
    <mergeCell ref="A66:C66"/>
    <mergeCell ref="A73:C73"/>
    <mergeCell ref="A74:C74"/>
    <mergeCell ref="A79:C79"/>
    <mergeCell ref="A81:C81"/>
    <mergeCell ref="A87:C87"/>
    <mergeCell ref="A91:C91"/>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29"/>
  <sheetViews>
    <sheetView workbookViewId="0">
      <selection activeCell="O5" sqref="O5"/>
    </sheetView>
  </sheetViews>
  <sheetFormatPr defaultRowHeight="15" x14ac:dyDescent="0.25"/>
  <cols>
    <col min="1" max="1" width="11.7109375" customWidth="1"/>
    <col min="2" max="2" width="12.28515625" customWidth="1"/>
    <col min="12" max="12" width="12.85546875" customWidth="1"/>
  </cols>
  <sheetData>
    <row r="1" spans="1:24" x14ac:dyDescent="0.25">
      <c r="A1" s="102" t="s">
        <v>426</v>
      </c>
      <c r="B1" s="102"/>
      <c r="K1" s="102" t="s">
        <v>428</v>
      </c>
      <c r="L1" s="102"/>
      <c r="M1" s="102"/>
    </row>
    <row r="2" spans="1:24" x14ac:dyDescent="0.25">
      <c r="A2" s="61" t="s">
        <v>427</v>
      </c>
      <c r="B2" s="61" t="s">
        <v>349</v>
      </c>
    </row>
    <row r="3" spans="1:24" x14ac:dyDescent="0.25">
      <c r="A3" s="61" t="s">
        <v>7</v>
      </c>
      <c r="B3" s="61" t="s">
        <v>4</v>
      </c>
      <c r="K3" s="109" t="s">
        <v>426</v>
      </c>
      <c r="L3" s="110"/>
      <c r="M3" s="110"/>
      <c r="O3" s="67"/>
      <c r="P3" s="60"/>
      <c r="Q3" s="60"/>
      <c r="R3" s="60"/>
      <c r="S3" s="67"/>
      <c r="W3" s="60"/>
      <c r="X3" s="60"/>
    </row>
    <row r="4" spans="1:24" ht="18" x14ac:dyDescent="0.35">
      <c r="A4" s="61">
        <v>0</v>
      </c>
      <c r="B4" s="61">
        <v>8693.0300000000007</v>
      </c>
      <c r="K4" s="61" t="s">
        <v>443</v>
      </c>
      <c r="L4" s="61">
        <v>983</v>
      </c>
      <c r="M4" s="61" t="s">
        <v>7</v>
      </c>
      <c r="O4" s="67"/>
      <c r="P4" s="60"/>
      <c r="Q4" s="60"/>
      <c r="R4" s="60"/>
      <c r="S4" s="67"/>
      <c r="W4" s="60"/>
      <c r="X4" s="60"/>
    </row>
    <row r="5" spans="1:24" ht="18" x14ac:dyDescent="0.35">
      <c r="K5" s="61" t="s">
        <v>444</v>
      </c>
      <c r="L5" s="61">
        <f>L4/2</f>
        <v>491.5</v>
      </c>
      <c r="M5" s="61" t="s">
        <v>7</v>
      </c>
      <c r="N5" s="60"/>
      <c r="O5" s="67"/>
      <c r="P5" s="60"/>
      <c r="Q5" s="20"/>
      <c r="R5" s="60"/>
      <c r="S5" s="67"/>
      <c r="W5" s="60"/>
      <c r="X5" s="60"/>
    </row>
    <row r="6" spans="1:24" x14ac:dyDescent="0.25">
      <c r="O6" s="67"/>
      <c r="P6" s="60"/>
      <c r="Q6" s="20"/>
      <c r="R6" s="60"/>
      <c r="S6" s="67"/>
      <c r="W6" s="60"/>
      <c r="X6" s="60"/>
    </row>
    <row r="7" spans="1:24" x14ac:dyDescent="0.25">
      <c r="K7" s="82" t="s">
        <v>445</v>
      </c>
      <c r="L7" s="83"/>
      <c r="M7" s="84"/>
      <c r="O7" s="67"/>
      <c r="P7" s="70"/>
      <c r="Q7" s="68"/>
      <c r="R7" s="60"/>
      <c r="S7" s="67"/>
      <c r="W7" s="60"/>
      <c r="X7" s="60"/>
    </row>
    <row r="8" spans="1:24" x14ac:dyDescent="0.25">
      <c r="K8" s="11" t="s">
        <v>437</v>
      </c>
      <c r="L8" s="11">
        <v>140</v>
      </c>
      <c r="M8" s="59" t="s">
        <v>6</v>
      </c>
      <c r="O8" s="67"/>
      <c r="P8" s="70"/>
      <c r="Q8" s="69"/>
      <c r="R8" s="60"/>
      <c r="S8" s="67"/>
      <c r="W8" s="60"/>
      <c r="X8" s="60"/>
    </row>
    <row r="9" spans="1:24" x14ac:dyDescent="0.25">
      <c r="K9" s="11" t="s">
        <v>429</v>
      </c>
      <c r="L9" s="11">
        <v>1400</v>
      </c>
      <c r="M9" s="59" t="s">
        <v>6</v>
      </c>
      <c r="O9" s="67"/>
      <c r="P9" s="60"/>
      <c r="Q9" s="2"/>
      <c r="R9" s="60"/>
      <c r="S9" s="67"/>
      <c r="W9" s="60"/>
      <c r="X9" s="60"/>
    </row>
    <row r="10" spans="1:24" x14ac:dyDescent="0.25">
      <c r="K10" s="35" t="s">
        <v>159</v>
      </c>
      <c r="L10" s="11">
        <v>12</v>
      </c>
      <c r="M10" s="11" t="s">
        <v>6</v>
      </c>
      <c r="O10" s="67"/>
      <c r="Q10" s="60"/>
      <c r="R10" s="67"/>
      <c r="S10" s="67"/>
      <c r="W10" s="60"/>
      <c r="X10" s="60"/>
    </row>
    <row r="11" spans="1:24" x14ac:dyDescent="0.25">
      <c r="K11" s="11" t="s">
        <v>430</v>
      </c>
      <c r="L11" s="11">
        <v>200</v>
      </c>
      <c r="M11" s="11" t="s">
        <v>6</v>
      </c>
      <c r="O11" s="67"/>
      <c r="Q11" s="60"/>
      <c r="R11" s="67"/>
      <c r="S11" s="67"/>
      <c r="W11" s="60"/>
      <c r="X11" s="60"/>
    </row>
    <row r="12" spans="1:24" ht="18" x14ac:dyDescent="0.35">
      <c r="K12" s="35" t="s">
        <v>431</v>
      </c>
      <c r="L12" s="72">
        <f>ASIN(SQRT(2*L10^2/4*PI()*Materiali!$O$4/($L$8*L11*0.5*Materiali!$B$5)))</f>
        <v>0.51710752518179859</v>
      </c>
      <c r="M12" s="11" t="s">
        <v>435</v>
      </c>
      <c r="N12" t="s">
        <v>448</v>
      </c>
      <c r="O12" s="67"/>
      <c r="Q12" s="60"/>
      <c r="R12" s="67"/>
      <c r="S12" s="67"/>
      <c r="W12" s="60"/>
      <c r="X12" s="60"/>
    </row>
    <row r="13" spans="1:24" x14ac:dyDescent="0.25">
      <c r="K13" s="35" t="s">
        <v>431</v>
      </c>
      <c r="L13" s="73">
        <f>DEGREES(L12)</f>
        <v>29.628078747371998</v>
      </c>
      <c r="M13" s="11" t="s">
        <v>436</v>
      </c>
      <c r="W13" s="60"/>
      <c r="X13" s="60"/>
    </row>
    <row r="14" spans="1:24" x14ac:dyDescent="0.25">
      <c r="K14" s="35" t="s">
        <v>431</v>
      </c>
      <c r="L14" s="73">
        <f>IF(L13&lt;21.8,21.8,L13)</f>
        <v>29.628078747371998</v>
      </c>
      <c r="M14" s="11" t="s">
        <v>436</v>
      </c>
      <c r="N14" t="s">
        <v>449</v>
      </c>
      <c r="W14" s="60"/>
      <c r="X14" s="60"/>
    </row>
    <row r="15" spans="1:24" x14ac:dyDescent="0.25">
      <c r="K15" s="35" t="s">
        <v>431</v>
      </c>
      <c r="L15" s="73">
        <f>RADIANS(L14)</f>
        <v>0.51710752518179859</v>
      </c>
      <c r="M15" s="11" t="s">
        <v>435</v>
      </c>
      <c r="W15" s="60"/>
      <c r="X15" s="60"/>
    </row>
    <row r="16" spans="1:24" ht="18" x14ac:dyDescent="0.35">
      <c r="K16" s="11" t="s">
        <v>432</v>
      </c>
      <c r="L16" s="74">
        <f>(0.9*($L$9-30)*(2*PI()*L10^2/4)/L11*Materiali!$O$4)/1000*_xlfn.COT(L15)</f>
        <v>959.4578996787518</v>
      </c>
      <c r="M16" s="11" t="s">
        <v>7</v>
      </c>
      <c r="N16" s="16" t="s">
        <v>446</v>
      </c>
      <c r="W16" s="60"/>
      <c r="X16" s="60"/>
    </row>
    <row r="17" spans="11:24" ht="18" x14ac:dyDescent="0.35">
      <c r="K17" s="11" t="s">
        <v>433</v>
      </c>
      <c r="L17" s="74">
        <f>(0.9*($L$9-30)*$L$8*0.5*Materiali!$B$5)*(_xlfn.COT(L15))/(1+_xlfn.COT(L15)^2)/1000</f>
        <v>959.45789967875146</v>
      </c>
      <c r="M17" s="11" t="s">
        <v>7</v>
      </c>
      <c r="N17" s="16" t="s">
        <v>447</v>
      </c>
      <c r="W17" s="60"/>
      <c r="X17" s="60"/>
    </row>
    <row r="18" spans="11:24" ht="18" x14ac:dyDescent="0.35">
      <c r="K18" s="11" t="s">
        <v>434</v>
      </c>
      <c r="L18" s="74">
        <f>MIN(L16:L17)</f>
        <v>959.45789967875146</v>
      </c>
      <c r="M18" s="11" t="s">
        <v>7</v>
      </c>
      <c r="W18" s="60"/>
      <c r="X18" s="60"/>
    </row>
    <row r="19" spans="11:24" x14ac:dyDescent="0.25">
      <c r="K19" s="11" t="s">
        <v>230</v>
      </c>
      <c r="L19" s="9">
        <f>L5/L18</f>
        <v>0.51226843842191039</v>
      </c>
      <c r="M19" s="61" t="str">
        <f>IF((L19 &lt; 1),"VERIFICA", " NON VERIFICA")</f>
        <v>VERIFICA</v>
      </c>
      <c r="W19" s="60"/>
      <c r="X19" s="60"/>
    </row>
    <row r="21" spans="11:24" x14ac:dyDescent="0.25">
      <c r="K21" s="60"/>
    </row>
    <row r="22" spans="11:24" x14ac:dyDescent="0.25">
      <c r="K22" s="60"/>
      <c r="L22" s="60"/>
      <c r="M22" s="60"/>
      <c r="N22" s="60"/>
    </row>
    <row r="23" spans="11:24" x14ac:dyDescent="0.25">
      <c r="K23" s="60"/>
      <c r="L23" s="60"/>
      <c r="M23" s="60"/>
      <c r="N23" s="60"/>
      <c r="W23" s="60"/>
      <c r="X23" s="60"/>
    </row>
    <row r="24" spans="11:24" x14ac:dyDescent="0.25">
      <c r="K24" s="60"/>
      <c r="L24" s="60"/>
      <c r="M24" s="60"/>
      <c r="N24" s="60"/>
      <c r="W24" s="60"/>
      <c r="X24" s="60"/>
    </row>
    <row r="25" spans="11:24" x14ac:dyDescent="0.25">
      <c r="K25" s="60"/>
      <c r="L25" s="60"/>
      <c r="M25" s="60"/>
      <c r="N25" s="60"/>
      <c r="W25" s="60"/>
      <c r="X25" s="60"/>
    </row>
    <row r="26" spans="11:24" x14ac:dyDescent="0.25">
      <c r="K26" s="60"/>
      <c r="L26" s="60"/>
      <c r="M26" s="60"/>
      <c r="N26" s="60"/>
      <c r="W26" s="60"/>
      <c r="X26" s="60"/>
    </row>
    <row r="27" spans="11:24" x14ac:dyDescent="0.25">
      <c r="K27" s="60"/>
      <c r="L27" s="60"/>
      <c r="M27" s="60"/>
      <c r="N27" s="60"/>
      <c r="W27" s="60"/>
      <c r="X27" s="60"/>
    </row>
    <row r="28" spans="11:24" x14ac:dyDescent="0.25">
      <c r="K28" s="60"/>
      <c r="L28" s="60"/>
      <c r="M28" s="60"/>
      <c r="N28" s="60"/>
      <c r="W28" s="60"/>
      <c r="X28" s="60"/>
    </row>
    <row r="29" spans="11:24" x14ac:dyDescent="0.25">
      <c r="K29" s="60"/>
      <c r="L29" s="60"/>
      <c r="M29" s="60"/>
      <c r="N29" s="60"/>
      <c r="T29" s="20"/>
      <c r="W29" s="60"/>
      <c r="X29" s="60"/>
    </row>
  </sheetData>
  <mergeCells count="4">
    <mergeCell ref="K7:M7"/>
    <mergeCell ref="A1:B1"/>
    <mergeCell ref="K1:M1"/>
    <mergeCell ref="K3:M3"/>
  </mergeCells>
  <phoneticPr fontId="4" type="noConversion"/>
  <conditionalFormatting sqref="M19">
    <cfRule type="containsText" dxfId="13" priority="1" operator="containsText" text="NON ">
      <formula>NOT(ISERROR(SEARCH("NON ",M19)))</formula>
    </cfRule>
    <cfRule type="containsText" dxfId="12" priority="2" operator="containsText" text="VERIFICA">
      <formula>NOT(ISERROR(SEARCH("VERIFICA",M19)))</formula>
    </cfRule>
    <cfRule type="containsText" dxfId="11" priority="3" operator="containsText" text="N">
      <formula>NOT(ISERROR(SEARCH("N",M19)))</formula>
    </cfRule>
    <cfRule type="containsText" dxfId="10" priority="4" operator="containsText" text="NON VERIFICA ">
      <formula>NOT(ISERROR(SEARCH("NON VERIFICA ",M19)))</formula>
    </cfRule>
    <cfRule type="cellIs" dxfId="9" priority="5" operator="equal">
      <formula>"NON VERIFICA"</formula>
    </cfRule>
    <cfRule type="cellIs" dxfId="8" priority="6" operator="equal">
      <formula>"NON VERIFICA"</formula>
    </cfRule>
    <cfRule type="cellIs" dxfId="7" priority="7" operator="equal">
      <formula>"VERIFICA"</formula>
    </cfRule>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77"/>
  <sheetViews>
    <sheetView workbookViewId="0">
      <selection activeCell="G16" sqref="G16"/>
    </sheetView>
  </sheetViews>
  <sheetFormatPr defaultRowHeight="15" x14ac:dyDescent="0.25"/>
  <cols>
    <col min="1" max="1" width="13.5703125" style="60" customWidth="1"/>
    <col min="2" max="2" width="21" style="60" customWidth="1"/>
    <col min="3" max="3" width="15.140625" style="60" customWidth="1"/>
    <col min="4" max="4" width="20.140625" style="60" customWidth="1"/>
  </cols>
  <sheetData>
    <row r="1" spans="1:4" x14ac:dyDescent="0.25">
      <c r="A1" s="96" t="s">
        <v>450</v>
      </c>
      <c r="B1" s="96"/>
      <c r="C1" s="96"/>
      <c r="D1" s="96"/>
    </row>
    <row r="2" spans="1:4" x14ac:dyDescent="0.25">
      <c r="A2" s="96" t="s">
        <v>425</v>
      </c>
      <c r="B2" s="96"/>
      <c r="C2" s="96" t="s">
        <v>422</v>
      </c>
      <c r="D2" s="96"/>
    </row>
    <row r="3" spans="1:4" x14ac:dyDescent="0.25">
      <c r="A3" s="60" t="s">
        <v>424</v>
      </c>
      <c r="B3" s="60" t="s">
        <v>423</v>
      </c>
      <c r="C3" s="60" t="s">
        <v>424</v>
      </c>
      <c r="D3" s="60" t="s">
        <v>423</v>
      </c>
    </row>
    <row r="4" spans="1:4" x14ac:dyDescent="0.25">
      <c r="A4" s="60">
        <v>-14478.2</v>
      </c>
      <c r="B4" s="60">
        <v>6856.48</v>
      </c>
      <c r="C4" s="60">
        <v>-10341.6</v>
      </c>
      <c r="D4" s="60">
        <v>7394.24</v>
      </c>
    </row>
    <row r="5" spans="1:4" x14ac:dyDescent="0.25">
      <c r="A5" s="60">
        <v>-14478.2</v>
      </c>
      <c r="B5" s="60">
        <v>6856.48</v>
      </c>
      <c r="C5" s="60">
        <v>-10341.6</v>
      </c>
      <c r="D5" s="60">
        <v>7394.24</v>
      </c>
    </row>
    <row r="6" spans="1:4" x14ac:dyDescent="0.25">
      <c r="A6" s="60">
        <v>-14478.2</v>
      </c>
      <c r="B6" s="60">
        <v>6856.48</v>
      </c>
      <c r="C6" s="60">
        <v>-10341.6</v>
      </c>
      <c r="D6" s="60">
        <v>7394.24</v>
      </c>
    </row>
    <row r="7" spans="1:4" x14ac:dyDescent="0.25">
      <c r="A7" s="60">
        <v>-14478.2</v>
      </c>
      <c r="B7" s="60">
        <v>6856.48</v>
      </c>
      <c r="C7" s="60">
        <v>-10341.6</v>
      </c>
      <c r="D7" s="60">
        <v>7394.24</v>
      </c>
    </row>
    <row r="8" spans="1:4" x14ac:dyDescent="0.25">
      <c r="A8" s="60">
        <v>-14478.2</v>
      </c>
      <c r="B8" s="60">
        <v>6856.48</v>
      </c>
      <c r="C8" s="60">
        <v>-10341.6</v>
      </c>
      <c r="D8" s="60">
        <v>7394.24</v>
      </c>
    </row>
    <row r="9" spans="1:4" x14ac:dyDescent="0.25">
      <c r="A9" s="60">
        <v>-14478.2</v>
      </c>
      <c r="B9" s="60">
        <v>6856.48</v>
      </c>
      <c r="C9" s="60">
        <v>-10341.6</v>
      </c>
      <c r="D9" s="60">
        <v>7394.24</v>
      </c>
    </row>
    <row r="10" spans="1:4" x14ac:dyDescent="0.25">
      <c r="A10" s="60">
        <v>-14478.2</v>
      </c>
      <c r="B10" s="60">
        <v>6856.48</v>
      </c>
      <c r="C10" s="60">
        <v>-10341.6</v>
      </c>
      <c r="D10" s="60">
        <v>7394.24</v>
      </c>
    </row>
    <row r="11" spans="1:4" x14ac:dyDescent="0.25">
      <c r="A11" s="60">
        <v>-14276</v>
      </c>
      <c r="B11" s="60">
        <v>7021.63</v>
      </c>
      <c r="C11" s="60">
        <v>-10139.4</v>
      </c>
      <c r="D11" s="60">
        <v>7559.4</v>
      </c>
    </row>
    <row r="12" spans="1:4" x14ac:dyDescent="0.25">
      <c r="A12" s="60">
        <v>-13768.8</v>
      </c>
      <c r="B12" s="60">
        <v>7434.12</v>
      </c>
      <c r="C12" s="60">
        <v>-9632.11</v>
      </c>
      <c r="D12" s="60">
        <v>7971.88</v>
      </c>
    </row>
    <row r="13" spans="1:4" x14ac:dyDescent="0.25">
      <c r="A13" s="60">
        <v>-13089.3</v>
      </c>
      <c r="B13" s="60">
        <v>7981.23</v>
      </c>
      <c r="C13" s="60">
        <v>-8952.6299999999992</v>
      </c>
      <c r="D13" s="60">
        <v>8519</v>
      </c>
    </row>
    <row r="14" spans="1:4" x14ac:dyDescent="0.25">
      <c r="A14" s="60">
        <v>-12366.3</v>
      </c>
      <c r="B14" s="60">
        <v>8555.5</v>
      </c>
      <c r="C14" s="60">
        <v>-8229.67</v>
      </c>
      <c r="D14" s="60">
        <v>9093.26</v>
      </c>
    </row>
    <row r="15" spans="1:4" x14ac:dyDescent="0.25">
      <c r="A15" s="60">
        <v>-11660.5</v>
      </c>
      <c r="B15" s="60">
        <v>9107</v>
      </c>
      <c r="C15" s="60">
        <v>-7523.85</v>
      </c>
      <c r="D15" s="60">
        <v>9644.76</v>
      </c>
    </row>
    <row r="16" spans="1:4" x14ac:dyDescent="0.25">
      <c r="A16" s="60">
        <v>-10970.3</v>
      </c>
      <c r="B16" s="60">
        <v>9637.94</v>
      </c>
      <c r="C16" s="60">
        <v>-6833.62</v>
      </c>
      <c r="D16" s="60">
        <v>10175.700000000001</v>
      </c>
    </row>
    <row r="17" spans="1:4" x14ac:dyDescent="0.25">
      <c r="A17" s="60">
        <v>-10428.799999999999</v>
      </c>
      <c r="B17" s="60">
        <v>10047.700000000001</v>
      </c>
      <c r="C17" s="60">
        <v>-6292.16</v>
      </c>
      <c r="D17" s="60">
        <v>10585.5</v>
      </c>
    </row>
    <row r="18" spans="1:4" x14ac:dyDescent="0.25">
      <c r="A18" s="60">
        <v>-9693.7800000000007</v>
      </c>
      <c r="B18" s="60">
        <v>10595.2</v>
      </c>
      <c r="C18" s="60">
        <v>-5557.14</v>
      </c>
      <c r="D18" s="60">
        <v>11132.9</v>
      </c>
    </row>
    <row r="19" spans="1:4" x14ac:dyDescent="0.25">
      <c r="A19" s="60">
        <v>-8620.15</v>
      </c>
      <c r="B19" s="60">
        <v>11377.3</v>
      </c>
      <c r="C19" s="60">
        <v>-4483.51</v>
      </c>
      <c r="D19" s="60">
        <v>11915</v>
      </c>
    </row>
    <row r="20" spans="1:4" x14ac:dyDescent="0.25">
      <c r="A20" s="60">
        <v>-6920.85</v>
      </c>
      <c r="B20" s="60">
        <v>12572.5</v>
      </c>
      <c r="C20" s="60">
        <v>-2784.21</v>
      </c>
      <c r="D20" s="60">
        <v>13110.3</v>
      </c>
    </row>
    <row r="21" spans="1:4" x14ac:dyDescent="0.25">
      <c r="A21" s="60">
        <v>-3714.14</v>
      </c>
      <c r="B21" s="60">
        <v>14671.8</v>
      </c>
      <c r="C21" s="60">
        <v>314.26100000000002</v>
      </c>
      <c r="D21" s="60">
        <v>15154.9</v>
      </c>
    </row>
    <row r="22" spans="1:4" x14ac:dyDescent="0.25">
      <c r="A22" s="60">
        <v>1879.11</v>
      </c>
      <c r="B22" s="60">
        <v>17906.7</v>
      </c>
      <c r="C22" s="60">
        <v>5686.74</v>
      </c>
      <c r="D22" s="60">
        <v>18278.3</v>
      </c>
    </row>
    <row r="23" spans="1:4" x14ac:dyDescent="0.25">
      <c r="A23" s="60">
        <v>2759.58</v>
      </c>
      <c r="B23" s="60">
        <v>18347.400000000001</v>
      </c>
      <c r="C23" s="60">
        <v>6535.57</v>
      </c>
      <c r="D23" s="60">
        <v>18703</v>
      </c>
    </row>
    <row r="24" spans="1:4" x14ac:dyDescent="0.25">
      <c r="A24" s="60">
        <v>3611.02</v>
      </c>
      <c r="B24" s="60">
        <v>18744.8</v>
      </c>
      <c r="C24" s="60">
        <v>7355.36</v>
      </c>
      <c r="D24" s="60">
        <v>19084.400000000001</v>
      </c>
    </row>
    <row r="25" spans="1:4" x14ac:dyDescent="0.25">
      <c r="A25" s="60">
        <v>4631.4799999999996</v>
      </c>
      <c r="B25" s="60">
        <v>19080</v>
      </c>
      <c r="C25" s="60">
        <v>8108.37</v>
      </c>
      <c r="D25" s="60">
        <v>19402.5</v>
      </c>
    </row>
    <row r="26" spans="1:4" x14ac:dyDescent="0.25">
      <c r="A26" s="60">
        <v>5621.09</v>
      </c>
      <c r="B26" s="60">
        <v>19352.2</v>
      </c>
      <c r="C26" s="60">
        <v>8823.06</v>
      </c>
      <c r="D26" s="60">
        <v>19657.5</v>
      </c>
    </row>
    <row r="27" spans="1:4" x14ac:dyDescent="0.25">
      <c r="A27" s="60">
        <v>6678.8</v>
      </c>
      <c r="B27" s="60">
        <v>19564.400000000001</v>
      </c>
      <c r="C27" s="60">
        <v>9605.84</v>
      </c>
      <c r="D27" s="60">
        <v>19852.5</v>
      </c>
    </row>
    <row r="28" spans="1:4" x14ac:dyDescent="0.25">
      <c r="A28" s="60">
        <v>8382.18</v>
      </c>
      <c r="B28" s="60">
        <v>19406</v>
      </c>
      <c r="C28" s="60">
        <v>11034.3</v>
      </c>
      <c r="D28" s="60">
        <v>19676.900000000001</v>
      </c>
    </row>
    <row r="29" spans="1:4" x14ac:dyDescent="0.25">
      <c r="A29" s="60">
        <v>9227.1200000000008</v>
      </c>
      <c r="B29" s="60">
        <v>19111.099999999999</v>
      </c>
      <c r="C29" s="60">
        <v>11806</v>
      </c>
      <c r="D29" s="60">
        <v>19377.400000000001</v>
      </c>
    </row>
    <row r="30" spans="1:4" x14ac:dyDescent="0.25">
      <c r="A30" s="60">
        <v>10128.1</v>
      </c>
      <c r="B30" s="60">
        <v>18787.5</v>
      </c>
      <c r="C30" s="60">
        <v>12633.7</v>
      </c>
      <c r="D30" s="60">
        <v>19049.3</v>
      </c>
    </row>
    <row r="31" spans="1:4" x14ac:dyDescent="0.25">
      <c r="A31" s="60">
        <v>11100.1</v>
      </c>
      <c r="B31" s="60">
        <v>18421.2</v>
      </c>
      <c r="C31" s="60">
        <v>13532.4</v>
      </c>
      <c r="D31" s="60">
        <v>18678.3</v>
      </c>
    </row>
    <row r="32" spans="1:4" x14ac:dyDescent="0.25">
      <c r="A32" s="60">
        <v>12163.1</v>
      </c>
      <c r="B32" s="60">
        <v>17989.3</v>
      </c>
      <c r="C32" s="60">
        <v>14522.2</v>
      </c>
      <c r="D32" s="60">
        <v>18241.8</v>
      </c>
    </row>
    <row r="33" spans="1:4" x14ac:dyDescent="0.25">
      <c r="A33" s="60">
        <v>13394.7</v>
      </c>
      <c r="B33" s="60">
        <v>17424.2</v>
      </c>
      <c r="C33" s="60">
        <v>15680.5</v>
      </c>
      <c r="D33" s="60">
        <v>17672.2</v>
      </c>
    </row>
    <row r="34" spans="1:4" x14ac:dyDescent="0.25">
      <c r="A34" s="60">
        <v>15414.1</v>
      </c>
      <c r="B34" s="60">
        <v>16259.9</v>
      </c>
      <c r="C34" s="60">
        <v>17626.599999999999</v>
      </c>
      <c r="D34" s="60">
        <v>16503.3</v>
      </c>
    </row>
    <row r="35" spans="1:4" x14ac:dyDescent="0.25">
      <c r="A35" s="60">
        <v>17177.8</v>
      </c>
      <c r="B35" s="60">
        <v>15058.6</v>
      </c>
      <c r="C35" s="60">
        <v>19392.2</v>
      </c>
      <c r="D35" s="60">
        <v>15309.7</v>
      </c>
    </row>
    <row r="36" spans="1:4" x14ac:dyDescent="0.25">
      <c r="A36" s="60">
        <v>18680</v>
      </c>
      <c r="B36" s="60">
        <v>14031.8</v>
      </c>
      <c r="C36" s="60">
        <v>20896.3</v>
      </c>
      <c r="D36" s="60">
        <v>14290.5</v>
      </c>
    </row>
    <row r="37" spans="1:4" x14ac:dyDescent="0.25">
      <c r="A37" s="60">
        <v>19920.7</v>
      </c>
      <c r="B37" s="60">
        <v>13179.5</v>
      </c>
      <c r="C37" s="60">
        <v>22139</v>
      </c>
      <c r="D37" s="60">
        <v>13445.7</v>
      </c>
    </row>
    <row r="38" spans="1:4" x14ac:dyDescent="0.25">
      <c r="A38" s="60">
        <v>20899.900000000001</v>
      </c>
      <c r="B38" s="60">
        <v>12501.6</v>
      </c>
      <c r="C38" s="60">
        <v>23120.1</v>
      </c>
      <c r="D38" s="60">
        <v>12775.5</v>
      </c>
    </row>
    <row r="39" spans="1:4" x14ac:dyDescent="0.25">
      <c r="A39" s="60">
        <v>21617.7</v>
      </c>
      <c r="B39" s="60">
        <v>11998.2</v>
      </c>
      <c r="C39" s="60">
        <v>23839.8</v>
      </c>
      <c r="D39" s="60">
        <v>12279.7</v>
      </c>
    </row>
    <row r="40" spans="1:4" x14ac:dyDescent="0.25">
      <c r="A40" s="60">
        <v>22073.9</v>
      </c>
      <c r="B40" s="60">
        <v>11669.2</v>
      </c>
      <c r="C40" s="60">
        <v>24297.9</v>
      </c>
      <c r="D40" s="60">
        <v>11958.3</v>
      </c>
    </row>
    <row r="41" spans="1:4" x14ac:dyDescent="0.25">
      <c r="A41" s="60">
        <v>22073.9</v>
      </c>
      <c r="B41" s="60">
        <v>11669.2</v>
      </c>
      <c r="C41" s="60">
        <v>24297.9</v>
      </c>
      <c r="D41" s="60">
        <v>11958.3</v>
      </c>
    </row>
    <row r="42" spans="1:4" x14ac:dyDescent="0.25">
      <c r="A42" s="60">
        <v>21910</v>
      </c>
      <c r="B42" s="60">
        <v>11247.6</v>
      </c>
      <c r="C42" s="60">
        <v>24172.9</v>
      </c>
      <c r="D42" s="60">
        <v>11549.2</v>
      </c>
    </row>
    <row r="43" spans="1:4" x14ac:dyDescent="0.25">
      <c r="A43" s="60">
        <v>21026.5</v>
      </c>
      <c r="B43" s="60">
        <v>10343.4</v>
      </c>
      <c r="C43" s="60">
        <v>23328.400000000001</v>
      </c>
      <c r="D43" s="60">
        <v>10657.4</v>
      </c>
    </row>
    <row r="44" spans="1:4" x14ac:dyDescent="0.25">
      <c r="A44" s="60">
        <v>19423.5</v>
      </c>
      <c r="B44" s="60">
        <v>8956.5499999999993</v>
      </c>
      <c r="C44" s="60">
        <v>21764.400000000001</v>
      </c>
      <c r="D44" s="60">
        <v>9282.98</v>
      </c>
    </row>
    <row r="45" spans="1:4" x14ac:dyDescent="0.25">
      <c r="A45" s="60">
        <v>17101</v>
      </c>
      <c r="B45" s="60">
        <v>7087.1</v>
      </c>
      <c r="C45" s="60">
        <v>19481</v>
      </c>
      <c r="D45" s="60">
        <v>7425.97</v>
      </c>
    </row>
    <row r="46" spans="1:4" x14ac:dyDescent="0.25">
      <c r="A46" s="60">
        <v>14059.1</v>
      </c>
      <c r="B46" s="60">
        <v>4735.03</v>
      </c>
      <c r="C46" s="60">
        <v>16478</v>
      </c>
      <c r="D46" s="60">
        <v>5086.34</v>
      </c>
    </row>
    <row r="47" spans="1:4" x14ac:dyDescent="0.25">
      <c r="A47" s="60">
        <v>10297.6</v>
      </c>
      <c r="B47" s="60">
        <v>1900.34</v>
      </c>
      <c r="C47" s="60">
        <v>12755.5</v>
      </c>
      <c r="D47" s="60">
        <v>2264.09</v>
      </c>
    </row>
    <row r="48" spans="1:4" x14ac:dyDescent="0.25">
      <c r="A48" s="60">
        <v>5920.34</v>
      </c>
      <c r="B48" s="60">
        <v>-649.42999999999995</v>
      </c>
      <c r="C48" s="60">
        <v>8478.8700000000008</v>
      </c>
      <c r="D48" s="60">
        <v>-267.65300000000002</v>
      </c>
    </row>
    <row r="49" spans="1:4" x14ac:dyDescent="0.25">
      <c r="A49" s="60">
        <v>3843.89</v>
      </c>
      <c r="B49" s="60">
        <v>-1556.29</v>
      </c>
      <c r="C49" s="60">
        <v>6503.09</v>
      </c>
      <c r="D49" s="60">
        <v>-1156.49</v>
      </c>
    </row>
    <row r="50" spans="1:4" x14ac:dyDescent="0.25">
      <c r="A50" s="60">
        <v>2849.79</v>
      </c>
      <c r="B50" s="60">
        <v>-1821.69</v>
      </c>
      <c r="C50" s="60">
        <v>5609.66</v>
      </c>
      <c r="D50" s="60">
        <v>-1403.86</v>
      </c>
    </row>
    <row r="51" spans="1:4" x14ac:dyDescent="0.25">
      <c r="A51" s="60">
        <v>2197.56</v>
      </c>
      <c r="B51" s="60">
        <v>-1910.72</v>
      </c>
      <c r="C51" s="60">
        <v>5058.1000000000004</v>
      </c>
      <c r="D51" s="60">
        <v>-1474.86</v>
      </c>
    </row>
    <row r="52" spans="1:4" x14ac:dyDescent="0.25">
      <c r="A52" s="60">
        <v>1647.68</v>
      </c>
      <c r="B52" s="60">
        <v>-1945.58</v>
      </c>
      <c r="C52" s="60">
        <v>4608.8999999999996</v>
      </c>
      <c r="D52" s="60">
        <v>-1491.69</v>
      </c>
    </row>
    <row r="53" spans="1:4" x14ac:dyDescent="0.25">
      <c r="A53" s="60">
        <v>1153.57</v>
      </c>
      <c r="B53" s="60">
        <v>-1952.34</v>
      </c>
      <c r="C53" s="60">
        <v>4215.46</v>
      </c>
      <c r="D53" s="60">
        <v>-1480.42</v>
      </c>
    </row>
    <row r="54" spans="1:4" x14ac:dyDescent="0.25">
      <c r="A54" s="60">
        <v>-344.59399999999999</v>
      </c>
      <c r="B54" s="60">
        <v>-1849.08</v>
      </c>
      <c r="C54" s="60">
        <v>3084.47</v>
      </c>
      <c r="D54" s="60">
        <v>-1314.85</v>
      </c>
    </row>
    <row r="55" spans="1:4" x14ac:dyDescent="0.25">
      <c r="A55" s="60">
        <v>-1381.94</v>
      </c>
      <c r="B55" s="60">
        <v>-1620.31</v>
      </c>
      <c r="C55" s="60">
        <v>2293.37</v>
      </c>
      <c r="D55" s="60">
        <v>-1084.8499999999999</v>
      </c>
    </row>
    <row r="56" spans="1:4" x14ac:dyDescent="0.25">
      <c r="A56" s="60">
        <v>-2224.83</v>
      </c>
      <c r="B56" s="60">
        <v>-1389.04</v>
      </c>
      <c r="C56" s="60">
        <v>1696.72</v>
      </c>
      <c r="D56" s="60">
        <v>-852.35199999999998</v>
      </c>
    </row>
    <row r="57" spans="1:4" x14ac:dyDescent="0.25">
      <c r="A57" s="60">
        <v>-2915.78</v>
      </c>
      <c r="B57" s="60">
        <v>-1170.6099999999999</v>
      </c>
      <c r="C57" s="60">
        <v>1220.8699999999999</v>
      </c>
      <c r="D57" s="60">
        <v>-632.84400000000005</v>
      </c>
    </row>
    <row r="58" spans="1:4" x14ac:dyDescent="0.25">
      <c r="A58" s="60">
        <v>-3313.29</v>
      </c>
      <c r="B58" s="60">
        <v>-965.85299999999995</v>
      </c>
      <c r="C58" s="60">
        <v>823.34699999999998</v>
      </c>
      <c r="D58" s="60">
        <v>-428.09</v>
      </c>
    </row>
    <row r="59" spans="1:4" x14ac:dyDescent="0.25">
      <c r="A59" s="60">
        <v>-3661</v>
      </c>
      <c r="B59" s="60">
        <v>-772.28899999999999</v>
      </c>
      <c r="C59" s="60">
        <v>475.63900000000001</v>
      </c>
      <c r="D59" s="60">
        <v>-234.52500000000001</v>
      </c>
    </row>
    <row r="60" spans="1:4" x14ac:dyDescent="0.25">
      <c r="A60" s="60">
        <v>-5734.78</v>
      </c>
      <c r="B60" s="60">
        <v>545.34799999999996</v>
      </c>
      <c r="C60" s="60">
        <v>-1598.15</v>
      </c>
      <c r="D60" s="60">
        <v>1083.1099999999999</v>
      </c>
    </row>
    <row r="61" spans="1:4" x14ac:dyDescent="0.25">
      <c r="A61" s="60">
        <v>-7668.58</v>
      </c>
      <c r="B61" s="60">
        <v>1866.55</v>
      </c>
      <c r="C61" s="60">
        <v>-3531.94</v>
      </c>
      <c r="D61" s="60">
        <v>2404.3200000000002</v>
      </c>
    </row>
    <row r="62" spans="1:4" x14ac:dyDescent="0.25">
      <c r="A62" s="60">
        <v>-9104.66</v>
      </c>
      <c r="B62" s="60">
        <v>2885.39</v>
      </c>
      <c r="C62" s="60">
        <v>-4968.0200000000004</v>
      </c>
      <c r="D62" s="60">
        <v>3423.15</v>
      </c>
    </row>
    <row r="63" spans="1:4" x14ac:dyDescent="0.25">
      <c r="A63" s="60">
        <v>-10288.200000000001</v>
      </c>
      <c r="B63" s="60">
        <v>3737.3</v>
      </c>
      <c r="C63" s="60">
        <v>-6151.54</v>
      </c>
      <c r="D63" s="60">
        <v>4275.0600000000004</v>
      </c>
    </row>
    <row r="64" spans="1:4" x14ac:dyDescent="0.25">
      <c r="A64" s="60">
        <v>-11336.4</v>
      </c>
      <c r="B64" s="60">
        <v>4495.33</v>
      </c>
      <c r="C64" s="60">
        <v>-7199.71</v>
      </c>
      <c r="D64" s="60">
        <v>5033.1000000000004</v>
      </c>
    </row>
    <row r="65" spans="1:4" x14ac:dyDescent="0.25">
      <c r="A65" s="60">
        <v>-12307.6</v>
      </c>
      <c r="B65" s="60">
        <v>5198.63</v>
      </c>
      <c r="C65" s="60">
        <v>-8170.93</v>
      </c>
      <c r="D65" s="60">
        <v>5736.39</v>
      </c>
    </row>
    <row r="66" spans="1:4" x14ac:dyDescent="0.25">
      <c r="A66" s="60">
        <v>-13179.5</v>
      </c>
      <c r="B66" s="60">
        <v>5836.7</v>
      </c>
      <c r="C66" s="60">
        <v>-9042.91</v>
      </c>
      <c r="D66" s="60">
        <v>6374.47</v>
      </c>
    </row>
    <row r="67" spans="1:4" x14ac:dyDescent="0.25">
      <c r="A67" s="60">
        <v>-13662.1</v>
      </c>
      <c r="B67" s="60">
        <v>6199.94</v>
      </c>
      <c r="C67" s="60">
        <v>-9525.4500000000007</v>
      </c>
      <c r="D67" s="60">
        <v>6737.7</v>
      </c>
    </row>
    <row r="68" spans="1:4" x14ac:dyDescent="0.25">
      <c r="A68" s="60">
        <v>-13942.4</v>
      </c>
      <c r="B68" s="60">
        <v>6422.55</v>
      </c>
      <c r="C68" s="60">
        <v>-9805.7099999999991</v>
      </c>
      <c r="D68" s="60">
        <v>6960.31</v>
      </c>
    </row>
    <row r="69" spans="1:4" x14ac:dyDescent="0.25">
      <c r="A69" s="60">
        <v>-14204.9</v>
      </c>
      <c r="B69" s="60">
        <v>6633.93</v>
      </c>
      <c r="C69" s="60">
        <v>-10068.200000000001</v>
      </c>
      <c r="D69" s="60">
        <v>7171.69</v>
      </c>
    </row>
    <row r="70" spans="1:4" x14ac:dyDescent="0.25">
      <c r="A70" s="60">
        <v>-14400.4</v>
      </c>
      <c r="B70" s="60">
        <v>6792.9</v>
      </c>
      <c r="C70" s="60">
        <v>-10263.799999999999</v>
      </c>
      <c r="D70" s="60">
        <v>7330.66</v>
      </c>
    </row>
    <row r="71" spans="1:4" x14ac:dyDescent="0.25">
      <c r="A71" s="60">
        <v>-14478.2</v>
      </c>
      <c r="B71" s="60">
        <v>6856.48</v>
      </c>
      <c r="C71" s="60">
        <v>-10341.6</v>
      </c>
      <c r="D71" s="60">
        <v>7394.24</v>
      </c>
    </row>
    <row r="72" spans="1:4" x14ac:dyDescent="0.25">
      <c r="A72" s="60">
        <v>-14478.2</v>
      </c>
      <c r="B72" s="60">
        <v>6856.48</v>
      </c>
      <c r="C72" s="60">
        <v>-10341.6</v>
      </c>
      <c r="D72" s="60">
        <v>7394.24</v>
      </c>
    </row>
    <row r="73" spans="1:4" x14ac:dyDescent="0.25">
      <c r="A73" s="60">
        <v>-14478.2</v>
      </c>
      <c r="B73" s="60">
        <v>6856.48</v>
      </c>
      <c r="C73" s="60">
        <v>-10341.6</v>
      </c>
      <c r="D73" s="60">
        <v>7394.24</v>
      </c>
    </row>
    <row r="74" spans="1:4" x14ac:dyDescent="0.25">
      <c r="A74" s="60">
        <v>-14478.2</v>
      </c>
      <c r="B74" s="60">
        <v>6856.48</v>
      </c>
      <c r="C74" s="60">
        <v>-10341.6</v>
      </c>
      <c r="D74" s="60">
        <v>7394.24</v>
      </c>
    </row>
    <row r="75" spans="1:4" x14ac:dyDescent="0.25">
      <c r="A75" s="60">
        <v>-14478.2</v>
      </c>
      <c r="B75" s="60">
        <v>6856.48</v>
      </c>
      <c r="C75" s="60">
        <v>-10341.6</v>
      </c>
      <c r="D75" s="60">
        <v>7394.24</v>
      </c>
    </row>
    <row r="76" spans="1:4" x14ac:dyDescent="0.25">
      <c r="A76" s="60">
        <v>-14478.2</v>
      </c>
      <c r="B76" s="60">
        <v>6856.48</v>
      </c>
      <c r="C76" s="60">
        <v>-10341.6</v>
      </c>
      <c r="D76" s="60">
        <v>7394.24</v>
      </c>
    </row>
    <row r="77" spans="1:4" x14ac:dyDescent="0.25">
      <c r="A77" s="60">
        <v>-14478.2</v>
      </c>
      <c r="B77" s="60">
        <v>6856.48</v>
      </c>
      <c r="C77" s="60">
        <v>-10341.6</v>
      </c>
      <c r="D77" s="60">
        <v>7394.24</v>
      </c>
    </row>
  </sheetData>
  <mergeCells count="3">
    <mergeCell ref="A2:B2"/>
    <mergeCell ref="C2:D2"/>
    <mergeCell ref="A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workbookViewId="0">
      <selection activeCell="B7" sqref="B7"/>
    </sheetView>
  </sheetViews>
  <sheetFormatPr defaultRowHeight="15" x14ac:dyDescent="0.25"/>
  <sheetData>
    <row r="1" spans="1:4" x14ac:dyDescent="0.25">
      <c r="A1" s="102" t="s">
        <v>451</v>
      </c>
      <c r="B1" s="102"/>
      <c r="C1" s="102"/>
    </row>
    <row r="2" spans="1:4" ht="18" x14ac:dyDescent="0.35">
      <c r="A2" s="61" t="s">
        <v>452</v>
      </c>
      <c r="B2" s="61">
        <f>Materiali!B5*'Caratteristiche trave V185'!B31*'Caratteristiche trave V185'!B32*1000</f>
        <v>16167.70833333333</v>
      </c>
      <c r="C2" s="61" t="s">
        <v>363</v>
      </c>
      <c r="D2" t="s">
        <v>453</v>
      </c>
    </row>
    <row r="3" spans="1:4" x14ac:dyDescent="0.25">
      <c r="A3" s="61" t="s">
        <v>430</v>
      </c>
      <c r="B3" s="61">
        <v>100</v>
      </c>
      <c r="C3" s="61" t="s">
        <v>6</v>
      </c>
      <c r="D3" t="s">
        <v>468</v>
      </c>
    </row>
    <row r="4" spans="1:4" ht="18" x14ac:dyDescent="0.35">
      <c r="A4" s="61" t="s">
        <v>454</v>
      </c>
      <c r="B4" s="61">
        <f>'Caratteristiche trave V185'!B2*1000/'verifica connettori'!B3</f>
        <v>330</v>
      </c>
      <c r="C4" s="61" t="s">
        <v>259</v>
      </c>
      <c r="D4" t="s">
        <v>467</v>
      </c>
    </row>
    <row r="5" spans="1:4" ht="18" x14ac:dyDescent="0.35">
      <c r="A5" s="61" t="s">
        <v>455</v>
      </c>
      <c r="B5" s="61">
        <v>2</v>
      </c>
      <c r="C5" s="61" t="s">
        <v>259</v>
      </c>
      <c r="D5" t="s">
        <v>456</v>
      </c>
    </row>
    <row r="6" spans="1:4" ht="18" x14ac:dyDescent="0.35">
      <c r="A6" s="17" t="s">
        <v>457</v>
      </c>
      <c r="B6" s="61">
        <v>12</v>
      </c>
      <c r="C6" s="61" t="s">
        <v>6</v>
      </c>
      <c r="D6" t="s">
        <v>458</v>
      </c>
    </row>
    <row r="7" spans="1:4" ht="18" x14ac:dyDescent="0.35">
      <c r="A7" s="17" t="s">
        <v>459</v>
      </c>
      <c r="B7" s="61">
        <v>200</v>
      </c>
      <c r="C7" s="61" t="s">
        <v>6</v>
      </c>
      <c r="D7" t="s">
        <v>460</v>
      </c>
    </row>
    <row r="8" spans="1:4" x14ac:dyDescent="0.25">
      <c r="A8" s="17" t="s">
        <v>44</v>
      </c>
      <c r="B8" s="61">
        <f>IF(B7/B6&gt;4,1,0.2/(B7/B6+1))</f>
        <v>1</v>
      </c>
      <c r="C8" s="61" t="s">
        <v>259</v>
      </c>
    </row>
    <row r="9" spans="1:4" ht="18" x14ac:dyDescent="0.35">
      <c r="A9" s="17" t="s">
        <v>461</v>
      </c>
      <c r="B9" s="61">
        <v>1.25</v>
      </c>
      <c r="C9" s="61" t="s">
        <v>259</v>
      </c>
      <c r="D9" t="s">
        <v>462</v>
      </c>
    </row>
    <row r="10" spans="1:4" ht="18" x14ac:dyDescent="0.35">
      <c r="A10" s="17" t="s">
        <v>463</v>
      </c>
      <c r="B10" s="9">
        <f>B2/B4/B5</f>
        <v>24.496527777777771</v>
      </c>
      <c r="C10" s="61" t="s">
        <v>363</v>
      </c>
      <c r="D10" t="s">
        <v>470</v>
      </c>
    </row>
    <row r="11" spans="1:4" ht="18" x14ac:dyDescent="0.35">
      <c r="A11" s="17" t="s">
        <v>464</v>
      </c>
      <c r="B11" s="9">
        <f>0.29*B8*B6^2*SQRT(Materiali!K10*Materiali!K4)/1000</f>
        <v>47.490170324421392</v>
      </c>
      <c r="C11" s="61" t="s">
        <v>363</v>
      </c>
      <c r="D11" t="s">
        <v>471</v>
      </c>
    </row>
    <row r="12" spans="1:4" ht="18" x14ac:dyDescent="0.35">
      <c r="A12" s="17" t="s">
        <v>465</v>
      </c>
      <c r="B12" s="9">
        <f>0.8*Materiali!O5*PI()*B6^2/4/1000</f>
        <v>48.858048948628465</v>
      </c>
      <c r="C12" s="61" t="s">
        <v>363</v>
      </c>
      <c r="D12" t="s">
        <v>472</v>
      </c>
    </row>
    <row r="13" spans="1:4" ht="18" x14ac:dyDescent="0.35">
      <c r="A13" s="17" t="s">
        <v>469</v>
      </c>
      <c r="B13" s="9">
        <f>MIN(B11:B12)</f>
        <v>47.490170324421392</v>
      </c>
      <c r="C13" s="61" t="s">
        <v>363</v>
      </c>
      <c r="D13" t="s">
        <v>473</v>
      </c>
    </row>
    <row r="14" spans="1:4" x14ac:dyDescent="0.25">
      <c r="A14" s="17" t="s">
        <v>230</v>
      </c>
      <c r="B14" s="9">
        <f>B10/B13</f>
        <v>0.51582311898301725</v>
      </c>
      <c r="C14" s="61" t="str">
        <f>IF((B14 &lt; 1),"VERIFICA", " NON VERIFICA")</f>
        <v>VERIFICA</v>
      </c>
    </row>
  </sheetData>
  <mergeCells count="1">
    <mergeCell ref="A1:C1"/>
  </mergeCells>
  <conditionalFormatting sqref="C14">
    <cfRule type="containsText" dxfId="6" priority="1" operator="containsText" text="NON ">
      <formula>NOT(ISERROR(SEARCH("NON ",C14)))</formula>
    </cfRule>
    <cfRule type="containsText" dxfId="5" priority="2" operator="containsText" text="VERIFICA">
      <formula>NOT(ISERROR(SEARCH("VERIFICA",C14)))</formula>
    </cfRule>
    <cfRule type="containsText" dxfId="4" priority="3" operator="containsText" text="N">
      <formula>NOT(ISERROR(SEARCH("N",C14)))</formula>
    </cfRule>
    <cfRule type="containsText" dxfId="3" priority="4" operator="containsText" text="NON VERIFICA ">
      <formula>NOT(ISERROR(SEARCH("NON VERIFICA ",C14)))</formula>
    </cfRule>
    <cfRule type="cellIs" dxfId="2" priority="5" operator="equal">
      <formula>"NON VERIFICA"</formula>
    </cfRule>
    <cfRule type="cellIs" dxfId="1" priority="6" operator="equal">
      <formula>"NON VERIFICA"</formula>
    </cfRule>
    <cfRule type="cellIs" dxfId="0" priority="7" operator="equal">
      <formula>"VERIFICA"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10</vt:i4>
      </vt:variant>
    </vt:vector>
  </HeadingPairs>
  <TitlesOfParts>
    <vt:vector size="10" baseType="lpstr">
      <vt:lpstr>Materiali</vt:lpstr>
      <vt:lpstr>Caratteristiche trave V185</vt:lpstr>
      <vt:lpstr>fase 0 </vt:lpstr>
      <vt:lpstr>fase 1 </vt:lpstr>
      <vt:lpstr>fase 2 </vt:lpstr>
      <vt:lpstr>fase 3</vt:lpstr>
      <vt:lpstr>Perdite di tiro </vt:lpstr>
      <vt:lpstr>SLU</vt:lpstr>
      <vt:lpstr>dominio</vt:lpstr>
      <vt:lpstr>verifica connettori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domenico gaudioso</dc:creator>
  <cp:lastModifiedBy>domenico gaudioso</cp:lastModifiedBy>
  <dcterms:created xsi:type="dcterms:W3CDTF">2020-02-13T10:39:02Z</dcterms:created>
  <dcterms:modified xsi:type="dcterms:W3CDTF">2020-03-14T17:31:39Z</dcterms:modified>
</cp:coreProperties>
</file>