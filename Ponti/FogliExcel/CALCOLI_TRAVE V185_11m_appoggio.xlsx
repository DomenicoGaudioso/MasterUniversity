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theme/themeOverride1.xml" ContentType="application/vnd.openxmlformats-officedocument.themeOverride+xml"/>
  <Override PartName="/xl/drawings/drawing3.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theme/themeOverride2.xml" ContentType="application/vnd.openxmlformats-officedocument.themeOverride+xml"/>
  <Override PartName="/xl/drawings/drawing4.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theme/themeOverride3.xml" ContentType="application/vnd.openxmlformats-officedocument.themeOverrid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5.xml" ContentType="application/vnd.openxmlformats-officedocument.drawing+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drawings/drawing6.xml" ContentType="application/vnd.openxmlformats-officedocument.drawing+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2527"/>
  <workbookPr defaultThemeVersion="166925"/>
  <mc:AlternateContent xmlns:mc="http://schemas.openxmlformats.org/markup-compatibility/2006">
    <mc:Choice Requires="x15">
      <x15ac:absPath xmlns:x15ac="http://schemas.microsoft.com/office/spreadsheetml/2010/11/ac" url="C:\Users\domy7\Desktop\Magistrale\Magistrale\PONTI\calcolo travi\calcolo travi\v185\"/>
    </mc:Choice>
  </mc:AlternateContent>
  <xr:revisionPtr revIDLastSave="0" documentId="13_ncr:1_{6FA0F762-6F97-434B-9B87-6F0D9FE9F618}" xr6:coauthVersionLast="45" xr6:coauthVersionMax="45" xr10:uidLastSave="{00000000-0000-0000-0000-000000000000}"/>
  <bookViews>
    <workbookView xWindow="-120" yWindow="-120" windowWidth="20730" windowHeight="11160" firstSheet="6" activeTab="10" xr2:uid="{00000000-000D-0000-FFFF-FFFF00000000}"/>
  </bookViews>
  <sheets>
    <sheet name="Materiali" sheetId="2" r:id="rId1"/>
    <sheet name="Caratteristiche trave V185" sheetId="3" r:id="rId2"/>
    <sheet name="fase 0 " sheetId="1" r:id="rId3"/>
    <sheet name="fase 1 " sheetId="4" r:id="rId4"/>
    <sheet name="fase 2 " sheetId="5" r:id="rId5"/>
    <sheet name="fase 3" sheetId="6" r:id="rId6"/>
    <sheet name="Perdite di tiro " sheetId="7" r:id="rId7"/>
    <sheet name="verifica sollevamento" sheetId="11" r:id="rId8"/>
    <sheet name="SLU ( M, V, T )" sheetId="9" r:id="rId9"/>
    <sheet name="dominio" sheetId="8" r:id="rId10"/>
    <sheet name="verifica connettori" sheetId="10" r:id="rId11"/>
  </sheets>
  <externalReferences>
    <externalReference r:id="rId1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B4" i="10" l="1"/>
  <c r="B10" i="10" l="1"/>
  <c r="B5" i="9"/>
  <c r="B6" i="9"/>
  <c r="B7" i="9"/>
  <c r="B8" i="9"/>
  <c r="B9" i="9"/>
  <c r="B10" i="9"/>
  <c r="B11" i="9"/>
  <c r="B12" i="9"/>
  <c r="B13" i="9"/>
  <c r="B14" i="9"/>
  <c r="B15" i="9"/>
  <c r="B16" i="9"/>
  <c r="B17" i="9"/>
  <c r="B18" i="9"/>
  <c r="B19" i="9"/>
  <c r="B20" i="9"/>
  <c r="B21" i="9"/>
  <c r="B22" i="9"/>
  <c r="B23" i="9"/>
  <c r="B24" i="9"/>
  <c r="B25" i="9"/>
  <c r="B26" i="9"/>
  <c r="B4" i="9"/>
  <c r="A26" i="9"/>
  <c r="A17" i="9"/>
  <c r="A18" i="9"/>
  <c r="A19" i="9"/>
  <c r="A20" i="9"/>
  <c r="A21" i="9"/>
  <c r="A22" i="9"/>
  <c r="A23" i="9"/>
  <c r="A24" i="9"/>
  <c r="A25" i="9"/>
  <c r="A5" i="9"/>
  <c r="A6" i="9"/>
  <c r="A7" i="9"/>
  <c r="A8" i="9"/>
  <c r="A9" i="9"/>
  <c r="A10" i="9"/>
  <c r="A11" i="9"/>
  <c r="A12" i="9"/>
  <c r="A13" i="9"/>
  <c r="A14" i="9"/>
  <c r="A15" i="9"/>
  <c r="A16" i="9"/>
  <c r="A4" i="9"/>
  <c r="D53" i="3"/>
  <c r="B6" i="1" l="1"/>
  <c r="B2" i="1" l="1"/>
  <c r="B3" i="1"/>
  <c r="B6" i="11" l="1"/>
  <c r="AN11" i="9"/>
  <c r="AN13" i="9" s="1"/>
  <c r="AN14" i="9" s="1"/>
  <c r="AI16" i="9"/>
  <c r="AI18" i="9" s="1"/>
  <c r="AI17" i="9"/>
  <c r="AI9" i="9"/>
  <c r="AI19" i="9" l="1"/>
  <c r="AJ19" i="9" s="1"/>
  <c r="AI10" i="9"/>
  <c r="AI11" i="9" s="1"/>
  <c r="AJ11" i="9" s="1"/>
  <c r="AB17" i="9"/>
  <c r="AB12" i="9"/>
  <c r="AB13" i="9" s="1"/>
  <c r="AB14" i="9" s="1"/>
  <c r="AB7" i="9"/>
  <c r="S21" i="9"/>
  <c r="AB22" i="9" s="1"/>
  <c r="S11" i="9"/>
  <c r="S13" i="9" s="1"/>
  <c r="S15" i="9"/>
  <c r="AB18" i="9" s="1"/>
  <c r="S14" i="9"/>
  <c r="S9" i="9"/>
  <c r="S16" i="9" l="1"/>
  <c r="S17" i="9"/>
  <c r="B1" i="11"/>
  <c r="B3" i="11" s="1"/>
  <c r="S18" i="9" l="1"/>
  <c r="S24" i="9" s="1"/>
  <c r="B41" i="2"/>
  <c r="B39" i="2"/>
  <c r="U18" i="9" l="1"/>
  <c r="S23" i="9"/>
  <c r="S22" i="9"/>
  <c r="S19" i="9"/>
  <c r="AB23" i="9" s="1"/>
  <c r="AB9" i="9"/>
  <c r="AB19" i="9"/>
  <c r="B3" i="6"/>
  <c r="A51" i="3"/>
  <c r="AB20" i="9" l="1"/>
  <c r="AC20" i="9" s="1"/>
  <c r="AB15" i="9"/>
  <c r="AC15" i="9" s="1"/>
  <c r="S25" i="9"/>
  <c r="B5" i="5"/>
  <c r="B5" i="4"/>
  <c r="O4" i="2" l="1"/>
  <c r="B47" i="3" l="1"/>
  <c r="B46" i="3"/>
  <c r="B21" i="3" l="1"/>
  <c r="B20" i="3"/>
  <c r="B10" i="3"/>
  <c r="B9" i="3"/>
  <c r="B50" i="7" l="1"/>
  <c r="B49" i="7"/>
  <c r="B48" i="7"/>
  <c r="Q5" i="7"/>
  <c r="Q4" i="7"/>
  <c r="B117" i="7"/>
  <c r="B5" i="7" l="1"/>
  <c r="B4" i="7"/>
  <c r="B2" i="7"/>
  <c r="B13" i="3" l="1"/>
  <c r="C53" i="3"/>
  <c r="C52" i="3"/>
  <c r="C51" i="3"/>
  <c r="B55" i="3" l="1"/>
  <c r="B57" i="3" l="1"/>
  <c r="B24" i="3"/>
  <c r="B14" i="3"/>
  <c r="B53" i="7" l="1"/>
  <c r="B6" i="7"/>
  <c r="B12" i="10" l="1"/>
  <c r="B8" i="10"/>
  <c r="L5" i="9" l="1"/>
  <c r="AB10" i="9" s="1"/>
  <c r="AB24" i="9" s="1"/>
  <c r="AB25" i="9" s="1"/>
  <c r="AC25" i="9" s="1"/>
  <c r="B4" i="1"/>
  <c r="B82" i="7" s="1"/>
  <c r="J26" i="2" l="1"/>
  <c r="G26" i="2"/>
  <c r="B71" i="7" l="1"/>
  <c r="B67" i="7" l="1"/>
  <c r="B32" i="3"/>
  <c r="B39" i="3" s="1"/>
  <c r="B68" i="7" s="1"/>
  <c r="B33" i="3"/>
  <c r="B35" i="3" s="1"/>
  <c r="B34" i="3"/>
  <c r="B42" i="3"/>
  <c r="B44" i="3" s="1"/>
  <c r="B45" i="3"/>
  <c r="B48" i="3"/>
  <c r="B118" i="7" s="1"/>
  <c r="B64" i="7"/>
  <c r="B69" i="7"/>
  <c r="B9" i="7"/>
  <c r="Q11" i="7"/>
  <c r="Q27" i="7"/>
  <c r="Q26" i="7"/>
  <c r="Q25" i="7"/>
  <c r="Q21" i="7"/>
  <c r="Q20" i="7"/>
  <c r="Q7" i="7"/>
  <c r="Q47" i="7"/>
  <c r="B18" i="7"/>
  <c r="B17" i="7"/>
  <c r="B16" i="7"/>
  <c r="B54" i="7"/>
  <c r="B3" i="7"/>
  <c r="B12" i="7" s="1"/>
  <c r="B11" i="7"/>
  <c r="AI6" i="9" l="1"/>
  <c r="AI5" i="9"/>
  <c r="B13" i="7"/>
  <c r="B19" i="7" s="1"/>
  <c r="B20" i="7" s="1"/>
  <c r="Q22" i="7"/>
  <c r="Q24" i="7" s="1"/>
  <c r="Q28" i="7" l="1"/>
  <c r="Q29" i="7" s="1"/>
  <c r="B15" i="7"/>
  <c r="B21" i="7" s="1"/>
  <c r="B22" i="7" s="1"/>
  <c r="B35" i="7"/>
  <c r="B37" i="7"/>
  <c r="Q30" i="7"/>
  <c r="Q44" i="7"/>
  <c r="Q46" i="7"/>
  <c r="Q48" i="7" s="1"/>
  <c r="Q31" i="7" l="1"/>
  <c r="Q49" i="7"/>
  <c r="B97" i="7" s="1"/>
  <c r="G49" i="5" l="1"/>
  <c r="C30" i="6" s="1"/>
  <c r="E30" i="6" s="1"/>
  <c r="B4" i="5"/>
  <c r="B3" i="5"/>
  <c r="B6" i="5" s="1"/>
  <c r="B105" i="7" s="1"/>
  <c r="K4" i="2" l="1"/>
  <c r="K5" i="2" s="1"/>
  <c r="K6" i="2" l="1"/>
  <c r="K10" i="2" s="1"/>
  <c r="B11" i="10" s="1"/>
  <c r="B13" i="10" s="1"/>
  <c r="Q10" i="7"/>
  <c r="B12" i="5"/>
  <c r="B10" i="5"/>
  <c r="D52" i="5" s="1"/>
  <c r="G52" i="5" s="1"/>
  <c r="C33" i="6" s="1"/>
  <c r="E33" i="6" s="1"/>
  <c r="B11" i="5"/>
  <c r="D55" i="5" s="1"/>
  <c r="K7" i="2"/>
  <c r="B4" i="4"/>
  <c r="B6" i="4" s="1"/>
  <c r="B4" i="6" s="1"/>
  <c r="Q6" i="1"/>
  <c r="B34" i="4" s="1"/>
  <c r="Q3" i="1"/>
  <c r="B31" i="4" s="1"/>
  <c r="B11" i="6" l="1"/>
  <c r="B8" i="6"/>
  <c r="D34" i="6" s="1"/>
  <c r="D35" i="6" s="1"/>
  <c r="B9" i="6"/>
  <c r="D36" i="6" s="1"/>
  <c r="B6" i="6"/>
  <c r="B7" i="6"/>
  <c r="B10" i="6"/>
  <c r="AN15" i="9"/>
  <c r="AO15" i="9" s="1"/>
  <c r="O34" i="4"/>
  <c r="J31" i="4"/>
  <c r="J34" i="4"/>
  <c r="Q45" i="7"/>
  <c r="Q43" i="7"/>
  <c r="Q50" i="7" s="1"/>
  <c r="Q34" i="7"/>
  <c r="B98" i="7" s="1"/>
  <c r="B99" i="7" s="1"/>
  <c r="D53" i="5"/>
  <c r="K9" i="2"/>
  <c r="K8" i="2"/>
  <c r="B62" i="7"/>
  <c r="B65" i="7"/>
  <c r="B7" i="1"/>
  <c r="B58" i="7" s="1"/>
  <c r="B57" i="7" s="1"/>
  <c r="B59" i="7" s="1"/>
  <c r="B78" i="7" s="1"/>
  <c r="B33" i="2"/>
  <c r="B27" i="2"/>
  <c r="B52" i="7" s="1"/>
  <c r="B19" i="2"/>
  <c r="B13" i="2"/>
  <c r="B14" i="2" s="1"/>
  <c r="B4" i="2"/>
  <c r="B5" i="2" s="1"/>
  <c r="C56" i="5" l="1"/>
  <c r="G56" i="5" s="1"/>
  <c r="C37" i="6" s="1"/>
  <c r="E37" i="6" s="1"/>
  <c r="O31" i="4"/>
  <c r="C53" i="5" s="1"/>
  <c r="G53" i="5" s="1"/>
  <c r="C34" i="6" s="1"/>
  <c r="E34" i="6" s="1"/>
  <c r="B2" i="10"/>
  <c r="B14" i="10" s="1"/>
  <c r="C14" i="10" s="1"/>
  <c r="L12" i="9"/>
  <c r="L13" i="9" s="1"/>
  <c r="L14" i="9" s="1"/>
  <c r="L15" i="9" s="1"/>
  <c r="L17" i="9" s="1"/>
  <c r="B100" i="7"/>
  <c r="B101" i="7" s="1"/>
  <c r="B34" i="2"/>
  <c r="B8" i="7"/>
  <c r="B7" i="2"/>
  <c r="B8" i="2" s="1"/>
  <c r="Q38" i="7"/>
  <c r="Q37" i="7"/>
  <c r="Q41" i="7" s="1"/>
  <c r="Q35" i="7"/>
  <c r="Q39" i="7" s="1"/>
  <c r="Q36" i="7"/>
  <c r="Q40" i="7" s="1"/>
  <c r="B16" i="2"/>
  <c r="B18" i="2" s="1"/>
  <c r="B63" i="7"/>
  <c r="B40" i="3"/>
  <c r="B8" i="3"/>
  <c r="B19" i="3"/>
  <c r="J6" i="1"/>
  <c r="N6" i="1" s="1"/>
  <c r="R6" i="1" s="1"/>
  <c r="C34" i="4" s="1"/>
  <c r="G34" i="4" s="1"/>
  <c r="J5" i="1"/>
  <c r="N5" i="1" s="1"/>
  <c r="R5" i="1" s="1"/>
  <c r="C33" i="4" s="1"/>
  <c r="G33" i="4" s="1"/>
  <c r="D54" i="5"/>
  <c r="B11" i="3"/>
  <c r="B22" i="3"/>
  <c r="B9" i="4" s="1"/>
  <c r="J33" i="4" s="1"/>
  <c r="B25" i="3"/>
  <c r="B10" i="4" s="1"/>
  <c r="B20" i="2"/>
  <c r="B22" i="2" s="1"/>
  <c r="B6" i="2"/>
  <c r="B10" i="2" s="1"/>
  <c r="B38" i="3" s="1"/>
  <c r="B56" i="2"/>
  <c r="B55" i="2"/>
  <c r="B57" i="2"/>
  <c r="B29" i="2"/>
  <c r="B103" i="7" l="1"/>
  <c r="B102" i="7"/>
  <c r="B15" i="2"/>
  <c r="L18" i="9"/>
  <c r="B32" i="2"/>
  <c r="F7" i="1" s="1"/>
  <c r="B51" i="7"/>
  <c r="B41" i="3"/>
  <c r="B17" i="2"/>
  <c r="B15" i="5"/>
  <c r="B16" i="5" s="1"/>
  <c r="B17" i="5" s="1"/>
  <c r="B36" i="7"/>
  <c r="B38" i="7"/>
  <c r="B39" i="7" s="1"/>
  <c r="B40" i="7" s="1"/>
  <c r="B25" i="7"/>
  <c r="B75" i="7" s="1"/>
  <c r="B76" i="7" s="1"/>
  <c r="B34" i="7"/>
  <c r="B70" i="7"/>
  <c r="B8" i="5"/>
  <c r="D50" i="5" s="1"/>
  <c r="D31" i="6"/>
  <c r="D32" i="6"/>
  <c r="B9" i="5"/>
  <c r="D51" i="5" s="1"/>
  <c r="I5" i="1"/>
  <c r="K34" i="4"/>
  <c r="P34" i="4"/>
  <c r="B56" i="5" s="1"/>
  <c r="B37" i="6" s="1"/>
  <c r="J4" i="1"/>
  <c r="N4" i="1" s="1"/>
  <c r="R4" i="1" s="1"/>
  <c r="C32" i="4" s="1"/>
  <c r="G32" i="4" s="1"/>
  <c r="J3" i="1"/>
  <c r="N3" i="1" s="1"/>
  <c r="R3" i="1" s="1"/>
  <c r="C31" i="4" s="1"/>
  <c r="G31" i="4" s="1"/>
  <c r="B23" i="3"/>
  <c r="B9" i="1"/>
  <c r="K33" i="4"/>
  <c r="P33" i="4"/>
  <c r="B55" i="5" s="1"/>
  <c r="B36" i="6" s="1"/>
  <c r="B9" i="2"/>
  <c r="L19" i="9" l="1"/>
  <c r="L20" i="9" s="1"/>
  <c r="M20" i="9" s="1"/>
  <c r="B18" i="5"/>
  <c r="D18" i="5" s="1"/>
  <c r="B22" i="5"/>
  <c r="D22" i="5" s="1"/>
  <c r="B21" i="5"/>
  <c r="E55" i="5" s="1"/>
  <c r="B20" i="5"/>
  <c r="E54" i="5" s="1"/>
  <c r="B41" i="7"/>
  <c r="B80" i="7" s="1"/>
  <c r="B19" i="5"/>
  <c r="E51" i="5" s="1"/>
  <c r="B28" i="7"/>
  <c r="B32" i="7" s="1"/>
  <c r="B26" i="7"/>
  <c r="B30" i="7" s="1"/>
  <c r="B29" i="7"/>
  <c r="B27" i="7"/>
  <c r="B8" i="4"/>
  <c r="J32" i="4" s="1"/>
  <c r="I4" i="1"/>
  <c r="K31" i="4"/>
  <c r="P31" i="4"/>
  <c r="B53" i="5" s="1"/>
  <c r="K32" i="4"/>
  <c r="P32" i="4"/>
  <c r="B54" i="5" s="1"/>
  <c r="B35" i="6" s="1"/>
  <c r="B106" i="7" l="1"/>
  <c r="B107" i="7" s="1"/>
  <c r="B84" i="7"/>
  <c r="B85" i="7" s="1"/>
  <c r="B92" i="7" s="1"/>
  <c r="D21" i="5"/>
  <c r="E50" i="5"/>
  <c r="D20" i="5"/>
  <c r="D19" i="5"/>
  <c r="B31" i="7"/>
  <c r="B88" i="7"/>
  <c r="B52" i="5"/>
  <c r="B33" i="6" s="1"/>
  <c r="B34" i="6"/>
  <c r="B51" i="5"/>
  <c r="B111" i="7" l="1"/>
  <c r="B112" i="7" s="1"/>
  <c r="B25" i="5" s="1"/>
  <c r="B90" i="7"/>
  <c r="B11" i="1" s="1"/>
  <c r="B13" i="1" s="1"/>
  <c r="B89" i="7"/>
  <c r="B94" i="7"/>
  <c r="B13" i="4" s="1"/>
  <c r="B93" i="7"/>
  <c r="B49" i="5"/>
  <c r="B30" i="6" s="1"/>
  <c r="B32" i="6"/>
  <c r="B50" i="5"/>
  <c r="B31" i="6" s="1"/>
  <c r="B30" i="5" l="1"/>
  <c r="D30" i="5" s="1"/>
  <c r="B27" i="5"/>
  <c r="F51" i="5" s="1"/>
  <c r="G51" i="5" s="1"/>
  <c r="B26" i="5"/>
  <c r="D26" i="5" s="1"/>
  <c r="B29" i="5"/>
  <c r="D29" i="5" s="1"/>
  <c r="B28" i="5"/>
  <c r="F54" i="5" s="1"/>
  <c r="B15" i="4"/>
  <c r="B14" i="4"/>
  <c r="B16" i="4"/>
  <c r="D16" i="4" s="1"/>
  <c r="B19" i="1"/>
  <c r="M5" i="1"/>
  <c r="Q5" i="1" s="1"/>
  <c r="B33" i="4" s="1"/>
  <c r="B15" i="1"/>
  <c r="B17" i="1"/>
  <c r="M4" i="1"/>
  <c r="Q4" i="1" s="1"/>
  <c r="B32" i="4" s="1"/>
  <c r="B22" i="1"/>
  <c r="B46" i="2" s="1"/>
  <c r="B47" i="2" s="1"/>
  <c r="D27" i="5" l="1"/>
  <c r="F50" i="5"/>
  <c r="G50" i="5" s="1"/>
  <c r="B32" i="5" s="1"/>
  <c r="F55" i="5"/>
  <c r="D28" i="5"/>
  <c r="D19" i="1"/>
  <c r="F19" i="1" s="1"/>
  <c r="B23" i="4"/>
  <c r="D23" i="4" s="1"/>
  <c r="B21" i="4"/>
  <c r="D17" i="1"/>
  <c r="F17" i="1" s="1"/>
  <c r="B34" i="5"/>
  <c r="D34" i="5" s="1"/>
  <c r="C32" i="6"/>
  <c r="E32" i="6" s="1"/>
  <c r="B15" i="6" s="1"/>
  <c r="D15" i="6" s="1"/>
  <c r="D15" i="1"/>
  <c r="B19" i="4"/>
  <c r="D14" i="4"/>
  <c r="F32" i="4"/>
  <c r="B26" i="4"/>
  <c r="F22" i="1"/>
  <c r="G22" i="1"/>
  <c r="D15" i="4"/>
  <c r="F33" i="4"/>
  <c r="O32" i="4" l="1"/>
  <c r="C54" i="5" s="1"/>
  <c r="G54" i="5" s="1"/>
  <c r="O33" i="4"/>
  <c r="C55" i="5" s="1"/>
  <c r="G55" i="5" s="1"/>
  <c r="C31" i="6"/>
  <c r="E31" i="6" s="1"/>
  <c r="B13" i="6" s="1"/>
  <c r="D13" i="6" s="1"/>
  <c r="G13" i="6" s="1"/>
  <c r="G17" i="1"/>
  <c r="F15" i="1"/>
  <c r="E15" i="1"/>
  <c r="G15" i="6"/>
  <c r="F15" i="6"/>
  <c r="E15" i="6"/>
  <c r="G19" i="1"/>
  <c r="D19" i="4"/>
  <c r="G19" i="4" s="1"/>
  <c r="G34" i="5"/>
  <c r="E34" i="5"/>
  <c r="F34" i="5"/>
  <c r="D21" i="4"/>
  <c r="G21" i="4" s="1"/>
  <c r="G23" i="4"/>
  <c r="F23" i="4"/>
  <c r="E23" i="4"/>
  <c r="G26" i="4"/>
  <c r="E26" i="4"/>
  <c r="B41" i="5"/>
  <c r="G15" i="1"/>
  <c r="D32" i="5"/>
  <c r="G32" i="5" s="1"/>
  <c r="B36" i="5" l="1"/>
  <c r="D36" i="5" s="1"/>
  <c r="F36" i="5" s="1"/>
  <c r="C35" i="6"/>
  <c r="E35" i="6" s="1"/>
  <c r="B17" i="6" s="1"/>
  <c r="D17" i="6" s="1"/>
  <c r="F17" i="6" s="1"/>
  <c r="C36" i="6"/>
  <c r="E36" i="6" s="1"/>
  <c r="B19" i="6" s="1"/>
  <c r="D19" i="6" s="1"/>
  <c r="E19" i="6" s="1"/>
  <c r="B38" i="5"/>
  <c r="D38" i="5" s="1"/>
  <c r="F38" i="5" s="1"/>
  <c r="E21" i="4"/>
  <c r="F21" i="4"/>
  <c r="F32" i="5"/>
  <c r="E32" i="5"/>
  <c r="E19" i="4"/>
  <c r="F19" i="4"/>
  <c r="G41" i="5"/>
  <c r="E41" i="5"/>
  <c r="B22" i="6"/>
  <c r="F13" i="6"/>
  <c r="E13" i="6"/>
  <c r="G36" i="5" l="1"/>
  <c r="E36" i="5"/>
  <c r="E17" i="6"/>
  <c r="G38" i="5"/>
  <c r="E38" i="5"/>
  <c r="G17" i="6"/>
  <c r="F19" i="6"/>
  <c r="G19" i="6"/>
  <c r="B25" i="6"/>
  <c r="G22" i="6"/>
  <c r="E22" i="6"/>
  <c r="G25" i="6" l="1"/>
  <c r="E25" i="6"/>
</calcChain>
</file>

<file path=xl/sharedStrings.xml><?xml version="1.0" encoding="utf-8"?>
<sst xmlns="http://schemas.openxmlformats.org/spreadsheetml/2006/main" count="1153" uniqueCount="570">
  <si>
    <t>Peso Proprio - fase 0</t>
  </si>
  <si>
    <t>KN/m</t>
  </si>
  <si>
    <t>L</t>
  </si>
  <si>
    <t>m</t>
  </si>
  <si>
    <t>KNm</t>
  </si>
  <si>
    <r>
      <t>N/mm</t>
    </r>
    <r>
      <rPr>
        <vertAlign val="superscript"/>
        <sz val="11"/>
        <color theme="1"/>
        <rFont val="Calibri"/>
        <family val="2"/>
        <scheme val="minor"/>
      </rPr>
      <t>2</t>
    </r>
  </si>
  <si>
    <t>mm</t>
  </si>
  <si>
    <t>KN</t>
  </si>
  <si>
    <r>
      <t>mm</t>
    </r>
    <r>
      <rPr>
        <vertAlign val="superscript"/>
        <sz val="11"/>
        <color theme="1"/>
        <rFont val="Calibri"/>
        <family val="2"/>
        <scheme val="minor"/>
      </rPr>
      <t>2</t>
    </r>
  </si>
  <si>
    <t>ϭc,max</t>
  </si>
  <si>
    <t>tensione massima comp. Del cls</t>
  </si>
  <si>
    <t>ϭs,max</t>
  </si>
  <si>
    <t>TENSIONE LIMITE IN ESERCIZIO</t>
  </si>
  <si>
    <t xml:space="preserve">tensione limite acciaio armatura pre -tesa </t>
  </si>
  <si>
    <t>Rara</t>
  </si>
  <si>
    <t>Quasi permanente</t>
  </si>
  <si>
    <t>Tensione massima armatura ordinaria</t>
  </si>
  <si>
    <t>Resistenza a trazione cls</t>
  </si>
  <si>
    <t>Resistenza a trazione per flessione</t>
  </si>
  <si>
    <t>Resistenza a trazione prima delle fessure</t>
  </si>
  <si>
    <r>
      <t>R</t>
    </r>
    <r>
      <rPr>
        <vertAlign val="subscript"/>
        <sz val="11"/>
        <color theme="1"/>
        <rFont val="Calibri"/>
        <family val="2"/>
        <scheme val="minor"/>
      </rPr>
      <t>ck</t>
    </r>
  </si>
  <si>
    <r>
      <t>f</t>
    </r>
    <r>
      <rPr>
        <vertAlign val="subscript"/>
        <sz val="11"/>
        <color theme="1"/>
        <rFont val="Calibri"/>
        <family val="2"/>
        <scheme val="minor"/>
      </rPr>
      <t>ck</t>
    </r>
  </si>
  <si>
    <r>
      <t>f</t>
    </r>
    <r>
      <rPr>
        <vertAlign val="subscript"/>
        <sz val="11"/>
        <color theme="1"/>
        <rFont val="Calibri"/>
        <family val="2"/>
        <scheme val="minor"/>
      </rPr>
      <t>cm</t>
    </r>
  </si>
  <si>
    <r>
      <t>f</t>
    </r>
    <r>
      <rPr>
        <vertAlign val="subscript"/>
        <sz val="11"/>
        <color theme="1"/>
        <rFont val="Calibri"/>
        <family val="2"/>
        <scheme val="minor"/>
      </rPr>
      <t>ctm</t>
    </r>
  </si>
  <si>
    <r>
      <t>f</t>
    </r>
    <r>
      <rPr>
        <vertAlign val="subscript"/>
        <sz val="11"/>
        <color theme="1"/>
        <rFont val="Calibri"/>
        <family val="2"/>
        <scheme val="minor"/>
      </rPr>
      <t>cfm</t>
    </r>
  </si>
  <si>
    <r>
      <t>ϭ</t>
    </r>
    <r>
      <rPr>
        <vertAlign val="subscript"/>
        <sz val="11"/>
        <color theme="1"/>
        <rFont val="Calibri"/>
        <family val="2"/>
        <scheme val="minor"/>
      </rPr>
      <t>ct</t>
    </r>
  </si>
  <si>
    <t>Calcestruzzo travi  C45/55</t>
  </si>
  <si>
    <r>
      <t>E</t>
    </r>
    <r>
      <rPr>
        <vertAlign val="subscript"/>
        <sz val="11"/>
        <color theme="1"/>
        <rFont val="Calibri"/>
        <family val="2"/>
        <scheme val="minor"/>
      </rPr>
      <t>cm</t>
    </r>
  </si>
  <si>
    <t>Caratteristiche cls al trasferimento della precompressione</t>
  </si>
  <si>
    <t>t</t>
  </si>
  <si>
    <t>giorni</t>
  </si>
  <si>
    <t>momento di trasferimento della precompressione</t>
  </si>
  <si>
    <r>
      <t>f</t>
    </r>
    <r>
      <rPr>
        <vertAlign val="subscript"/>
        <sz val="11"/>
        <color theme="1"/>
        <rFont val="Calibri"/>
        <family val="2"/>
        <scheme val="minor"/>
      </rPr>
      <t>cm</t>
    </r>
    <r>
      <rPr>
        <sz val="11"/>
        <color theme="1"/>
        <rFont val="Calibri"/>
        <family val="2"/>
        <scheme val="minor"/>
      </rPr>
      <t>(t)</t>
    </r>
  </si>
  <si>
    <r>
      <rPr>
        <sz val="11"/>
        <color theme="1"/>
        <rFont val="Calibri"/>
        <family val="2"/>
        <scheme val="minor"/>
      </rPr>
      <t>β</t>
    </r>
    <r>
      <rPr>
        <vertAlign val="subscript"/>
        <sz val="11"/>
        <color theme="1"/>
        <rFont val="Calibri"/>
        <family val="2"/>
        <scheme val="minor"/>
      </rPr>
      <t>cc</t>
    </r>
  </si>
  <si>
    <r>
      <t>f</t>
    </r>
    <r>
      <rPr>
        <vertAlign val="subscript"/>
        <sz val="11"/>
        <color theme="1"/>
        <rFont val="Calibri"/>
        <family val="2"/>
        <scheme val="minor"/>
      </rPr>
      <t>ck</t>
    </r>
    <r>
      <rPr>
        <sz val="11"/>
        <color theme="1"/>
        <rFont val="Calibri"/>
        <family val="2"/>
        <scheme val="minor"/>
      </rPr>
      <t>(t)</t>
    </r>
  </si>
  <si>
    <t>0.7 fck(t)</t>
  </si>
  <si>
    <t>0.6 fck(t)</t>
  </si>
  <si>
    <t>s</t>
  </si>
  <si>
    <r>
      <t>f</t>
    </r>
    <r>
      <rPr>
        <vertAlign val="subscript"/>
        <sz val="11"/>
        <color theme="1"/>
        <rFont val="Calibri"/>
        <family val="2"/>
        <scheme val="minor"/>
      </rPr>
      <t>ctm</t>
    </r>
    <r>
      <rPr>
        <sz val="11"/>
        <color theme="1"/>
        <rFont val="Calibri"/>
        <family val="2"/>
        <scheme val="minor"/>
      </rPr>
      <t>(t)</t>
    </r>
  </si>
  <si>
    <t>k</t>
  </si>
  <si>
    <r>
      <t>f</t>
    </r>
    <r>
      <rPr>
        <vertAlign val="subscript"/>
        <sz val="11"/>
        <color theme="1"/>
        <rFont val="Calibri"/>
        <family val="2"/>
        <scheme val="minor"/>
      </rPr>
      <t>ctm</t>
    </r>
    <r>
      <rPr>
        <sz val="11"/>
        <color theme="1"/>
        <rFont val="Calibri"/>
        <family val="2"/>
        <scheme val="minor"/>
      </rPr>
      <t>(t) k</t>
    </r>
  </si>
  <si>
    <t>valore limite della tensione di esercizio a cadute avvenute  della precompressione ( p. 4.1.8.1.4 )</t>
  </si>
  <si>
    <t>valore limite della tensione all'atto della precompressione ( p. 4.1.8.1.3 )</t>
  </si>
  <si>
    <t>valore di riduzione della resistenza a trazione del cls per le verifiche del conglomerato</t>
  </si>
  <si>
    <t>α</t>
  </si>
  <si>
    <t>coefficiente d'invecchiamento del calcestruzzo</t>
  </si>
  <si>
    <t>Limiti tensioni massime iniziali all'atto della tesaturaE</t>
  </si>
  <si>
    <t>ϭs,pi = 0.9 fpk</t>
  </si>
  <si>
    <t>ϭs,pi = 0.8 fp0k</t>
  </si>
  <si>
    <t>* si prende la condizione più restrittiva</t>
  </si>
  <si>
    <t>trefolo a sette fili ( classe 2 )</t>
  </si>
  <si>
    <t>Tensione massima compressione cls</t>
  </si>
  <si>
    <t>Caratteristeche dei materiali</t>
  </si>
  <si>
    <r>
      <t>f</t>
    </r>
    <r>
      <rPr>
        <vertAlign val="subscript"/>
        <sz val="11"/>
        <color theme="1"/>
        <rFont val="Calibri"/>
        <family val="2"/>
        <scheme val="minor"/>
      </rPr>
      <t>pk</t>
    </r>
  </si>
  <si>
    <r>
      <t>f</t>
    </r>
    <r>
      <rPr>
        <vertAlign val="subscript"/>
        <sz val="11"/>
        <color theme="1"/>
        <rFont val="Calibri"/>
        <family val="2"/>
        <scheme val="minor"/>
      </rPr>
      <t>p01,k</t>
    </r>
  </si>
  <si>
    <r>
      <t>E</t>
    </r>
    <r>
      <rPr>
        <vertAlign val="subscript"/>
        <sz val="11"/>
        <color theme="1"/>
        <rFont val="Calibri"/>
        <family val="2"/>
        <scheme val="minor"/>
      </rPr>
      <t>p</t>
    </r>
  </si>
  <si>
    <r>
      <t>A</t>
    </r>
    <r>
      <rPr>
        <vertAlign val="subscript"/>
        <sz val="11"/>
        <color theme="1"/>
        <rFont val="Calibri"/>
        <family val="2"/>
        <scheme val="minor"/>
      </rPr>
      <t>nom</t>
    </r>
  </si>
  <si>
    <t>Area nominale</t>
  </si>
  <si>
    <r>
      <rPr>
        <sz val="11"/>
        <color theme="1"/>
        <rFont val="Calibri"/>
        <family val="2"/>
      </rPr>
      <t>Φ</t>
    </r>
    <r>
      <rPr>
        <vertAlign val="subscript"/>
        <sz val="11"/>
        <color theme="1"/>
        <rFont val="Calibri"/>
        <family val="2"/>
      </rPr>
      <t>n</t>
    </r>
  </si>
  <si>
    <t>Diametro nominale</t>
  </si>
  <si>
    <t>Modulo elastico</t>
  </si>
  <si>
    <t>Caratteristiche trave</t>
  </si>
  <si>
    <t>n</t>
  </si>
  <si>
    <t>Caratteristiche statiche sezione solo calcestruzzo</t>
  </si>
  <si>
    <t xml:space="preserve"> </t>
  </si>
  <si>
    <t>Area totale trefoli</t>
  </si>
  <si>
    <t>mm4</t>
  </si>
  <si>
    <t>Momento d'inerzia baricentrico in direzione x</t>
  </si>
  <si>
    <t>Momento d'inerzia baricentrico in direzione y</t>
  </si>
  <si>
    <t>xG</t>
  </si>
  <si>
    <t>yG</t>
  </si>
  <si>
    <t>H - yG</t>
  </si>
  <si>
    <t>Armatura sezione</t>
  </si>
  <si>
    <t>Caratteristiche sezione omogenizzata interamente reagente</t>
  </si>
  <si>
    <r>
      <t>H</t>
    </r>
    <r>
      <rPr>
        <vertAlign val="subscript"/>
        <sz val="11"/>
        <color theme="1"/>
        <rFont val="Calibri"/>
        <family val="2"/>
        <scheme val="minor"/>
      </rPr>
      <t>sez</t>
    </r>
  </si>
  <si>
    <r>
      <t>A</t>
    </r>
    <r>
      <rPr>
        <vertAlign val="subscript"/>
        <sz val="11"/>
        <color theme="1"/>
        <rFont val="Calibri"/>
        <family val="2"/>
        <scheme val="minor"/>
      </rPr>
      <t>cls</t>
    </r>
  </si>
  <si>
    <r>
      <t>I</t>
    </r>
    <r>
      <rPr>
        <vertAlign val="subscript"/>
        <sz val="11"/>
        <color theme="1"/>
        <rFont val="Calibri"/>
        <family val="2"/>
        <scheme val="minor"/>
      </rPr>
      <t>xg</t>
    </r>
  </si>
  <si>
    <r>
      <t>I</t>
    </r>
    <r>
      <rPr>
        <vertAlign val="subscript"/>
        <sz val="11"/>
        <color theme="1"/>
        <rFont val="Calibri"/>
        <family val="2"/>
        <scheme val="minor"/>
      </rPr>
      <t>yg</t>
    </r>
  </si>
  <si>
    <r>
      <t>n</t>
    </r>
    <r>
      <rPr>
        <vertAlign val="subscript"/>
        <sz val="11"/>
        <color theme="1"/>
        <rFont val="Calibri"/>
        <family val="2"/>
        <scheme val="minor"/>
      </rPr>
      <t>tref</t>
    </r>
  </si>
  <si>
    <r>
      <t>A</t>
    </r>
    <r>
      <rPr>
        <vertAlign val="subscript"/>
        <sz val="11"/>
        <color theme="1"/>
        <rFont val="Calibri"/>
        <family val="2"/>
        <scheme val="minor"/>
      </rPr>
      <t>tref</t>
    </r>
  </si>
  <si>
    <r>
      <t>A</t>
    </r>
    <r>
      <rPr>
        <vertAlign val="subscript"/>
        <sz val="11"/>
        <color theme="1"/>
        <rFont val="Calibri"/>
        <family val="2"/>
        <scheme val="minor"/>
      </rPr>
      <t>tot</t>
    </r>
  </si>
  <si>
    <t>coefficiente omogenizzazione</t>
  </si>
  <si>
    <r>
      <t>mm</t>
    </r>
    <r>
      <rPr>
        <vertAlign val="superscript"/>
        <sz val="11"/>
        <color theme="1"/>
        <rFont val="Calibri"/>
        <family val="2"/>
        <scheme val="minor"/>
      </rPr>
      <t>4</t>
    </r>
  </si>
  <si>
    <t>Ascissa baricentro</t>
  </si>
  <si>
    <r>
      <t>Area totale = A</t>
    </r>
    <r>
      <rPr>
        <vertAlign val="subscript"/>
        <sz val="11"/>
        <color theme="1"/>
        <rFont val="Calibri"/>
        <family val="2"/>
        <scheme val="minor"/>
      </rPr>
      <t xml:space="preserve">cls </t>
    </r>
    <r>
      <rPr>
        <sz val="11"/>
        <color theme="1"/>
        <rFont val="Calibri"/>
        <family val="2"/>
        <scheme val="minor"/>
      </rPr>
      <t>+ n*A</t>
    </r>
    <r>
      <rPr>
        <vertAlign val="subscript"/>
        <sz val="11"/>
        <color theme="1"/>
        <rFont val="Calibri"/>
        <family val="2"/>
        <scheme val="minor"/>
      </rPr>
      <t>tref</t>
    </r>
  </si>
  <si>
    <r>
      <t>W</t>
    </r>
    <r>
      <rPr>
        <vertAlign val="subscript"/>
        <sz val="11"/>
        <color theme="1"/>
        <rFont val="Calibri"/>
        <family val="2"/>
        <scheme val="minor"/>
      </rPr>
      <t>x</t>
    </r>
  </si>
  <si>
    <r>
      <t>mm</t>
    </r>
    <r>
      <rPr>
        <vertAlign val="superscript"/>
        <sz val="11"/>
        <color theme="1"/>
        <rFont val="Calibri"/>
        <family val="2"/>
        <scheme val="minor"/>
      </rPr>
      <t>3</t>
    </r>
  </si>
  <si>
    <t>Modulo di resistenza elastico</t>
  </si>
  <si>
    <t>e</t>
  </si>
  <si>
    <t>eccentricità tra il punto di applicazione del tiro e il baricentro della sezione</t>
  </si>
  <si>
    <r>
      <t>y</t>
    </r>
    <r>
      <rPr>
        <vertAlign val="subscript"/>
        <sz val="11"/>
        <color theme="1"/>
        <rFont val="Calibri"/>
        <family val="2"/>
        <scheme val="minor"/>
      </rPr>
      <t>p</t>
    </r>
  </si>
  <si>
    <t>punto di applicazione dello sforzo normale</t>
  </si>
  <si>
    <t>Luce trave</t>
  </si>
  <si>
    <t>Tiro iniziale</t>
  </si>
  <si>
    <r>
      <t>G1</t>
    </r>
    <r>
      <rPr>
        <vertAlign val="subscript"/>
        <sz val="11"/>
        <color theme="1"/>
        <rFont val="Calibri"/>
        <family val="2"/>
        <scheme val="minor"/>
      </rPr>
      <t>(trave+ traversi)</t>
    </r>
  </si>
  <si>
    <r>
      <t>N</t>
    </r>
    <r>
      <rPr>
        <vertAlign val="subscript"/>
        <sz val="11"/>
        <color theme="1"/>
        <rFont val="Calibri"/>
        <family val="2"/>
        <scheme val="minor"/>
      </rPr>
      <t>p</t>
    </r>
    <r>
      <rPr>
        <vertAlign val="superscript"/>
        <sz val="11"/>
        <color theme="1"/>
        <rFont val="Calibri"/>
        <family val="2"/>
        <scheme val="minor"/>
      </rPr>
      <t>0</t>
    </r>
  </si>
  <si>
    <t>ϭpi</t>
  </si>
  <si>
    <t xml:space="preserve"> Tensione trefoli</t>
  </si>
  <si>
    <t>Tesnsione cls a livello del cavo al tiro</t>
  </si>
  <si>
    <t>ϭcc</t>
  </si>
  <si>
    <t>Perdite di tensione istantane</t>
  </si>
  <si>
    <t>ΔNi</t>
  </si>
  <si>
    <r>
      <t>N</t>
    </r>
    <r>
      <rPr>
        <vertAlign val="subscript"/>
        <sz val="11"/>
        <color theme="1"/>
        <rFont val="Calibri"/>
        <family val="2"/>
        <scheme val="minor"/>
      </rPr>
      <t>p</t>
    </r>
    <r>
      <rPr>
        <vertAlign val="superscript"/>
        <sz val="11"/>
        <color theme="1"/>
        <rFont val="Calibri"/>
        <family val="2"/>
        <scheme val="minor"/>
      </rPr>
      <t>0</t>
    </r>
    <r>
      <rPr>
        <sz val="11"/>
        <color theme="1"/>
        <rFont val="Calibri"/>
        <family val="2"/>
        <scheme val="minor"/>
      </rPr>
      <t xml:space="preserve"> - Δni</t>
    </r>
  </si>
  <si>
    <t>Precompressione dopo le perdite di tensione dovute alla deformazione istantanea del cls</t>
  </si>
  <si>
    <r>
      <t>Mg</t>
    </r>
    <r>
      <rPr>
        <vertAlign val="superscript"/>
        <sz val="11"/>
        <color theme="1"/>
        <rFont val="Calibri"/>
        <family val="2"/>
        <scheme val="minor"/>
      </rPr>
      <t>+</t>
    </r>
  </si>
  <si>
    <t>Tesnsione cls a lembo superiore</t>
  </si>
  <si>
    <r>
      <t>W</t>
    </r>
    <r>
      <rPr>
        <vertAlign val="subscript"/>
        <sz val="11"/>
        <color theme="1"/>
        <rFont val="Calibri"/>
        <family val="2"/>
        <scheme val="minor"/>
      </rPr>
      <t>x</t>
    </r>
    <r>
      <rPr>
        <sz val="11"/>
        <color theme="1"/>
        <rFont val="Calibri"/>
        <family val="2"/>
        <scheme val="minor"/>
      </rPr>
      <t>, inf</t>
    </r>
  </si>
  <si>
    <r>
      <t>W</t>
    </r>
    <r>
      <rPr>
        <vertAlign val="subscript"/>
        <sz val="11"/>
        <color theme="1"/>
        <rFont val="Calibri"/>
        <family val="2"/>
        <scheme val="minor"/>
      </rPr>
      <t>x</t>
    </r>
    <r>
      <rPr>
        <sz val="11"/>
        <color theme="1"/>
        <rFont val="Calibri"/>
        <family val="2"/>
        <scheme val="minor"/>
      </rPr>
      <t>, sup</t>
    </r>
  </si>
  <si>
    <t>Tesnsione cls a lembo inferiore</t>
  </si>
  <si>
    <t>ϭcc,inf</t>
  </si>
  <si>
    <t>ϭcc,sup</t>
  </si>
  <si>
    <t>Y</t>
  </si>
  <si>
    <t>X</t>
  </si>
  <si>
    <t>Peso Proprio fase 0</t>
  </si>
  <si>
    <t>Precompressione  fase 0</t>
  </si>
  <si>
    <t>ϭ &lt; 0.7 fctk (t)</t>
  </si>
  <si>
    <t>ϭs &lt; min ( 0.9 fpk, 0.8 fp0k)</t>
  </si>
  <si>
    <t xml:space="preserve">Tensione cls a livello del cavo </t>
  </si>
  <si>
    <t xml:space="preserve">Tensione cls nel cavo </t>
  </si>
  <si>
    <t>Tensioni del cavo dopo le cadute di tensione dovute al peso proprio</t>
  </si>
  <si>
    <r>
      <t>ϭcc</t>
    </r>
    <r>
      <rPr>
        <vertAlign val="superscript"/>
        <sz val="11"/>
        <color theme="1"/>
        <rFont val="Calibri"/>
        <family val="2"/>
        <scheme val="minor"/>
      </rPr>
      <t>0</t>
    </r>
  </si>
  <si>
    <r>
      <t>ϭsp</t>
    </r>
    <r>
      <rPr>
        <vertAlign val="superscript"/>
        <sz val="11"/>
        <color theme="1"/>
        <rFont val="Calibri"/>
        <family val="2"/>
        <scheme val="minor"/>
      </rPr>
      <t>0</t>
    </r>
  </si>
  <si>
    <t>GETTO IN OPERA DELLA SOLETTA : fase 1</t>
  </si>
  <si>
    <t>(Sezione resistente  formata dalla sola trave, soletta considerata solo come carico )</t>
  </si>
  <si>
    <t>Sollecitazioni al getto della soletta</t>
  </si>
  <si>
    <r>
      <t>M</t>
    </r>
    <r>
      <rPr>
        <vertAlign val="subscript"/>
        <sz val="11"/>
        <color theme="1"/>
        <rFont val="Calibri"/>
        <family val="2"/>
        <scheme val="minor"/>
      </rPr>
      <t>max</t>
    </r>
  </si>
  <si>
    <r>
      <t>G</t>
    </r>
    <r>
      <rPr>
        <vertAlign val="subscript"/>
        <sz val="11"/>
        <color theme="1"/>
        <rFont val="Calibri"/>
        <family val="2"/>
        <scheme val="minor"/>
      </rPr>
      <t>soletta</t>
    </r>
  </si>
  <si>
    <r>
      <t>Variazioni di tensione dovute a M</t>
    </r>
    <r>
      <rPr>
        <vertAlign val="subscript"/>
        <sz val="11"/>
        <color theme="1"/>
        <rFont val="Calibri"/>
        <family val="2"/>
        <scheme val="minor"/>
      </rPr>
      <t>max</t>
    </r>
  </si>
  <si>
    <t>Variazione di tensione nel cls al lembo superiore</t>
  </si>
  <si>
    <t>Variazione di tensione nel cls al lembo inferiore</t>
  </si>
  <si>
    <t>variazione di tensione nel cls al livello del baricentro dei cavi</t>
  </si>
  <si>
    <t>A favore di sicurezza si è considerato che il getto della soletta avvenga dopo molto tempo rispetto al tiro delle travi in precompresso, in modo da poter considerare, in questa fase tutte le perdite di tensione lente riguardo la precompressione.</t>
  </si>
  <si>
    <r>
      <t>Δϭcc</t>
    </r>
    <r>
      <rPr>
        <vertAlign val="superscript"/>
        <sz val="11"/>
        <color theme="1"/>
        <rFont val="Calibri"/>
        <family val="2"/>
      </rPr>
      <t>1</t>
    </r>
  </si>
  <si>
    <r>
      <t>Δϭc</t>
    </r>
    <r>
      <rPr>
        <vertAlign val="superscript"/>
        <sz val="11"/>
        <color theme="1"/>
        <rFont val="Calibri"/>
        <family val="2"/>
      </rPr>
      <t>1</t>
    </r>
  </si>
  <si>
    <t>Variazioni di tensione dovute alle perdite di precompressione</t>
  </si>
  <si>
    <t>ΔNt</t>
  </si>
  <si>
    <t>Perdita totale di precompressione</t>
  </si>
  <si>
    <t>Tensione cls lembo superiore</t>
  </si>
  <si>
    <r>
      <t>Δϭcs</t>
    </r>
    <r>
      <rPr>
        <vertAlign val="superscript"/>
        <sz val="11"/>
        <color theme="1"/>
        <rFont val="Calibri"/>
        <family val="2"/>
      </rPr>
      <t>1</t>
    </r>
  </si>
  <si>
    <r>
      <t>Δϭci</t>
    </r>
    <r>
      <rPr>
        <vertAlign val="superscript"/>
        <sz val="11"/>
        <color theme="1"/>
        <rFont val="Calibri"/>
        <family val="2"/>
      </rPr>
      <t>1</t>
    </r>
  </si>
  <si>
    <t>Tensione cls lembo inferiore</t>
  </si>
  <si>
    <t>ϭci1</t>
  </si>
  <si>
    <t>ϭcs1</t>
  </si>
  <si>
    <t>Tensione cls al livello del cavo</t>
  </si>
  <si>
    <t>ϭct1</t>
  </si>
  <si>
    <t>Tensione nel cavo</t>
  </si>
  <si>
    <t>Tensione nel cavo dopo le perdite in fase 1 e le cadute di tensione al peso della soletta</t>
  </si>
  <si>
    <t>ϭsp1</t>
  </si>
  <si>
    <t>Tensioni cls fase 0</t>
  </si>
  <si>
    <t>Perdite  fase 1</t>
  </si>
  <si>
    <t>Peso soletta fase 1</t>
  </si>
  <si>
    <t>Calcestruzzo soletta  C35/45</t>
  </si>
  <si>
    <t>SOLETTA COLLABORANTE : fase 2</t>
  </si>
  <si>
    <t>Caratteristiche soletta</t>
  </si>
  <si>
    <t>B</t>
  </si>
  <si>
    <t>larghezza soletta</t>
  </si>
  <si>
    <t>spessore soletta</t>
  </si>
  <si>
    <t>As,sup</t>
  </si>
  <si>
    <t>As,inf</t>
  </si>
  <si>
    <t>Φ</t>
  </si>
  <si>
    <t>diametro armature soletta</t>
  </si>
  <si>
    <t>area armatura superiore</t>
  </si>
  <si>
    <t>area armatura inferiore</t>
  </si>
  <si>
    <t>Caratteristiche sezione omogenizzata</t>
  </si>
  <si>
    <t>n2</t>
  </si>
  <si>
    <t>coefficiente omogenizzazione (rapporto tra i due moduli elastici, soletta e CAP)</t>
  </si>
  <si>
    <r>
      <t>A</t>
    </r>
    <r>
      <rPr>
        <vertAlign val="subscript"/>
        <sz val="11"/>
        <color theme="1"/>
        <rFont val="Calibri"/>
        <family val="2"/>
        <scheme val="minor"/>
      </rPr>
      <t>soletta</t>
    </r>
  </si>
  <si>
    <t>Area cls soletta</t>
  </si>
  <si>
    <t>Acls</t>
  </si>
  <si>
    <t>Area cls soletta + trave</t>
  </si>
  <si>
    <t>coefficiente omogenizzazione (rapporto tra i due moduli elastici, trefolo e CAP)</t>
  </si>
  <si>
    <t>Hsez</t>
  </si>
  <si>
    <t>H- yG</t>
  </si>
  <si>
    <r>
      <t>J</t>
    </r>
    <r>
      <rPr>
        <vertAlign val="subscript"/>
        <sz val="11"/>
        <color theme="1"/>
        <rFont val="Calibri"/>
        <family val="2"/>
        <scheme val="minor"/>
      </rPr>
      <t>XG</t>
    </r>
  </si>
  <si>
    <r>
      <t>J</t>
    </r>
    <r>
      <rPr>
        <vertAlign val="subscript"/>
        <sz val="11"/>
        <color theme="1"/>
        <rFont val="Calibri"/>
        <family val="2"/>
        <scheme val="minor"/>
      </rPr>
      <t>YG</t>
    </r>
  </si>
  <si>
    <r>
      <t>A</t>
    </r>
    <r>
      <rPr>
        <vertAlign val="subscript"/>
        <sz val="11"/>
        <color theme="1"/>
        <rFont val="Calibri"/>
        <family val="2"/>
        <scheme val="minor"/>
      </rPr>
      <t>tr</t>
    </r>
  </si>
  <si>
    <t>eccentricità tra il punto di applicazione della precompressione e il baricentro</t>
  </si>
  <si>
    <t>Momento d'inerzia in direzione X</t>
  </si>
  <si>
    <t>Momento d'inerzia in direzione Y</t>
  </si>
  <si>
    <t>Baricentro sezione partendo dal basso</t>
  </si>
  <si>
    <t>Altezza totale della sezione</t>
  </si>
  <si>
    <t>Area totale sezione Atot = Acp + n2*Ac +n*Atr</t>
  </si>
  <si>
    <t>Area trefolo</t>
  </si>
  <si>
    <t>posizione lembo superiore soletta rispetto albaricentro</t>
  </si>
  <si>
    <t>Htrav -yG</t>
  </si>
  <si>
    <t>posizione lembo inferiore soletta rispetto albaricentro</t>
  </si>
  <si>
    <t>g2 trave esterna</t>
  </si>
  <si>
    <t>g2 trave interna</t>
  </si>
  <si>
    <r>
      <t>g</t>
    </r>
    <r>
      <rPr>
        <vertAlign val="subscript"/>
        <sz val="11"/>
        <color theme="1"/>
        <rFont val="Calibri"/>
        <family val="2"/>
        <scheme val="minor"/>
      </rPr>
      <t>2</t>
    </r>
    <r>
      <rPr>
        <sz val="11"/>
        <color theme="1"/>
        <rFont val="Calibri"/>
        <family val="2"/>
        <scheme val="minor"/>
      </rPr>
      <t>,</t>
    </r>
    <r>
      <rPr>
        <vertAlign val="subscript"/>
        <sz val="11"/>
        <color theme="1"/>
        <rFont val="Calibri"/>
        <family val="2"/>
        <scheme val="minor"/>
      </rPr>
      <t>trave 2</t>
    </r>
  </si>
  <si>
    <r>
      <t>g</t>
    </r>
    <r>
      <rPr>
        <vertAlign val="subscript"/>
        <sz val="11"/>
        <color theme="1"/>
        <rFont val="Calibri"/>
        <family val="2"/>
        <scheme val="minor"/>
      </rPr>
      <t>2</t>
    </r>
    <r>
      <rPr>
        <sz val="11"/>
        <color theme="1"/>
        <rFont val="Calibri"/>
        <family val="2"/>
        <scheme val="minor"/>
      </rPr>
      <t>,</t>
    </r>
    <r>
      <rPr>
        <vertAlign val="subscript"/>
        <sz val="11"/>
        <color theme="1"/>
        <rFont val="Calibri"/>
        <family val="2"/>
        <scheme val="minor"/>
      </rPr>
      <t>trave 1</t>
    </r>
  </si>
  <si>
    <t>Calcolo sollecitazione</t>
  </si>
  <si>
    <t>Momento massimo in mezzeria della trave più caricata</t>
  </si>
  <si>
    <t>Variazioni di tensione dovute a Mmax</t>
  </si>
  <si>
    <r>
      <t>Δ</t>
    </r>
    <r>
      <rPr>
        <sz val="11"/>
        <color theme="1"/>
        <rFont val="Calibri"/>
        <family val="2"/>
      </rPr>
      <t>ϭ</t>
    </r>
    <r>
      <rPr>
        <sz val="11"/>
        <color theme="1"/>
        <rFont val="Calibri"/>
        <family val="2"/>
        <scheme val="minor"/>
      </rPr>
      <t>cs,soletta</t>
    </r>
  </si>
  <si>
    <r>
      <t>Δ</t>
    </r>
    <r>
      <rPr>
        <sz val="11"/>
        <color theme="1"/>
        <rFont val="Calibri"/>
        <family val="2"/>
      </rPr>
      <t>ϭ</t>
    </r>
    <r>
      <rPr>
        <sz val="11"/>
        <color theme="1"/>
        <rFont val="Calibri"/>
        <family val="2"/>
        <scheme val="minor"/>
      </rPr>
      <t>ci,soletta</t>
    </r>
  </si>
  <si>
    <t>tensione al lembo superiore della soletta</t>
  </si>
  <si>
    <r>
      <t>Δ</t>
    </r>
    <r>
      <rPr>
        <sz val="11"/>
        <color theme="1"/>
        <rFont val="Calibri"/>
        <family val="2"/>
      </rPr>
      <t>ϭ</t>
    </r>
    <r>
      <rPr>
        <sz val="11"/>
        <color theme="1"/>
        <rFont val="Calibri"/>
        <family val="2"/>
        <scheme val="minor"/>
      </rPr>
      <t>cs,trave</t>
    </r>
  </si>
  <si>
    <t>tensione al lembo inferiore della soletta</t>
  </si>
  <si>
    <t>tensione al lembo superiore della trave</t>
  </si>
  <si>
    <r>
      <t>Δ</t>
    </r>
    <r>
      <rPr>
        <sz val="11"/>
        <color theme="1"/>
        <rFont val="Calibri"/>
        <family val="2"/>
      </rPr>
      <t>ϭ</t>
    </r>
    <r>
      <rPr>
        <sz val="11"/>
        <color theme="1"/>
        <rFont val="Calibri"/>
        <family val="2"/>
        <scheme val="minor"/>
      </rPr>
      <t>ci,trave</t>
    </r>
  </si>
  <si>
    <t>tensione al lembo inferiore della trave</t>
  </si>
  <si>
    <r>
      <t>Δ</t>
    </r>
    <r>
      <rPr>
        <sz val="11"/>
        <color theme="1"/>
        <rFont val="Calibri"/>
        <family val="2"/>
      </rPr>
      <t>ϭ</t>
    </r>
    <r>
      <rPr>
        <sz val="11"/>
        <color theme="1"/>
        <rFont val="Calibri"/>
        <family val="2"/>
        <scheme val="minor"/>
      </rPr>
      <t>cp,trave</t>
    </r>
  </si>
  <si>
    <t>tensione del cls al trefolo</t>
  </si>
  <si>
    <t>Punto</t>
  </si>
  <si>
    <t>y</t>
  </si>
  <si>
    <t>FASE 1</t>
  </si>
  <si>
    <t>ϭ</t>
  </si>
  <si>
    <r>
      <t>Δ</t>
    </r>
    <r>
      <rPr>
        <sz val="11"/>
        <color theme="1"/>
        <rFont val="Calibri"/>
        <family val="2"/>
      </rPr>
      <t>ϭ</t>
    </r>
    <r>
      <rPr>
        <sz val="11"/>
        <color theme="1"/>
        <rFont val="Calibri"/>
        <family val="2"/>
        <scheme val="minor"/>
      </rPr>
      <t>cs,soletta,ritiro</t>
    </r>
  </si>
  <si>
    <t xml:space="preserve"> tensione da ritiro soletta</t>
  </si>
  <si>
    <t>Nritiro</t>
  </si>
  <si>
    <t>Mritiro</t>
  </si>
  <si>
    <t>RITIRO</t>
  </si>
  <si>
    <t>G2 -Fase 2</t>
  </si>
  <si>
    <t>perdite</t>
  </si>
  <si>
    <r>
      <t>Δ</t>
    </r>
    <r>
      <rPr>
        <sz val="11"/>
        <color theme="1"/>
        <rFont val="Calibri"/>
        <family val="2"/>
      </rPr>
      <t>ϭ</t>
    </r>
    <r>
      <rPr>
        <sz val="11"/>
        <color theme="1"/>
        <rFont val="Calibri"/>
        <family val="2"/>
        <scheme val="minor"/>
      </rPr>
      <t>cp</t>
    </r>
  </si>
  <si>
    <t>variazione tensione al lembo superiore della soletta</t>
  </si>
  <si>
    <t>variazione tensione al lembo superiore della trave</t>
  </si>
  <si>
    <t>variazione tensione al lembo inferiore della trave</t>
  </si>
  <si>
    <t>variazione tensione del cls al trefolo</t>
  </si>
  <si>
    <t>ϭtot</t>
  </si>
  <si>
    <t>Tensioni totali cls lembo sinferiore soletta</t>
  </si>
  <si>
    <t>Tensioni totali cls lembo superiore soletta</t>
  </si>
  <si>
    <t>Tensioni totali cls lembo superiore trave</t>
  </si>
  <si>
    <t>Tensioni totali cls lembo inferiore trave</t>
  </si>
  <si>
    <t>Tensioni totali cls nel cav0</t>
  </si>
  <si>
    <t>ϭcs2,soletta</t>
  </si>
  <si>
    <t>ϭci3,soletta</t>
  </si>
  <si>
    <t>ϭcs2,trave</t>
  </si>
  <si>
    <t>ϭci2,trave</t>
  </si>
  <si>
    <t>ϭsp2</t>
  </si>
  <si>
    <t>D/C</t>
  </si>
  <si>
    <t>Tensione nel cavo dopo le perdite in fase 1 e le cadute di tensione al peso dei carichi g2</t>
  </si>
  <si>
    <t>SOLETTA COLLABORANTE &amp; CARICHI MOBILI : fase 3</t>
  </si>
  <si>
    <r>
      <t>Δ</t>
    </r>
    <r>
      <rPr>
        <sz val="11"/>
        <color theme="1"/>
        <rFont val="Calibri"/>
        <family val="2"/>
      </rPr>
      <t>ϭ</t>
    </r>
    <r>
      <rPr>
        <sz val="11"/>
        <color theme="1"/>
        <rFont val="Calibri"/>
        <family val="2"/>
        <scheme val="minor"/>
      </rPr>
      <t>csp</t>
    </r>
  </si>
  <si>
    <t>FASE 2</t>
  </si>
  <si>
    <t>Q -Fase 3</t>
  </si>
  <si>
    <t>Tensioni totali cls nel cavo dopo le perdite</t>
  </si>
  <si>
    <t>Tensioni totali cls nel cavo</t>
  </si>
  <si>
    <t>ϭsp3</t>
  </si>
  <si>
    <t>ϭci3,trave</t>
  </si>
  <si>
    <t>ϭcs3,trave</t>
  </si>
  <si>
    <t>ϭcs3,soletta</t>
  </si>
  <si>
    <r>
      <t>Δ</t>
    </r>
    <r>
      <rPr>
        <sz val="11"/>
        <color theme="1"/>
        <rFont val="Calibri"/>
        <family val="2"/>
      </rPr>
      <t>ϭ</t>
    </r>
    <r>
      <rPr>
        <sz val="11"/>
        <color theme="1"/>
        <rFont val="Calibri"/>
        <family val="2"/>
        <scheme val="minor"/>
      </rPr>
      <t>csp3</t>
    </r>
  </si>
  <si>
    <t>PERDITE TRAVE V140</t>
  </si>
  <si>
    <t>Ac</t>
  </si>
  <si>
    <t>P</t>
  </si>
  <si>
    <r>
      <t>y</t>
    </r>
    <r>
      <rPr>
        <vertAlign val="subscript"/>
        <sz val="11"/>
        <color theme="1"/>
        <rFont val="Calibri"/>
        <family val="2"/>
        <scheme val="minor"/>
      </rPr>
      <t>G</t>
    </r>
  </si>
  <si>
    <t>Jx</t>
  </si>
  <si>
    <r>
      <t>m</t>
    </r>
    <r>
      <rPr>
        <vertAlign val="superscript"/>
        <sz val="11"/>
        <color theme="1"/>
        <rFont val="Calibri"/>
        <family val="2"/>
        <scheme val="minor"/>
      </rPr>
      <t>4</t>
    </r>
  </si>
  <si>
    <t>CALCESTRUZZO C45/55</t>
  </si>
  <si>
    <t>fck</t>
  </si>
  <si>
    <t>Rck</t>
  </si>
  <si>
    <t>VISCOSITA - RITIRO</t>
  </si>
  <si>
    <r>
      <t>m</t>
    </r>
    <r>
      <rPr>
        <vertAlign val="superscript"/>
        <sz val="11"/>
        <color theme="1"/>
        <rFont val="Calibri"/>
        <family val="2"/>
        <scheme val="minor"/>
      </rPr>
      <t>2</t>
    </r>
  </si>
  <si>
    <t>u</t>
  </si>
  <si>
    <r>
      <t>h</t>
    </r>
    <r>
      <rPr>
        <vertAlign val="subscript"/>
        <sz val="11"/>
        <color theme="1"/>
        <rFont val="Calibri"/>
        <family val="2"/>
        <scheme val="minor"/>
      </rPr>
      <t>0</t>
    </r>
  </si>
  <si>
    <t>RH</t>
  </si>
  <si>
    <t>%</t>
  </si>
  <si>
    <r>
      <t>ϕ</t>
    </r>
    <r>
      <rPr>
        <vertAlign val="subscript"/>
        <sz val="11"/>
        <color theme="1"/>
        <rFont val="Calibri"/>
        <family val="2"/>
      </rPr>
      <t>RH</t>
    </r>
  </si>
  <si>
    <t>-</t>
  </si>
  <si>
    <r>
      <t>β(f</t>
    </r>
    <r>
      <rPr>
        <vertAlign val="subscript"/>
        <sz val="11"/>
        <color theme="1"/>
        <rFont val="Calibri"/>
        <family val="2"/>
      </rPr>
      <t>cm</t>
    </r>
    <r>
      <rPr>
        <sz val="11"/>
        <color theme="1"/>
        <rFont val="Calibri"/>
        <family val="2"/>
      </rPr>
      <t>)</t>
    </r>
  </si>
  <si>
    <r>
      <t>β</t>
    </r>
    <r>
      <rPr>
        <vertAlign val="subscript"/>
        <sz val="11"/>
        <color theme="1"/>
        <rFont val="Calibri"/>
        <family val="2"/>
        <scheme val="minor"/>
      </rPr>
      <t>0</t>
    </r>
  </si>
  <si>
    <t>(t-t0)</t>
  </si>
  <si>
    <r>
      <t>β</t>
    </r>
    <r>
      <rPr>
        <vertAlign val="subscript"/>
        <sz val="11"/>
        <color theme="1"/>
        <rFont val="Calibri"/>
        <family val="2"/>
      </rPr>
      <t>H</t>
    </r>
  </si>
  <si>
    <t>β(t-t0)</t>
  </si>
  <si>
    <r>
      <t>ϕ</t>
    </r>
    <r>
      <rPr>
        <vertAlign val="subscript"/>
        <sz val="11"/>
        <color theme="1"/>
        <rFont val="Calibri"/>
        <family val="2"/>
        <scheme val="minor"/>
      </rPr>
      <t>0</t>
    </r>
  </si>
  <si>
    <r>
      <t>ϕ</t>
    </r>
    <r>
      <rPr>
        <vertAlign val="subscript"/>
        <sz val="11"/>
        <color theme="1"/>
        <rFont val="Calibri"/>
        <family val="2"/>
        <scheme val="minor"/>
      </rPr>
      <t>visc.</t>
    </r>
  </si>
  <si>
    <r>
      <rPr>
        <sz val="11"/>
        <color theme="1"/>
        <rFont val="Calibri"/>
        <family val="2"/>
      </rPr>
      <t>Ψ</t>
    </r>
    <r>
      <rPr>
        <vertAlign val="subscript"/>
        <sz val="11"/>
        <color theme="1"/>
        <rFont val="Calibri"/>
        <family val="2"/>
      </rPr>
      <t>p</t>
    </r>
  </si>
  <si>
    <r>
      <t>Ψ</t>
    </r>
    <r>
      <rPr>
        <vertAlign val="subscript"/>
        <sz val="11"/>
        <color theme="1"/>
        <rFont val="Calibri"/>
        <family val="2"/>
      </rPr>
      <t>visc.</t>
    </r>
  </si>
  <si>
    <r>
      <t>E</t>
    </r>
    <r>
      <rPr>
        <vertAlign val="subscript"/>
        <sz val="11"/>
        <color theme="1"/>
        <rFont val="Calibri"/>
        <family val="2"/>
      </rPr>
      <t>cm,cls</t>
    </r>
  </si>
  <si>
    <r>
      <t>E</t>
    </r>
    <r>
      <rPr>
        <vertAlign val="subscript"/>
        <sz val="11"/>
        <color theme="1"/>
        <rFont val="Calibri"/>
        <family val="2"/>
      </rPr>
      <t>Ritiro</t>
    </r>
  </si>
  <si>
    <r>
      <t>E</t>
    </r>
    <r>
      <rPr>
        <vertAlign val="subscript"/>
        <sz val="11"/>
        <color theme="1"/>
        <rFont val="Calibri"/>
        <family val="2"/>
      </rPr>
      <t>visc.</t>
    </r>
  </si>
  <si>
    <r>
      <t>E</t>
    </r>
    <r>
      <rPr>
        <vertAlign val="subscript"/>
        <sz val="11"/>
        <color theme="1"/>
        <rFont val="Calibri"/>
        <family val="2"/>
      </rPr>
      <t>cm,fissurato</t>
    </r>
  </si>
  <si>
    <r>
      <t>N/mm</t>
    </r>
    <r>
      <rPr>
        <vertAlign val="superscript"/>
        <sz val="11"/>
        <color theme="1"/>
        <rFont val="Calibri"/>
        <family val="2"/>
        <scheme val="minor"/>
      </rPr>
      <t>3</t>
    </r>
    <r>
      <rPr>
        <sz val="11"/>
        <color theme="1"/>
        <rFont val="Calibri"/>
        <family val="2"/>
        <scheme val="minor"/>
      </rPr>
      <t/>
    </r>
  </si>
  <si>
    <r>
      <t>n</t>
    </r>
    <r>
      <rPr>
        <vertAlign val="subscript"/>
        <sz val="11"/>
        <color theme="1"/>
        <rFont val="Calibri"/>
        <family val="2"/>
      </rPr>
      <t>0</t>
    </r>
  </si>
  <si>
    <r>
      <t>n</t>
    </r>
    <r>
      <rPr>
        <vertAlign val="subscript"/>
        <sz val="11"/>
        <color theme="1"/>
        <rFont val="Calibri"/>
        <family val="2"/>
      </rPr>
      <t>Ritiro</t>
    </r>
  </si>
  <si>
    <r>
      <t>n</t>
    </r>
    <r>
      <rPr>
        <vertAlign val="subscript"/>
        <sz val="11"/>
        <color theme="1"/>
        <rFont val="Calibri"/>
        <family val="2"/>
      </rPr>
      <t>Visc.</t>
    </r>
  </si>
  <si>
    <r>
      <t>n</t>
    </r>
    <r>
      <rPr>
        <vertAlign val="subscript"/>
        <sz val="11"/>
        <color theme="1"/>
        <rFont val="Calibri"/>
        <family val="2"/>
      </rPr>
      <t>fissurato</t>
    </r>
  </si>
  <si>
    <t>Area sezione</t>
  </si>
  <si>
    <t>Perimetro disposto al atmosfera</t>
  </si>
  <si>
    <t>baricentro sezione cls in assenza di ferri</t>
  </si>
  <si>
    <t>Momento d'inerzia sezione</t>
  </si>
  <si>
    <t>Resistenza caratteristica cilindrica a compressione</t>
  </si>
  <si>
    <t>Resistenza caratteristica cubica a compressione</t>
  </si>
  <si>
    <t>DimArea sezioneensione equivalente per</t>
  </si>
  <si>
    <t>Dimensione equivalente per</t>
  </si>
  <si>
    <t>Umidità relativa</t>
  </si>
  <si>
    <t>Coeff. Ridutt. Per ritiro</t>
  </si>
  <si>
    <t>Modulo elastico cls a breve termine</t>
  </si>
  <si>
    <t>Modulo elastico cls a ritiro</t>
  </si>
  <si>
    <t>Modulo elastico cls viscoo</t>
  </si>
  <si>
    <t>Modulo elastico cls fissurato</t>
  </si>
  <si>
    <t>DEFORMAZIONE PER RITIRO</t>
  </si>
  <si>
    <r>
      <t>ε</t>
    </r>
    <r>
      <rPr>
        <vertAlign val="subscript"/>
        <sz val="11"/>
        <color theme="1"/>
        <rFont val="Calibri"/>
        <family val="2"/>
      </rPr>
      <t>ca,ꚙ</t>
    </r>
  </si>
  <si>
    <t>Ritiro per autogeno</t>
  </si>
  <si>
    <r>
      <t>β</t>
    </r>
    <r>
      <rPr>
        <vertAlign val="subscript"/>
        <sz val="11"/>
        <color theme="1"/>
        <rFont val="Calibri"/>
        <family val="2"/>
        <scheme val="minor"/>
      </rPr>
      <t>ds</t>
    </r>
  </si>
  <si>
    <r>
      <t>ε</t>
    </r>
    <r>
      <rPr>
        <vertAlign val="subscript"/>
        <sz val="11"/>
        <color theme="1"/>
        <rFont val="Calibri"/>
        <family val="2"/>
      </rPr>
      <t>c0</t>
    </r>
  </si>
  <si>
    <r>
      <t>K</t>
    </r>
    <r>
      <rPr>
        <vertAlign val="subscript"/>
        <sz val="11"/>
        <color theme="1"/>
        <rFont val="Calibri"/>
        <family val="2"/>
      </rPr>
      <t>h</t>
    </r>
  </si>
  <si>
    <r>
      <t>ε</t>
    </r>
    <r>
      <rPr>
        <vertAlign val="subscript"/>
        <sz val="11"/>
        <color theme="1"/>
        <rFont val="Calibri"/>
        <family val="2"/>
      </rPr>
      <t>cd,ꚙ</t>
    </r>
  </si>
  <si>
    <r>
      <t>ε</t>
    </r>
    <r>
      <rPr>
        <vertAlign val="subscript"/>
        <sz val="11"/>
        <color theme="1"/>
        <rFont val="Calibri"/>
        <family val="2"/>
      </rPr>
      <t>cd</t>
    </r>
  </si>
  <si>
    <t>Ritiro per esseccamento</t>
  </si>
  <si>
    <r>
      <t>ε</t>
    </r>
    <r>
      <rPr>
        <vertAlign val="subscript"/>
        <sz val="11"/>
        <color theme="1"/>
        <rFont val="Calibri"/>
        <family val="2"/>
      </rPr>
      <t>cs</t>
    </r>
  </si>
  <si>
    <t>Ritiro totale</t>
  </si>
  <si>
    <t>h0</t>
  </si>
  <si>
    <t>Kh</t>
  </si>
  <si>
    <t>Altezza equivalente</t>
  </si>
  <si>
    <t>Coefficiente viscoso</t>
  </si>
  <si>
    <t>Coefficiente di correzione per viscosità</t>
  </si>
  <si>
    <t>Rilassamento del trefolo</t>
  </si>
  <si>
    <t>Caratteristiche trefolo</t>
  </si>
  <si>
    <t>Diametro trefolo</t>
  </si>
  <si>
    <t>At</t>
  </si>
  <si>
    <t>Area nominale trefolo</t>
  </si>
  <si>
    <t>Tensione ultima trefolo</t>
  </si>
  <si>
    <r>
      <t>f</t>
    </r>
    <r>
      <rPr>
        <vertAlign val="subscript"/>
        <sz val="11"/>
        <color theme="1"/>
        <rFont val="Calibri"/>
        <family val="2"/>
        <scheme val="minor"/>
      </rPr>
      <t>p01k</t>
    </r>
  </si>
  <si>
    <t>Tensione trefolo per un allungamento del 0.1%</t>
  </si>
  <si>
    <t>Modulo elastico trefolo</t>
  </si>
  <si>
    <r>
      <t>n</t>
    </r>
    <r>
      <rPr>
        <vertAlign val="subscript"/>
        <sz val="11"/>
        <color theme="1"/>
        <rFont val="Calibri"/>
        <family val="2"/>
        <scheme val="minor"/>
      </rPr>
      <t>t</t>
    </r>
  </si>
  <si>
    <t>Numero trefolo per sezione</t>
  </si>
  <si>
    <t>Posizione del centro geometrico trefoli</t>
  </si>
  <si>
    <t xml:space="preserve">trefolo </t>
  </si>
  <si>
    <t>Classe 2</t>
  </si>
  <si>
    <r>
      <rPr>
        <sz val="11"/>
        <color theme="1"/>
        <rFont val="Calibri"/>
        <family val="2"/>
      </rPr>
      <t>ρ</t>
    </r>
    <r>
      <rPr>
        <vertAlign val="subscript"/>
        <sz val="11"/>
        <color theme="1"/>
        <rFont val="Calibri"/>
        <family val="2"/>
      </rPr>
      <t>1000</t>
    </r>
  </si>
  <si>
    <t>Perdita per rilassamento in percentuale</t>
  </si>
  <si>
    <t>μ</t>
  </si>
  <si>
    <r>
      <t>σ</t>
    </r>
    <r>
      <rPr>
        <vertAlign val="subscript"/>
        <sz val="11"/>
        <color theme="1"/>
        <rFont val="Calibri"/>
        <family val="2"/>
        <scheme val="minor"/>
      </rPr>
      <t>pi</t>
    </r>
    <r>
      <rPr>
        <sz val="11"/>
        <color theme="1"/>
        <rFont val="Calibri"/>
        <family val="2"/>
        <scheme val="minor"/>
      </rPr>
      <t>/f</t>
    </r>
    <r>
      <rPr>
        <vertAlign val="subscript"/>
        <sz val="11"/>
        <color theme="1"/>
        <rFont val="Calibri"/>
        <family val="2"/>
        <scheme val="minor"/>
      </rPr>
      <t>pk</t>
    </r>
  </si>
  <si>
    <r>
      <t>σ</t>
    </r>
    <r>
      <rPr>
        <vertAlign val="subscript"/>
        <sz val="11"/>
        <color theme="1"/>
        <rFont val="Calibri"/>
        <family val="2"/>
        <scheme val="minor"/>
      </rPr>
      <t>pi</t>
    </r>
  </si>
  <si>
    <t>Tensione iniziale trefolo</t>
  </si>
  <si>
    <r>
      <t>∆σ</t>
    </r>
    <r>
      <rPr>
        <vertAlign val="subscript"/>
        <sz val="11"/>
        <color theme="1"/>
        <rFont val="Calibri"/>
        <family val="2"/>
      </rPr>
      <t>pr</t>
    </r>
  </si>
  <si>
    <t>Perdita di tensione per rilassamento</t>
  </si>
  <si>
    <t>ore</t>
  </si>
  <si>
    <t>Tempo di carico</t>
  </si>
  <si>
    <t>sezione omogenizzata a breve termine</t>
  </si>
  <si>
    <t>Yg</t>
  </si>
  <si>
    <t xml:space="preserve"> sezione omogenizzata con soletta</t>
  </si>
  <si>
    <t>ns</t>
  </si>
  <si>
    <t>calcolo perdite in termini di tensioni</t>
  </si>
  <si>
    <t>Perdite iniziali</t>
  </si>
  <si>
    <t>perdita elastica</t>
  </si>
  <si>
    <r>
      <rPr>
        <sz val="11"/>
        <color theme="1"/>
        <rFont val="Calibri"/>
        <family val="2"/>
      </rPr>
      <t>ε</t>
    </r>
    <r>
      <rPr>
        <vertAlign val="subscript"/>
        <sz val="11"/>
        <color theme="1"/>
        <rFont val="Calibri"/>
        <family val="2"/>
      </rPr>
      <t>ci</t>
    </r>
  </si>
  <si>
    <t>Accorciamento nel cls. Al lembo inferiore divuto da tiro</t>
  </si>
  <si>
    <r>
      <t>∆σ</t>
    </r>
    <r>
      <rPr>
        <vertAlign val="subscript"/>
        <sz val="11"/>
        <color theme="1"/>
        <rFont val="Calibri"/>
        <family val="2"/>
      </rPr>
      <t>sp,ist.</t>
    </r>
  </si>
  <si>
    <t>Perdita di tensione iniziale</t>
  </si>
  <si>
    <t>perdita per rilassamento</t>
  </si>
  <si>
    <r>
      <t>∆σ</t>
    </r>
    <r>
      <rPr>
        <vertAlign val="subscript"/>
        <sz val="11"/>
        <color theme="1"/>
        <rFont val="Calibri"/>
        <family val="2"/>
      </rPr>
      <t>sp,rilass.</t>
    </r>
  </si>
  <si>
    <t>perdita per ritiro</t>
  </si>
  <si>
    <r>
      <t>∆σ</t>
    </r>
    <r>
      <rPr>
        <vertAlign val="subscript"/>
        <sz val="11"/>
        <color theme="1"/>
        <rFont val="Calibri"/>
        <family val="2"/>
      </rPr>
      <t>sp,ritiro</t>
    </r>
  </si>
  <si>
    <t>Perdita di tensione per ritiro</t>
  </si>
  <si>
    <t>perdita per viscosità</t>
  </si>
  <si>
    <t>M</t>
  </si>
  <si>
    <t>kNm</t>
  </si>
  <si>
    <t>Momento dovuto dal peso delle travi e soletta</t>
  </si>
  <si>
    <t>Momento dovuto dai traversi</t>
  </si>
  <si>
    <r>
      <t>ε</t>
    </r>
    <r>
      <rPr>
        <vertAlign val="subscript"/>
        <sz val="11"/>
        <color theme="1"/>
        <rFont val="Calibri"/>
        <family val="2"/>
      </rPr>
      <t>v</t>
    </r>
  </si>
  <si>
    <t>accorciamento nel cls. In corrisponndenz del centro delle armature</t>
  </si>
  <si>
    <r>
      <t>∆σ</t>
    </r>
    <r>
      <rPr>
        <vertAlign val="subscript"/>
        <sz val="11"/>
        <color theme="1"/>
        <rFont val="Calibri"/>
        <family val="2"/>
      </rPr>
      <t>sp,visc.</t>
    </r>
  </si>
  <si>
    <t>Perdita di tiro per viscosita</t>
  </si>
  <si>
    <t>Perdite in fase 0</t>
  </si>
  <si>
    <r>
      <t>∆σ</t>
    </r>
    <r>
      <rPr>
        <vertAlign val="subscript"/>
        <sz val="11"/>
        <color theme="1"/>
        <rFont val="Calibri"/>
        <family val="2"/>
      </rPr>
      <t>0</t>
    </r>
  </si>
  <si>
    <t>Perdita di tiro in fase 0</t>
  </si>
  <si>
    <r>
      <t>σ</t>
    </r>
    <r>
      <rPr>
        <vertAlign val="subscript"/>
        <sz val="11"/>
        <color theme="1"/>
        <rFont val="Calibri"/>
        <family val="2"/>
      </rPr>
      <t>sp,0</t>
    </r>
  </si>
  <si>
    <t>tensione finale fase 0</t>
  </si>
  <si>
    <r>
      <t>∆N</t>
    </r>
    <r>
      <rPr>
        <vertAlign val="subscript"/>
        <sz val="11"/>
        <color theme="1"/>
        <rFont val="Calibri"/>
        <family val="2"/>
      </rPr>
      <t>0</t>
    </r>
  </si>
  <si>
    <t>kN</t>
  </si>
  <si>
    <t>Perdite in fase 1</t>
  </si>
  <si>
    <r>
      <t>∆σ</t>
    </r>
    <r>
      <rPr>
        <vertAlign val="subscript"/>
        <sz val="11"/>
        <color theme="1"/>
        <rFont val="Calibri"/>
        <family val="2"/>
      </rPr>
      <t>1</t>
    </r>
  </si>
  <si>
    <t>Perdita di tiro in fase 1</t>
  </si>
  <si>
    <t>tensione finale fase 1</t>
  </si>
  <si>
    <r>
      <t>∆N</t>
    </r>
    <r>
      <rPr>
        <vertAlign val="subscript"/>
        <sz val="11"/>
        <color theme="1"/>
        <rFont val="Calibri"/>
        <family val="2"/>
      </rPr>
      <t>1</t>
    </r>
  </si>
  <si>
    <t>Calcolo delle perdite in fase 2</t>
  </si>
  <si>
    <t>effetto differenziale di ritiro</t>
  </si>
  <si>
    <r>
      <t>ε</t>
    </r>
    <r>
      <rPr>
        <vertAlign val="subscript"/>
        <sz val="11"/>
        <color theme="1"/>
        <rFont val="Calibri"/>
        <family val="2"/>
      </rPr>
      <t>cs(tr-soletta)</t>
    </r>
  </si>
  <si>
    <t>estensione dovuto dal ritiro nella soletta</t>
  </si>
  <si>
    <r>
      <t>∆σ</t>
    </r>
    <r>
      <rPr>
        <vertAlign val="subscript"/>
        <sz val="11"/>
        <color theme="1"/>
        <rFont val="Calibri"/>
        <family val="2"/>
      </rPr>
      <t>cs (soletta)</t>
    </r>
  </si>
  <si>
    <t>Ntot</t>
  </si>
  <si>
    <t>Sforzo di compressione nella trave</t>
  </si>
  <si>
    <t>Momento flettente trave</t>
  </si>
  <si>
    <r>
      <t>∆σ</t>
    </r>
    <r>
      <rPr>
        <vertAlign val="subscript"/>
        <sz val="11"/>
        <color theme="1"/>
        <rFont val="Calibri"/>
        <family val="2"/>
      </rPr>
      <t>trave sup.</t>
    </r>
  </si>
  <si>
    <t>Tensione sul lembo superiore trave</t>
  </si>
  <si>
    <r>
      <t>∆σ</t>
    </r>
    <r>
      <rPr>
        <vertAlign val="subscript"/>
        <sz val="11"/>
        <color theme="1"/>
        <rFont val="Calibri"/>
        <family val="2"/>
      </rPr>
      <t>trave inf.</t>
    </r>
  </si>
  <si>
    <t>Tensione sul lembo inferiore trave</t>
  </si>
  <si>
    <r>
      <t>∆σ</t>
    </r>
    <r>
      <rPr>
        <vertAlign val="subscript"/>
        <sz val="11"/>
        <color theme="1"/>
        <rFont val="Calibri"/>
        <family val="2"/>
      </rPr>
      <t>trave barre.</t>
    </r>
  </si>
  <si>
    <t>Tensione sui trefoli</t>
  </si>
  <si>
    <t>Perdita di tiro per viscosita G2</t>
  </si>
  <si>
    <t>Perdita totale in fase 2</t>
  </si>
  <si>
    <r>
      <t>∆σ</t>
    </r>
    <r>
      <rPr>
        <vertAlign val="subscript"/>
        <sz val="11"/>
        <color theme="1"/>
        <rFont val="Calibri"/>
        <family val="2"/>
      </rPr>
      <t>tot. 2</t>
    </r>
  </si>
  <si>
    <t>Perdita in fase 3</t>
  </si>
  <si>
    <t>Carichi mobili</t>
  </si>
  <si>
    <t>Q1k</t>
  </si>
  <si>
    <t>q1k</t>
  </si>
  <si>
    <r>
      <t>kN/m</t>
    </r>
    <r>
      <rPr>
        <vertAlign val="superscript"/>
        <sz val="11"/>
        <color theme="1"/>
        <rFont val="Calibri"/>
        <family val="2"/>
        <scheme val="minor"/>
      </rPr>
      <t>2</t>
    </r>
  </si>
  <si>
    <t>Mtot</t>
  </si>
  <si>
    <r>
      <t>∆σ</t>
    </r>
    <r>
      <rPr>
        <vertAlign val="subscript"/>
        <sz val="11"/>
        <color theme="1"/>
        <rFont val="Calibri"/>
        <family val="2"/>
      </rPr>
      <t>3</t>
    </r>
  </si>
  <si>
    <t>VALUTAZIONE EFFETTI VISCOSITA - RITIRO</t>
  </si>
  <si>
    <t xml:space="preserve">MATERIALI SOLETTA </t>
  </si>
  <si>
    <t>CALCESTRUZZO C35/45</t>
  </si>
  <si>
    <t>Cesp.</t>
  </si>
  <si>
    <t>XS1</t>
  </si>
  <si>
    <t>Classe di esposizione</t>
  </si>
  <si>
    <t>DATI GEOMETRICI SOLETTA</t>
  </si>
  <si>
    <t>L1</t>
  </si>
  <si>
    <t>sbalzo soletta</t>
  </si>
  <si>
    <t>L2</t>
  </si>
  <si>
    <t>interasse travi</t>
  </si>
  <si>
    <t>Ltot</t>
  </si>
  <si>
    <t>larghezza totale soletta</t>
  </si>
  <si>
    <t>Ss</t>
  </si>
  <si>
    <t>spessore soletta strutturale</t>
  </si>
  <si>
    <r>
      <t>Ssp</t>
    </r>
    <r>
      <rPr>
        <vertAlign val="subscript"/>
        <sz val="11"/>
        <color theme="1"/>
        <rFont val="Calibri"/>
        <family val="2"/>
        <scheme val="minor"/>
      </rPr>
      <t>max</t>
    </r>
  </si>
  <si>
    <t>spessore max. soletta di pendenza</t>
  </si>
  <si>
    <r>
      <t>Ssp</t>
    </r>
    <r>
      <rPr>
        <vertAlign val="subscript"/>
        <sz val="11"/>
        <color theme="1"/>
        <rFont val="Calibri"/>
        <family val="2"/>
        <scheme val="minor"/>
      </rPr>
      <t>min</t>
    </r>
  </si>
  <si>
    <t>spessore min. soletta di pendenza</t>
  </si>
  <si>
    <t>Coefficiente di omogenizzazione iniziale</t>
  </si>
  <si>
    <t>Coefficiente di omogenizzazione per ritiro</t>
  </si>
  <si>
    <t>Coefficiente di omogenizzazione per viscosità</t>
  </si>
  <si>
    <t>Coefficiente di omogenizzazione per fissurazione</t>
  </si>
  <si>
    <t>Carico tandem</t>
  </si>
  <si>
    <t>Carico destribuito</t>
  </si>
  <si>
    <t>Perdita di tensione nei cavi</t>
  </si>
  <si>
    <t>Caratteristiche sezione omogenizzata interamente reagente con soletta</t>
  </si>
  <si>
    <t>area ferri laterali</t>
  </si>
  <si>
    <t>ferri superiori</t>
  </si>
  <si>
    <t>M [KNm]</t>
  </si>
  <si>
    <t>N [KN]</t>
  </si>
  <si>
    <t>Diagramma con barre laterali e sup</t>
  </si>
  <si>
    <t>SOLLECITAZIONI SLU</t>
  </si>
  <si>
    <t xml:space="preserve">N </t>
  </si>
  <si>
    <t>VERIFICA A TAGLIO</t>
  </si>
  <si>
    <t>h</t>
  </si>
  <si>
    <t>passo</t>
  </si>
  <si>
    <t>θ</t>
  </si>
  <si>
    <r>
      <t>V</t>
    </r>
    <r>
      <rPr>
        <vertAlign val="subscript"/>
        <sz val="11"/>
        <color theme="1"/>
        <rFont val="Calibri"/>
        <family val="2"/>
        <scheme val="minor"/>
      </rPr>
      <t>Rsd</t>
    </r>
  </si>
  <si>
    <r>
      <t>V</t>
    </r>
    <r>
      <rPr>
        <vertAlign val="subscript"/>
        <sz val="11"/>
        <color theme="1"/>
        <rFont val="Calibri"/>
        <family val="2"/>
        <scheme val="minor"/>
      </rPr>
      <t>Rcd</t>
    </r>
  </si>
  <si>
    <r>
      <t>V</t>
    </r>
    <r>
      <rPr>
        <vertAlign val="subscript"/>
        <sz val="11"/>
        <color theme="1"/>
        <rFont val="Calibri"/>
        <family val="2"/>
        <scheme val="minor"/>
      </rPr>
      <t>Rd</t>
    </r>
  </si>
  <si>
    <t>[rad]</t>
  </si>
  <si>
    <t>[gradi]</t>
  </si>
  <si>
    <t xml:space="preserve">b </t>
  </si>
  <si>
    <t>fyk</t>
  </si>
  <si>
    <t>fyd</t>
  </si>
  <si>
    <t>Armatura ordinaria B450C</t>
  </si>
  <si>
    <t>Staffe e reggistaffe</t>
  </si>
  <si>
    <r>
      <t>f</t>
    </r>
    <r>
      <rPr>
        <vertAlign val="subscript"/>
        <sz val="11"/>
        <color theme="1"/>
        <rFont val="Calibri"/>
        <family val="2"/>
        <scheme val="minor"/>
      </rPr>
      <t>cd</t>
    </r>
  </si>
  <si>
    <r>
      <t>V</t>
    </r>
    <r>
      <rPr>
        <vertAlign val="subscript"/>
        <sz val="11"/>
        <color theme="1"/>
        <rFont val="Calibri"/>
        <family val="2"/>
        <scheme val="minor"/>
      </rPr>
      <t>ED,tot</t>
    </r>
  </si>
  <si>
    <r>
      <t>V</t>
    </r>
    <r>
      <rPr>
        <vertAlign val="subscript"/>
        <sz val="11"/>
        <color theme="1"/>
        <rFont val="Calibri"/>
        <family val="2"/>
        <scheme val="minor"/>
      </rPr>
      <t>ED,anima</t>
    </r>
  </si>
  <si>
    <t>Calcolo resistenza a taglio dell'ala</t>
  </si>
  <si>
    <t>Taglio resistente armatura d'anima</t>
  </si>
  <si>
    <t>taglio resistente biella compressa</t>
  </si>
  <si>
    <r>
      <t>Angolo per cui V</t>
    </r>
    <r>
      <rPr>
        <vertAlign val="subscript"/>
        <sz val="11"/>
        <color theme="1"/>
        <rFont val="Calibri"/>
        <family val="2"/>
        <scheme val="minor"/>
      </rPr>
      <t>Rsd</t>
    </r>
    <r>
      <rPr>
        <sz val="11"/>
        <color theme="1"/>
        <rFont val="Calibri"/>
        <family val="2"/>
        <scheme val="minor"/>
      </rPr>
      <t xml:space="preserve"> = V</t>
    </r>
    <r>
      <rPr>
        <vertAlign val="subscript"/>
        <sz val="11"/>
        <color theme="1"/>
        <rFont val="Calibri"/>
        <family val="2"/>
        <scheme val="minor"/>
      </rPr>
      <t>Rcd</t>
    </r>
  </si>
  <si>
    <t>Angolo minimo da norma</t>
  </si>
  <si>
    <t>DOMINIO SEZIONE IN MEZZERIA</t>
  </si>
  <si>
    <r>
      <t>N</t>
    </r>
    <r>
      <rPr>
        <vertAlign val="subscript"/>
        <sz val="11"/>
        <color theme="1"/>
        <rFont val="Calibri"/>
        <family val="2"/>
        <scheme val="minor"/>
      </rPr>
      <t>u,tot</t>
    </r>
  </si>
  <si>
    <t xml:space="preserve">Sforzo normale ultimo della soletta </t>
  </si>
  <si>
    <r>
      <t>n</t>
    </r>
    <r>
      <rPr>
        <vertAlign val="subscript"/>
        <sz val="11"/>
        <color theme="1"/>
        <rFont val="Calibri"/>
        <family val="2"/>
        <scheme val="minor"/>
      </rPr>
      <t>c</t>
    </r>
  </si>
  <si>
    <r>
      <t>b</t>
    </r>
    <r>
      <rPr>
        <vertAlign val="subscript"/>
        <sz val="11"/>
        <color theme="1"/>
        <rFont val="Calibri"/>
        <family val="2"/>
        <scheme val="minor"/>
      </rPr>
      <t>c</t>
    </r>
  </si>
  <si>
    <t>braccia connettore</t>
  </si>
  <si>
    <r>
      <t>Φ</t>
    </r>
    <r>
      <rPr>
        <vertAlign val="subscript"/>
        <sz val="11"/>
        <color theme="1"/>
        <rFont val="Calibri"/>
        <family val="2"/>
      </rPr>
      <t>c</t>
    </r>
  </si>
  <si>
    <t>Diametro del connettore</t>
  </si>
  <si>
    <r>
      <t>h</t>
    </r>
    <r>
      <rPr>
        <vertAlign val="subscript"/>
        <sz val="11"/>
        <color theme="1"/>
        <rFont val="Calibri"/>
        <family val="2"/>
      </rPr>
      <t>c</t>
    </r>
  </si>
  <si>
    <t>Altezza del connettore</t>
  </si>
  <si>
    <r>
      <t>γ</t>
    </r>
    <r>
      <rPr>
        <vertAlign val="subscript"/>
        <sz val="11"/>
        <color theme="1"/>
        <rFont val="Calibri"/>
        <family val="2"/>
      </rPr>
      <t>v</t>
    </r>
  </si>
  <si>
    <t>Coefficiente di sicurezza</t>
  </si>
  <si>
    <r>
      <t>N</t>
    </r>
    <r>
      <rPr>
        <vertAlign val="subscript"/>
        <sz val="11"/>
        <color theme="1"/>
        <rFont val="Calibri"/>
        <family val="2"/>
      </rPr>
      <t>uc</t>
    </r>
  </si>
  <si>
    <r>
      <t>P</t>
    </r>
    <r>
      <rPr>
        <vertAlign val="subscript"/>
        <sz val="11"/>
        <color theme="1"/>
        <rFont val="Calibri"/>
        <family val="2"/>
      </rPr>
      <t>Rd,cls</t>
    </r>
  </si>
  <si>
    <r>
      <t>P</t>
    </r>
    <r>
      <rPr>
        <vertAlign val="subscript"/>
        <sz val="11"/>
        <color theme="1"/>
        <rFont val="Calibri"/>
        <family val="2"/>
      </rPr>
      <t>Rd,s</t>
    </r>
  </si>
  <si>
    <t>fuk</t>
  </si>
  <si>
    <t>Numero dei connettori presenti nella trave nelle 2 file</t>
  </si>
  <si>
    <t>passo connettori</t>
  </si>
  <si>
    <r>
      <t>P</t>
    </r>
    <r>
      <rPr>
        <vertAlign val="subscript"/>
        <sz val="11"/>
        <color theme="1"/>
        <rFont val="Calibri"/>
        <family val="2"/>
      </rPr>
      <t>Rd</t>
    </r>
  </si>
  <si>
    <t>Taglio sollecitante</t>
  </si>
  <si>
    <t>resistenza connettore parte cls</t>
  </si>
  <si>
    <t>resistenza connettore lato acciaio</t>
  </si>
  <si>
    <t>minimo tra le resistenze del connettore</t>
  </si>
  <si>
    <t>ascissa</t>
  </si>
  <si>
    <t>Momento in s   dovuto al peso proprio della trave</t>
  </si>
  <si>
    <t>Numero trefoli utilizzati</t>
  </si>
  <si>
    <t>Posizione trefoli</t>
  </si>
  <si>
    <r>
      <t>A [mm</t>
    </r>
    <r>
      <rPr>
        <vertAlign val="superscript"/>
        <sz val="11"/>
        <color theme="1"/>
        <rFont val="Calibri"/>
        <family val="2"/>
        <scheme val="minor"/>
      </rPr>
      <t>2</t>
    </r>
    <r>
      <rPr>
        <sz val="11"/>
        <color theme="1"/>
        <rFont val="Calibri"/>
        <family val="2"/>
        <scheme val="minor"/>
      </rPr>
      <t>]</t>
    </r>
  </si>
  <si>
    <t>y [mm]</t>
  </si>
  <si>
    <t>Posizione sforzo</t>
  </si>
  <si>
    <r>
      <t>e</t>
    </r>
    <r>
      <rPr>
        <vertAlign val="subscript"/>
        <sz val="11"/>
        <color theme="1"/>
        <rFont val="Calibri"/>
        <family val="2"/>
        <scheme val="minor"/>
      </rPr>
      <t>max</t>
    </r>
  </si>
  <si>
    <t>Verifica</t>
  </si>
  <si>
    <t>Mmax</t>
  </si>
  <si>
    <t>yNp</t>
  </si>
  <si>
    <t>Momento a s  della trave più caricata</t>
  </si>
  <si>
    <t>Lunghezza di trasferimento</t>
  </si>
  <si>
    <r>
      <t>η</t>
    </r>
    <r>
      <rPr>
        <vertAlign val="subscript"/>
        <sz val="11"/>
        <color theme="1"/>
        <rFont val="Calibri"/>
        <family val="2"/>
      </rPr>
      <t>p1</t>
    </r>
  </si>
  <si>
    <t>per trefoli a 3 e 7 fili</t>
  </si>
  <si>
    <r>
      <t>η</t>
    </r>
    <r>
      <rPr>
        <vertAlign val="subscript"/>
        <sz val="11"/>
        <color theme="1"/>
        <rFont val="Calibri"/>
        <family val="2"/>
      </rPr>
      <t>1</t>
    </r>
  </si>
  <si>
    <t>condizioni di buona aderenza</t>
  </si>
  <si>
    <t>fctd(t)</t>
  </si>
  <si>
    <t>tensione di aderenza uniforme</t>
  </si>
  <si>
    <r>
      <t>α</t>
    </r>
    <r>
      <rPr>
        <vertAlign val="subscript"/>
        <sz val="11"/>
        <color theme="1"/>
        <rFont val="Calibri"/>
        <family val="2"/>
      </rPr>
      <t>1</t>
    </r>
  </si>
  <si>
    <t>rilascio graduale</t>
  </si>
  <si>
    <r>
      <t>α</t>
    </r>
    <r>
      <rPr>
        <vertAlign val="subscript"/>
        <sz val="11"/>
        <color theme="1"/>
        <rFont val="Calibri"/>
        <family val="2"/>
      </rPr>
      <t>2</t>
    </r>
    <r>
      <rPr>
        <sz val="11"/>
        <color theme="1"/>
        <rFont val="Calibri"/>
        <family val="2"/>
        <scheme val="minor"/>
      </rPr>
      <t/>
    </r>
  </si>
  <si>
    <t>per trefoli a 3 o 7 fili</t>
  </si>
  <si>
    <t>ϭpmo</t>
  </si>
  <si>
    <t>tensione nell'armatura di precompressione subito dopo il rilascio</t>
  </si>
  <si>
    <t>lpt</t>
  </si>
  <si>
    <t>lunghezza di trasferimento precompressione</t>
  </si>
  <si>
    <t>PARAMETRI</t>
  </si>
  <si>
    <t>spessore medio della sezione aperta</t>
  </si>
  <si>
    <t>Φl</t>
  </si>
  <si>
    <t>Asl</t>
  </si>
  <si>
    <t>Ast</t>
  </si>
  <si>
    <t>nbracci</t>
  </si>
  <si>
    <t>passo Ast</t>
  </si>
  <si>
    <t>VERIFICA A TORSIONE PURA</t>
  </si>
  <si>
    <t>nel nostro caso non è pura</t>
  </si>
  <si>
    <t>ctgθ</t>
  </si>
  <si>
    <t>al</t>
  </si>
  <si>
    <t>as</t>
  </si>
  <si>
    <t>aumentarlo finchè ctgθ non diventa almeno =&gt;1</t>
  </si>
  <si>
    <t>RESISTENZE</t>
  </si>
  <si>
    <t>sforzi di compressione sono affidati alle bielle di calcestruzzo.</t>
  </si>
  <si>
    <t>Trcd</t>
  </si>
  <si>
    <t>Considero pure la soletta. Ho una sezione chiusa</t>
  </si>
  <si>
    <t>A</t>
  </si>
  <si>
    <t>area racchiusa dalla linea medea della sezione</t>
  </si>
  <si>
    <r>
      <t>n</t>
    </r>
    <r>
      <rPr>
        <vertAlign val="subscript"/>
        <sz val="11"/>
        <color theme="1"/>
        <rFont val="Calibri"/>
        <family val="2"/>
      </rPr>
      <t>Φl</t>
    </r>
    <r>
      <rPr>
        <sz val="11"/>
        <color theme="1"/>
        <rFont val="Calibri"/>
        <family val="2"/>
      </rPr>
      <t xml:space="preserve"> (trave )</t>
    </r>
  </si>
  <si>
    <r>
      <t>n</t>
    </r>
    <r>
      <rPr>
        <vertAlign val="subscript"/>
        <sz val="11"/>
        <color theme="1"/>
        <rFont val="Calibri"/>
        <family val="2"/>
      </rPr>
      <t>Φl</t>
    </r>
    <r>
      <rPr>
        <sz val="11"/>
        <color theme="1"/>
        <rFont val="Calibri"/>
        <family val="2"/>
      </rPr>
      <t xml:space="preserve"> (soletta)</t>
    </r>
  </si>
  <si>
    <t>sopra e sotto la soletta</t>
  </si>
  <si>
    <t>complessive nella trave</t>
  </si>
  <si>
    <t>fcd'</t>
  </si>
  <si>
    <t>Trsd</t>
  </si>
  <si>
    <t>riferimento alle staffe trasversali</t>
  </si>
  <si>
    <t>riferimento all’armatura longitudinale</t>
  </si>
  <si>
    <t>Trld</t>
  </si>
  <si>
    <t>perimetro medio del nucleo resistente della sezione</t>
  </si>
  <si>
    <r>
      <t>T</t>
    </r>
    <r>
      <rPr>
        <vertAlign val="subscript"/>
        <sz val="11"/>
        <color theme="1"/>
        <rFont val="Calibri"/>
        <family val="2"/>
      </rPr>
      <t>Rd</t>
    </r>
  </si>
  <si>
    <t>T</t>
  </si>
  <si>
    <t>Momento in s   dovuto al peso proprio della soletta</t>
  </si>
  <si>
    <t>H</t>
  </si>
  <si>
    <t>altezza complessiva della sezione</t>
  </si>
  <si>
    <r>
      <t>ts</t>
    </r>
    <r>
      <rPr>
        <vertAlign val="subscript"/>
        <sz val="11"/>
        <color theme="1"/>
        <rFont val="Calibri"/>
        <family val="2"/>
        <scheme val="minor"/>
      </rPr>
      <t>inf</t>
    </r>
  </si>
  <si>
    <t>spessore soletta inferiore</t>
  </si>
  <si>
    <t>Vsdi</t>
  </si>
  <si>
    <t>taglio da torsione</t>
  </si>
  <si>
    <t>Fti</t>
  </si>
  <si>
    <t>Taglio totale (taglio puro + taglio da torsione )</t>
  </si>
  <si>
    <r>
      <t>n</t>
    </r>
    <r>
      <rPr>
        <vertAlign val="subscript"/>
        <sz val="11"/>
        <color theme="1"/>
        <rFont val="Calibri"/>
        <family val="2"/>
      </rPr>
      <t>Φl</t>
    </r>
    <r>
      <rPr>
        <sz val="11"/>
        <color theme="1"/>
        <rFont val="Calibri"/>
        <family val="2"/>
      </rPr>
      <t xml:space="preserve"> (parete)</t>
    </r>
  </si>
  <si>
    <t>Verifica armatura longitudinale</t>
  </si>
  <si>
    <t>Ftrd</t>
  </si>
  <si>
    <t>Vrd</t>
  </si>
  <si>
    <t>Verifica bielle compresse</t>
  </si>
  <si>
    <t>fcd2</t>
  </si>
  <si>
    <r>
      <rPr>
        <sz val="11"/>
        <color theme="1"/>
        <rFont val="Calibri"/>
        <family val="2"/>
      </rPr>
      <t>ϭ</t>
    </r>
    <r>
      <rPr>
        <vertAlign val="subscript"/>
        <sz val="11"/>
        <color theme="1"/>
        <rFont val="Calibri"/>
        <family val="2"/>
        <scheme val="minor"/>
      </rPr>
      <t>RD</t>
    </r>
  </si>
  <si>
    <r>
      <rPr>
        <sz val="11"/>
        <color theme="1"/>
        <rFont val="Calibri"/>
        <family val="2"/>
      </rPr>
      <t>ϭ</t>
    </r>
    <r>
      <rPr>
        <vertAlign val="subscript"/>
        <sz val="11"/>
        <color theme="1"/>
        <rFont val="Calibri"/>
        <family val="2"/>
        <scheme val="minor"/>
      </rPr>
      <t>SD</t>
    </r>
  </si>
  <si>
    <t>controllare</t>
  </si>
  <si>
    <t>VERIFICA TORSIONE CON TAGLIO E FLESSIONE PARETI LATERALI</t>
  </si>
  <si>
    <t>VERIFICA TORSIONE CON TAGLIO E FLESSIONE SOLETTA INFERIORE</t>
  </si>
  <si>
    <t>VERIFICA TORSIONE CON TAGLIO E FLESSIONE SOLETTE</t>
  </si>
  <si>
    <t>zsup</t>
  </si>
  <si>
    <t>zinf</t>
  </si>
  <si>
    <t>N</t>
  </si>
  <si>
    <t>sforzo normale di trazione e compressione</t>
  </si>
  <si>
    <r>
      <t>n</t>
    </r>
    <r>
      <rPr>
        <vertAlign val="subscript"/>
        <sz val="11"/>
        <color theme="1"/>
        <rFont val="Calibri"/>
        <family val="2"/>
      </rPr>
      <t>Φl</t>
    </r>
    <r>
      <rPr>
        <sz val="11"/>
        <color theme="1"/>
        <rFont val="Calibri"/>
        <family val="2"/>
      </rPr>
      <t xml:space="preserve"> (soletta inf)</t>
    </r>
  </si>
  <si>
    <t>resistenza calcestruzzo fessurato</t>
  </si>
  <si>
    <t>Verifica trazione armatura longitudinale</t>
  </si>
  <si>
    <t>Verifica taglio armatura longitudinale</t>
  </si>
  <si>
    <t>Bsup</t>
  </si>
  <si>
    <t>Binf</t>
  </si>
  <si>
    <t>Vsdi (inf)</t>
  </si>
  <si>
    <t>VERIFICA TORSIONE CON TAGLIO E FLESSIONE SOLETTA SUPERIORE</t>
  </si>
  <si>
    <r>
      <t>F</t>
    </r>
    <r>
      <rPr>
        <vertAlign val="subscript"/>
        <sz val="11"/>
        <color theme="1"/>
        <rFont val="Calibri"/>
        <family val="2"/>
        <scheme val="minor"/>
      </rPr>
      <t>sollevamento</t>
    </r>
  </si>
  <si>
    <r>
      <t>n</t>
    </r>
    <r>
      <rPr>
        <vertAlign val="subscript"/>
        <sz val="11"/>
        <color theme="1"/>
        <rFont val="Calibri"/>
        <family val="2"/>
        <scheme val="minor"/>
      </rPr>
      <t>ganci</t>
    </r>
  </si>
  <si>
    <t>2 per testata</t>
  </si>
  <si>
    <t>Fi</t>
  </si>
  <si>
    <t>Diagramma con solo trefoli inf.</t>
  </si>
  <si>
    <t>Max</t>
  </si>
  <si>
    <t>Verifica connettori trave VH185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</si>
</sst>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0.000"/>
    <numFmt numFmtId="166" formatCode="0.00000"/>
    <numFmt numFmtId="167" formatCode="0.0000"/>
  </numFmts>
  <fonts count="11" x14ac:knownFonts="1">
    <font>
      <sz val="11"/>
      <color theme="1"/>
      <name val="Calibri"/>
      <family val="2"/>
      <scheme val="minor"/>
    </font>
    <font>
      <vertAlign val="subscript"/>
      <sz val="11"/>
      <color theme="1"/>
      <name val="Calibri"/>
      <family val="2"/>
      <scheme val="minor"/>
    </font>
    <font>
      <vertAlign val="superscript"/>
      <sz val="11"/>
      <color theme="1"/>
      <name val="Calibri"/>
      <family val="2"/>
      <scheme val="minor"/>
    </font>
    <font>
      <sz val="8"/>
      <name val="Calibri"/>
      <family val="2"/>
      <scheme val="minor"/>
    </font>
    <font>
      <sz val="11"/>
      <color theme="1"/>
      <name val="Calibri"/>
      <family val="2"/>
    </font>
    <font>
      <vertAlign val="subscript"/>
      <sz val="11"/>
      <color theme="1"/>
      <name val="Calibri"/>
      <family val="2"/>
    </font>
    <font>
      <vertAlign val="superscript"/>
      <sz val="11"/>
      <color theme="1"/>
      <name val="Calibri"/>
      <family val="2"/>
    </font>
    <font>
      <b/>
      <sz val="11"/>
      <color theme="1"/>
      <name val="Calibri"/>
      <family val="2"/>
      <scheme val="minor"/>
    </font>
    <font>
      <sz val="11"/>
      <color rgb="FF595959"/>
      <name val="Calibri"/>
      <family val="2"/>
      <scheme val="minor"/>
    </font>
    <font>
      <sz val="11"/>
      <name val="Calibri"/>
      <family val="2"/>
      <scheme val="minor"/>
    </font>
    <font>
      <b/>
      <sz val="11"/>
      <name val="Calibri"/>
      <family val="2"/>
      <scheme val="minor"/>
    </font>
  </fonts>
  <fills count="8">
    <fill>
      <patternFill patternType="none"/>
    </fill>
    <fill>
      <patternFill patternType="gray125"/>
    </fill>
    <fill>
      <patternFill patternType="solid">
        <fgColor theme="4" tint="0.79998168889431442"/>
        <bgColor indexed="64"/>
      </patternFill>
    </fill>
    <fill>
      <patternFill patternType="solid">
        <fgColor theme="3" tint="0.79998168889431442"/>
        <bgColor indexed="64"/>
      </patternFill>
    </fill>
    <fill>
      <patternFill patternType="solid">
        <fgColor theme="0" tint="-0.249977111117893"/>
        <bgColor indexed="64"/>
      </patternFill>
    </fill>
    <fill>
      <patternFill patternType="solid">
        <fgColor rgb="FF92D050"/>
        <bgColor indexed="64"/>
      </patternFill>
    </fill>
    <fill>
      <patternFill patternType="solid">
        <fgColor rgb="FFFFFF00"/>
        <bgColor indexed="64"/>
      </patternFill>
    </fill>
    <fill>
      <patternFill patternType="solid">
        <fgColor rgb="FF00B0F0"/>
        <bgColor indexed="64"/>
      </patternFill>
    </fill>
  </fills>
  <borders count="2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medium">
        <color indexed="64"/>
      </bottom>
      <diagonal/>
    </border>
    <border>
      <left/>
      <right/>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top style="thin">
        <color indexed="64"/>
      </top>
      <bottom/>
      <diagonal/>
    </border>
  </borders>
  <cellStyleXfs count="1">
    <xf numFmtId="0" fontId="0" fillId="0" borderId="0"/>
  </cellStyleXfs>
  <cellXfs count="157">
    <xf numFmtId="0" fontId="0" fillId="0" borderId="0" xfId="0"/>
    <xf numFmtId="0" fontId="0" fillId="0" borderId="0" xfId="0" applyAlignment="1">
      <alignment horizontal="center"/>
    </xf>
    <xf numFmtId="2" fontId="0" fillId="0" borderId="0" xfId="0" applyNumberFormat="1" applyAlignment="1">
      <alignment horizontal="center"/>
    </xf>
    <xf numFmtId="0" fontId="0" fillId="2" borderId="0" xfId="0" applyFill="1"/>
    <xf numFmtId="0" fontId="0" fillId="0" borderId="1" xfId="0" applyBorder="1" applyAlignment="1">
      <alignment horizontal="center"/>
    </xf>
    <xf numFmtId="0" fontId="0" fillId="0" borderId="0" xfId="0" applyFill="1" applyBorder="1" applyAlignment="1">
      <alignment horizontal="left"/>
    </xf>
    <xf numFmtId="0" fontId="0" fillId="0" borderId="1" xfId="0" applyFont="1" applyBorder="1" applyAlignment="1">
      <alignment horizontal="center"/>
    </xf>
    <xf numFmtId="0" fontId="0" fillId="2" borderId="0" xfId="0" applyFont="1" applyFill="1" applyBorder="1" applyAlignment="1">
      <alignment horizontal="left"/>
    </xf>
    <xf numFmtId="0" fontId="0" fillId="0" borderId="1" xfId="0" applyFont="1" applyFill="1" applyBorder="1" applyAlignment="1">
      <alignment horizontal="center"/>
    </xf>
    <xf numFmtId="2" fontId="0" fillId="0" borderId="1" xfId="0" applyNumberFormat="1" applyBorder="1" applyAlignment="1">
      <alignment horizontal="center"/>
    </xf>
    <xf numFmtId="0" fontId="0" fillId="0" borderId="0" xfId="0" applyAlignment="1"/>
    <xf numFmtId="0" fontId="0" fillId="0" borderId="1" xfId="0" applyFill="1" applyBorder="1" applyAlignment="1">
      <alignment horizontal="center"/>
    </xf>
    <xf numFmtId="0" fontId="0" fillId="0" borderId="1" xfId="0" applyBorder="1" applyAlignment="1">
      <alignment horizontal="center" vertical="center"/>
    </xf>
    <xf numFmtId="164" fontId="0" fillId="0" borderId="1" xfId="0" applyNumberFormat="1" applyBorder="1" applyAlignment="1">
      <alignment horizontal="center"/>
    </xf>
    <xf numFmtId="164" fontId="0" fillId="0" borderId="1" xfId="0" applyNumberFormat="1" applyBorder="1" applyAlignment="1">
      <alignment horizontal="center" vertical="center"/>
    </xf>
    <xf numFmtId="164" fontId="0" fillId="0" borderId="0" xfId="0" applyNumberFormat="1"/>
    <xf numFmtId="0" fontId="0" fillId="0" borderId="0" xfId="0" applyAlignment="1">
      <alignment horizontal="left"/>
    </xf>
    <xf numFmtId="0" fontId="4" fillId="0" borderId="1" xfId="0" applyFont="1" applyBorder="1" applyAlignment="1">
      <alignment horizontal="center"/>
    </xf>
    <xf numFmtId="0" fontId="0" fillId="0" borderId="0" xfId="0" applyFill="1"/>
    <xf numFmtId="0" fontId="0" fillId="0" borderId="0" xfId="0" applyFill="1" applyAlignment="1"/>
    <xf numFmtId="164" fontId="0" fillId="0" borderId="0" xfId="0" applyNumberFormat="1" applyAlignment="1">
      <alignment horizontal="center"/>
    </xf>
    <xf numFmtId="165" fontId="0" fillId="0" borderId="1" xfId="0" quotePrefix="1" applyNumberFormat="1" applyBorder="1" applyAlignment="1">
      <alignment horizontal="center"/>
    </xf>
    <xf numFmtId="0" fontId="0" fillId="0" borderId="1" xfId="0" applyBorder="1"/>
    <xf numFmtId="165" fontId="0" fillId="0" borderId="1" xfId="0" applyNumberFormat="1" applyBorder="1" applyAlignment="1">
      <alignment horizontal="center"/>
    </xf>
    <xf numFmtId="0" fontId="0" fillId="0" borderId="6" xfId="0" applyBorder="1" applyAlignment="1">
      <alignment horizontal="center"/>
    </xf>
    <xf numFmtId="2" fontId="0" fillId="0" borderId="6" xfId="0" applyNumberFormat="1" applyBorder="1" applyAlignment="1">
      <alignment horizontal="center"/>
    </xf>
    <xf numFmtId="2" fontId="0" fillId="0" borderId="1" xfId="0" applyNumberFormat="1" applyBorder="1"/>
    <xf numFmtId="0" fontId="0" fillId="0" borderId="1" xfId="0" applyBorder="1" applyAlignment="1">
      <alignment horizontal="center"/>
    </xf>
    <xf numFmtId="0" fontId="0" fillId="2" borderId="1" xfId="0" applyFill="1" applyBorder="1"/>
    <xf numFmtId="0" fontId="4" fillId="0" borderId="1" xfId="0" applyFont="1" applyBorder="1"/>
    <xf numFmtId="0" fontId="0" fillId="0" borderId="1" xfId="0" applyBorder="1" applyAlignment="1">
      <alignment horizontal="center"/>
    </xf>
    <xf numFmtId="0" fontId="0" fillId="0" borderId="0" xfId="0" applyAlignment="1">
      <alignment horizontal="center"/>
    </xf>
    <xf numFmtId="0" fontId="7" fillId="0" borderId="0" xfId="0" applyFont="1"/>
    <xf numFmtId="0" fontId="0" fillId="0" borderId="0" xfId="0" applyFill="1" applyBorder="1" applyAlignment="1">
      <alignment horizontal="center"/>
    </xf>
    <xf numFmtId="0" fontId="0" fillId="0" borderId="0" xfId="0" applyFont="1" applyFill="1" applyBorder="1" applyAlignment="1">
      <alignment horizontal="center"/>
    </xf>
    <xf numFmtId="0" fontId="4" fillId="0" borderId="1" xfId="0" applyFont="1" applyFill="1" applyBorder="1" applyAlignment="1">
      <alignment horizontal="center"/>
    </xf>
    <xf numFmtId="2" fontId="0" fillId="0" borderId="0" xfId="0" applyNumberFormat="1" applyBorder="1" applyAlignment="1">
      <alignment horizontal="center"/>
    </xf>
    <xf numFmtId="167" fontId="0" fillId="0" borderId="1" xfId="0" applyNumberFormat="1" applyBorder="1" applyAlignment="1">
      <alignment horizontal="center"/>
    </xf>
    <xf numFmtId="166" fontId="0" fillId="0" borderId="1" xfId="0" applyNumberFormat="1" applyBorder="1" applyAlignment="1">
      <alignment horizontal="center"/>
    </xf>
    <xf numFmtId="0" fontId="0" fillId="0" borderId="0" xfId="0" applyBorder="1"/>
    <xf numFmtId="0" fontId="0" fillId="0" borderId="0" xfId="0" applyBorder="1" applyAlignment="1">
      <alignment horizontal="center"/>
    </xf>
    <xf numFmtId="0" fontId="0" fillId="0" borderId="0" xfId="0" applyFill="1" applyBorder="1"/>
    <xf numFmtId="0" fontId="0" fillId="2" borderId="3" xfId="0" applyFill="1" applyBorder="1"/>
    <xf numFmtId="0" fontId="0" fillId="0" borderId="1" xfId="0" applyBorder="1" applyAlignment="1">
      <alignment horizontal="center"/>
    </xf>
    <xf numFmtId="0" fontId="4" fillId="0" borderId="0" xfId="0" applyFont="1" applyBorder="1"/>
    <xf numFmtId="0" fontId="0" fillId="0" borderId="0" xfId="0" applyFont="1" applyBorder="1" applyAlignment="1">
      <alignment horizontal="center"/>
    </xf>
    <xf numFmtId="0" fontId="4" fillId="0" borderId="7" xfId="0" applyFont="1" applyBorder="1"/>
    <xf numFmtId="0" fontId="0" fillId="0" borderId="7" xfId="0" applyBorder="1" applyAlignment="1">
      <alignment horizontal="center"/>
    </xf>
    <xf numFmtId="0" fontId="0" fillId="0" borderId="1" xfId="0" applyBorder="1" applyAlignment="1">
      <alignment horizontal="center"/>
    </xf>
    <xf numFmtId="0" fontId="0" fillId="0" borderId="1" xfId="0" applyBorder="1" applyAlignment="1">
      <alignment horizontal="left"/>
    </xf>
    <xf numFmtId="0" fontId="0" fillId="0" borderId="0" xfId="0" applyAlignment="1">
      <alignment horizontal="center"/>
    </xf>
    <xf numFmtId="0" fontId="0" fillId="0" borderId="1" xfId="0" applyBorder="1" applyAlignment="1">
      <alignment horizontal="center"/>
    </xf>
    <xf numFmtId="0" fontId="4" fillId="0" borderId="0" xfId="0" applyFont="1" applyBorder="1" applyAlignment="1">
      <alignment horizontal="center"/>
    </xf>
    <xf numFmtId="0" fontId="0" fillId="0" borderId="1" xfId="0" applyBorder="1" applyAlignment="1"/>
    <xf numFmtId="0" fontId="4" fillId="0" borderId="1" xfId="0" applyFont="1" applyFill="1" applyBorder="1"/>
    <xf numFmtId="0" fontId="8" fillId="0" borderId="1" xfId="0" applyFont="1" applyBorder="1" applyAlignment="1">
      <alignment horizontal="center" vertical="center" readingOrder="1"/>
    </xf>
    <xf numFmtId="0" fontId="4" fillId="0" borderId="0" xfId="0" applyFont="1" applyFill="1" applyBorder="1"/>
    <xf numFmtId="0" fontId="4" fillId="5" borderId="1" xfId="0" applyFont="1" applyFill="1" applyBorder="1"/>
    <xf numFmtId="0" fontId="0" fillId="5" borderId="1" xfId="0" applyFill="1" applyBorder="1"/>
    <xf numFmtId="0" fontId="0" fillId="0" borderId="1" xfId="0" applyFill="1" applyBorder="1"/>
    <xf numFmtId="0" fontId="0" fillId="0" borderId="0" xfId="0" applyAlignment="1">
      <alignment horizontal="center"/>
    </xf>
    <xf numFmtId="0" fontId="0" fillId="0" borderId="1" xfId="0" applyBorder="1" applyAlignment="1">
      <alignment horizontal="center"/>
    </xf>
    <xf numFmtId="0" fontId="0" fillId="5" borderId="1" xfId="0" applyFill="1" applyBorder="1" applyAlignment="1">
      <alignment horizontal="center"/>
    </xf>
    <xf numFmtId="0" fontId="9" fillId="5" borderId="1" xfId="0" applyFont="1" applyFill="1" applyBorder="1" applyAlignment="1">
      <alignment horizontal="center"/>
    </xf>
    <xf numFmtId="166" fontId="9" fillId="0" borderId="1" xfId="0" applyNumberFormat="1" applyFont="1" applyBorder="1" applyAlignment="1">
      <alignment horizontal="center"/>
    </xf>
    <xf numFmtId="2" fontId="9" fillId="0" borderId="1" xfId="0" applyNumberFormat="1" applyFont="1" applyBorder="1" applyAlignment="1">
      <alignment horizontal="center"/>
    </xf>
    <xf numFmtId="2" fontId="0" fillId="5" borderId="1" xfId="0" applyNumberFormat="1" applyFill="1" applyBorder="1" applyAlignment="1">
      <alignment horizontal="center"/>
    </xf>
    <xf numFmtId="1" fontId="0" fillId="0" borderId="0" xfId="0" applyNumberFormat="1" applyAlignment="1">
      <alignment horizontal="center"/>
    </xf>
    <xf numFmtId="165" fontId="0" fillId="0" borderId="0" xfId="0" applyNumberFormat="1" applyAlignment="1">
      <alignment horizontal="center"/>
    </xf>
    <xf numFmtId="167" fontId="0" fillId="0" borderId="0" xfId="0" applyNumberFormat="1" applyAlignment="1">
      <alignment horizontal="center"/>
    </xf>
    <xf numFmtId="0" fontId="4" fillId="0" borderId="0" xfId="0" applyFont="1" applyAlignment="1">
      <alignment horizontal="center"/>
    </xf>
    <xf numFmtId="165" fontId="0" fillId="0" borderId="1" xfId="0" applyNumberFormat="1" applyFill="1" applyBorder="1" applyAlignment="1">
      <alignment horizontal="center"/>
    </xf>
    <xf numFmtId="164" fontId="0" fillId="0" borderId="1" xfId="0" applyNumberFormat="1" applyFill="1" applyBorder="1" applyAlignment="1">
      <alignment horizontal="center"/>
    </xf>
    <xf numFmtId="1" fontId="0" fillId="0" borderId="1" xfId="0" applyNumberFormat="1" applyFill="1" applyBorder="1" applyAlignment="1">
      <alignment horizontal="center"/>
    </xf>
    <xf numFmtId="0" fontId="0" fillId="2" borderId="1" xfId="0" applyFill="1" applyBorder="1" applyAlignment="1">
      <alignment horizontal="center"/>
    </xf>
    <xf numFmtId="0" fontId="0" fillId="0" borderId="1" xfId="0" applyBorder="1" applyAlignment="1">
      <alignment horizontal="center"/>
    </xf>
    <xf numFmtId="0" fontId="0" fillId="0" borderId="1" xfId="0" applyBorder="1" applyAlignment="1">
      <alignment horizontal="center"/>
    </xf>
    <xf numFmtId="0" fontId="0" fillId="0" borderId="1" xfId="0" applyBorder="1" applyAlignment="1">
      <alignment horizontal="center"/>
    </xf>
    <xf numFmtId="0" fontId="0" fillId="0" borderId="1" xfId="0" applyBorder="1" applyAlignment="1">
      <alignment horizontal="center"/>
    </xf>
    <xf numFmtId="0" fontId="0" fillId="0" borderId="1" xfId="0" applyBorder="1" applyAlignment="1">
      <alignment horizontal="center"/>
    </xf>
    <xf numFmtId="0" fontId="0" fillId="0" borderId="1" xfId="0" applyBorder="1" applyAlignment="1">
      <alignment horizontal="center"/>
    </xf>
    <xf numFmtId="0" fontId="4" fillId="0" borderId="1" xfId="0" applyFont="1" applyBorder="1" applyAlignment="1">
      <alignment horizontal="left"/>
    </xf>
    <xf numFmtId="0" fontId="0" fillId="0" borderId="1" xfId="0" applyBorder="1" applyAlignment="1">
      <alignment horizontal="center"/>
    </xf>
    <xf numFmtId="0" fontId="0" fillId="0" borderId="0" xfId="0" applyAlignment="1">
      <alignment horizontal="center"/>
    </xf>
    <xf numFmtId="0" fontId="0" fillId="0" borderId="1" xfId="0" applyBorder="1" applyAlignment="1">
      <alignment horizontal="center"/>
    </xf>
    <xf numFmtId="0" fontId="0" fillId="0" borderId="0" xfId="0" applyAlignment="1">
      <alignment horizontal="center"/>
    </xf>
    <xf numFmtId="1" fontId="0" fillId="0" borderId="1" xfId="0" applyNumberFormat="1" applyBorder="1" applyAlignment="1">
      <alignment horizontal="center"/>
    </xf>
    <xf numFmtId="1" fontId="0" fillId="6" borderId="1" xfId="0" applyNumberFormat="1" applyFill="1" applyBorder="1" applyAlignment="1">
      <alignment horizontal="center"/>
    </xf>
    <xf numFmtId="0" fontId="0" fillId="7" borderId="1" xfId="0" applyFill="1" applyBorder="1" applyAlignment="1">
      <alignment horizontal="center"/>
    </xf>
    <xf numFmtId="0" fontId="0" fillId="0" borderId="9" xfId="0" applyBorder="1" applyAlignment="1">
      <alignment horizontal="center"/>
    </xf>
    <xf numFmtId="1" fontId="0" fillId="0" borderId="10" xfId="0" applyNumberFormat="1" applyBorder="1" applyAlignment="1">
      <alignment horizontal="center"/>
    </xf>
    <xf numFmtId="0" fontId="0" fillId="0" borderId="11" xfId="0" applyBorder="1" applyAlignment="1">
      <alignment horizontal="center"/>
    </xf>
    <xf numFmtId="0" fontId="0" fillId="0" borderId="12" xfId="0" applyBorder="1" applyAlignment="1">
      <alignment horizontal="center"/>
    </xf>
    <xf numFmtId="0" fontId="0" fillId="0" borderId="13" xfId="0" applyBorder="1" applyAlignment="1">
      <alignment horizontal="center"/>
    </xf>
    <xf numFmtId="1" fontId="0" fillId="0" borderId="12" xfId="0" applyNumberFormat="1" applyBorder="1" applyAlignment="1">
      <alignment horizontal="center"/>
    </xf>
    <xf numFmtId="0" fontId="4" fillId="0" borderId="12" xfId="0" applyFont="1" applyFill="1" applyBorder="1" applyAlignment="1">
      <alignment horizontal="center"/>
    </xf>
    <xf numFmtId="0" fontId="0" fillId="0" borderId="13" xfId="0" applyFill="1" applyBorder="1" applyAlignment="1">
      <alignment horizontal="center"/>
    </xf>
    <xf numFmtId="0" fontId="0" fillId="0" borderId="14" xfId="0" applyFill="1" applyBorder="1" applyAlignment="1">
      <alignment horizontal="center"/>
    </xf>
    <xf numFmtId="1" fontId="0" fillId="0" borderId="1" xfId="0" applyNumberFormat="1" applyBorder="1" applyAlignment="1">
      <alignment horizontal="center" vertical="center"/>
    </xf>
    <xf numFmtId="0" fontId="0" fillId="0" borderId="13" xfId="0" applyBorder="1" applyAlignment="1">
      <alignment horizontal="center" vertical="center"/>
    </xf>
    <xf numFmtId="2" fontId="0" fillId="0" borderId="1" xfId="0" applyNumberFormat="1" applyBorder="1" applyAlignment="1">
      <alignment horizontal="center" vertical="center"/>
    </xf>
    <xf numFmtId="0" fontId="4" fillId="0" borderId="12" xfId="0" applyFont="1" applyFill="1" applyBorder="1" applyAlignment="1">
      <alignment vertical="center"/>
    </xf>
    <xf numFmtId="1" fontId="0" fillId="0" borderId="1" xfId="0" applyNumberFormat="1" applyBorder="1" applyAlignment="1">
      <alignment vertical="center"/>
    </xf>
    <xf numFmtId="1" fontId="0" fillId="0" borderId="12" xfId="0" applyNumberFormat="1" applyBorder="1" applyAlignment="1">
      <alignment vertical="center"/>
    </xf>
    <xf numFmtId="0" fontId="4" fillId="0" borderId="1" xfId="0" applyFont="1" applyFill="1" applyBorder="1" applyAlignment="1">
      <alignment vertical="center"/>
    </xf>
    <xf numFmtId="0" fontId="0" fillId="0" borderId="1" xfId="0" applyFill="1" applyBorder="1" applyAlignment="1">
      <alignment horizontal="center" vertical="center"/>
    </xf>
    <xf numFmtId="1" fontId="0" fillId="0" borderId="9" xfId="0" applyNumberFormat="1" applyFill="1" applyBorder="1" applyAlignment="1">
      <alignment horizontal="center" vertical="center"/>
    </xf>
    <xf numFmtId="2" fontId="0" fillId="0" borderId="10" xfId="0" applyNumberFormat="1" applyBorder="1" applyAlignment="1">
      <alignment horizontal="center"/>
    </xf>
    <xf numFmtId="0" fontId="0" fillId="0" borderId="11" xfId="0" applyBorder="1" applyAlignment="1">
      <alignment horizontal="center" vertical="center"/>
    </xf>
    <xf numFmtId="0" fontId="4" fillId="0" borderId="15" xfId="0" applyFont="1" applyFill="1" applyBorder="1" applyAlignment="1">
      <alignment horizontal="center"/>
    </xf>
    <xf numFmtId="164" fontId="0" fillId="0" borderId="16" xfId="0" applyNumberFormat="1" applyBorder="1" applyAlignment="1">
      <alignment horizontal="center"/>
    </xf>
    <xf numFmtId="165" fontId="0" fillId="0" borderId="1" xfId="0" applyNumberFormat="1" applyFill="1" applyBorder="1" applyAlignment="1">
      <alignment horizontal="center" vertical="center"/>
    </xf>
    <xf numFmtId="0" fontId="0" fillId="0" borderId="0" xfId="0" applyFill="1" applyBorder="1" applyAlignment="1"/>
    <xf numFmtId="0" fontId="0" fillId="0" borderId="1" xfId="0" applyBorder="1" applyAlignment="1">
      <alignment horizontal="center"/>
    </xf>
    <xf numFmtId="0" fontId="0" fillId="4" borderId="2" xfId="0" applyFill="1" applyBorder="1" applyAlignment="1">
      <alignment horizontal="center" vertical="center" wrapText="1"/>
    </xf>
    <xf numFmtId="0" fontId="0" fillId="6" borderId="1" xfId="0" applyFill="1" applyBorder="1" applyAlignment="1">
      <alignment horizontal="center"/>
    </xf>
    <xf numFmtId="0" fontId="0" fillId="4" borderId="3" xfId="0" applyFill="1" applyBorder="1" applyAlignment="1">
      <alignment horizontal="center"/>
    </xf>
    <xf numFmtId="0" fontId="0" fillId="4" borderId="4" xfId="0" applyFill="1" applyBorder="1" applyAlignment="1">
      <alignment horizontal="center"/>
    </xf>
    <xf numFmtId="0" fontId="0" fillId="4" borderId="5" xfId="0" applyFill="1" applyBorder="1" applyAlignment="1">
      <alignment horizontal="center"/>
    </xf>
    <xf numFmtId="0" fontId="0" fillId="0" borderId="2" xfId="0" applyBorder="1" applyAlignment="1">
      <alignment horizontal="center"/>
    </xf>
    <xf numFmtId="0" fontId="0" fillId="2" borderId="1" xfId="0" applyFill="1" applyBorder="1" applyAlignment="1">
      <alignment horizontal="center"/>
    </xf>
    <xf numFmtId="0" fontId="0" fillId="2" borderId="1" xfId="0" applyFill="1" applyBorder="1" applyAlignment="1">
      <alignment horizontal="center" wrapText="1"/>
    </xf>
    <xf numFmtId="0" fontId="0" fillId="2" borderId="1" xfId="0" applyFont="1" applyFill="1" applyBorder="1" applyAlignment="1">
      <alignment horizontal="center" vertical="center" wrapText="1"/>
    </xf>
    <xf numFmtId="0" fontId="0" fillId="2" borderId="3" xfId="0" applyFill="1" applyBorder="1" applyAlignment="1">
      <alignment horizontal="center"/>
    </xf>
    <xf numFmtId="0" fontId="0" fillId="2" borderId="4" xfId="0" applyFill="1" applyBorder="1" applyAlignment="1">
      <alignment horizontal="center"/>
    </xf>
    <xf numFmtId="0" fontId="0" fillId="2" borderId="5" xfId="0" applyFill="1" applyBorder="1" applyAlignment="1">
      <alignment horizontal="center"/>
    </xf>
    <xf numFmtId="0" fontId="0" fillId="2" borderId="1" xfId="0" applyFill="1" applyBorder="1" applyAlignment="1">
      <alignment horizontal="center" vertical="center" wrapText="1"/>
    </xf>
    <xf numFmtId="0" fontId="0" fillId="2" borderId="3" xfId="0" applyFill="1" applyBorder="1" applyAlignment="1">
      <alignment horizontal="center" vertical="center" wrapText="1"/>
    </xf>
    <xf numFmtId="0" fontId="0" fillId="2" borderId="4" xfId="0" applyFill="1" applyBorder="1" applyAlignment="1">
      <alignment horizontal="center" vertical="center" wrapText="1"/>
    </xf>
    <xf numFmtId="0" fontId="0" fillId="2" borderId="5" xfId="0" applyFill="1" applyBorder="1" applyAlignment="1">
      <alignment horizontal="center" vertical="center" wrapText="1"/>
    </xf>
    <xf numFmtId="0" fontId="0" fillId="0" borderId="1" xfId="0" applyBorder="1" applyAlignment="1">
      <alignment horizontal="center"/>
    </xf>
    <xf numFmtId="0" fontId="0" fillId="3" borderId="1" xfId="0" applyFill="1" applyBorder="1" applyAlignment="1">
      <alignment horizontal="center"/>
    </xf>
    <xf numFmtId="0" fontId="0" fillId="3" borderId="7" xfId="0" applyFill="1" applyBorder="1" applyAlignment="1">
      <alignment horizontal="center"/>
    </xf>
    <xf numFmtId="0" fontId="0" fillId="3" borderId="1" xfId="0" applyFill="1" applyBorder="1" applyAlignment="1">
      <alignment horizontal="center" vertical="center" wrapText="1"/>
    </xf>
    <xf numFmtId="0" fontId="0" fillId="0" borderId="0" xfId="0" applyAlignment="1">
      <alignment horizontal="center"/>
    </xf>
    <xf numFmtId="0" fontId="0" fillId="0" borderId="0" xfId="0" applyAlignment="1">
      <alignment horizontal="center" vertical="center" wrapText="1"/>
    </xf>
    <xf numFmtId="0" fontId="0" fillId="4" borderId="1" xfId="0" applyFill="1" applyBorder="1" applyAlignment="1">
      <alignment horizontal="center"/>
    </xf>
    <xf numFmtId="0" fontId="4" fillId="0" borderId="3" xfId="0" applyFont="1" applyBorder="1" applyAlignment="1">
      <alignment horizontal="center"/>
    </xf>
    <xf numFmtId="0" fontId="4" fillId="0" borderId="4" xfId="0" applyFont="1" applyBorder="1" applyAlignment="1">
      <alignment horizontal="center"/>
    </xf>
    <xf numFmtId="0" fontId="4" fillId="0" borderId="5" xfId="0" applyFont="1" applyBorder="1" applyAlignment="1">
      <alignment horizontal="center"/>
    </xf>
    <xf numFmtId="0" fontId="9" fillId="4" borderId="1" xfId="0" applyFont="1" applyFill="1" applyBorder="1" applyAlignment="1">
      <alignment horizontal="center"/>
    </xf>
    <xf numFmtId="0" fontId="10" fillId="4" borderId="1" xfId="0" applyFont="1" applyFill="1" applyBorder="1" applyAlignment="1">
      <alignment horizontal="center"/>
    </xf>
    <xf numFmtId="0" fontId="7" fillId="4" borderId="1" xfId="0" applyFont="1" applyFill="1" applyBorder="1" applyAlignment="1">
      <alignment horizontal="center"/>
    </xf>
    <xf numFmtId="0" fontId="0" fillId="0" borderId="4" xfId="0" applyFill="1" applyBorder="1" applyAlignment="1">
      <alignment horizontal="center"/>
    </xf>
    <xf numFmtId="0" fontId="0" fillId="4" borderId="0" xfId="0" applyFill="1" applyBorder="1" applyAlignment="1">
      <alignment horizontal="center" vertical="center" wrapText="1"/>
    </xf>
    <xf numFmtId="0" fontId="0" fillId="4" borderId="2" xfId="0" applyFill="1" applyBorder="1" applyAlignment="1">
      <alignment horizontal="center" vertical="center" wrapText="1"/>
    </xf>
    <xf numFmtId="0" fontId="0" fillId="4" borderId="6" xfId="0" applyFill="1" applyBorder="1" applyAlignment="1">
      <alignment horizontal="center"/>
    </xf>
    <xf numFmtId="0" fontId="0" fillId="4" borderId="8" xfId="0" applyFill="1" applyBorder="1" applyAlignment="1">
      <alignment horizontal="center"/>
    </xf>
    <xf numFmtId="1" fontId="0" fillId="0" borderId="12" xfId="0" applyNumberFormat="1" applyFill="1" applyBorder="1" applyAlignment="1">
      <alignment vertical="center"/>
    </xf>
    <xf numFmtId="0" fontId="0" fillId="0" borderId="13" xfId="0" applyFill="1" applyBorder="1" applyAlignment="1">
      <alignment horizontal="center" vertical="center"/>
    </xf>
    <xf numFmtId="0" fontId="4" fillId="0" borderId="17" xfId="0" applyFont="1" applyFill="1" applyBorder="1" applyAlignment="1">
      <alignment vertical="center"/>
    </xf>
    <xf numFmtId="165" fontId="0" fillId="0" borderId="18" xfId="0" applyNumberFormat="1" applyFill="1" applyBorder="1" applyAlignment="1">
      <alignment horizontal="center" vertical="center"/>
    </xf>
    <xf numFmtId="0" fontId="0" fillId="0" borderId="14" xfId="0" applyFill="1" applyBorder="1" applyAlignment="1">
      <alignment horizontal="center" vertical="center"/>
    </xf>
    <xf numFmtId="0" fontId="0" fillId="4" borderId="4" xfId="0" applyFill="1" applyBorder="1" applyAlignment="1">
      <alignment horizontal="center" vertical="center" wrapText="1"/>
    </xf>
    <xf numFmtId="0" fontId="0" fillId="4" borderId="19" xfId="0" applyFill="1" applyBorder="1" applyAlignment="1">
      <alignment horizontal="center" vertical="center" wrapText="1"/>
    </xf>
    <xf numFmtId="0" fontId="0" fillId="0" borderId="3" xfId="0" applyFill="1" applyBorder="1" applyAlignment="1">
      <alignment horizontal="center"/>
    </xf>
    <xf numFmtId="0" fontId="0" fillId="0" borderId="5" xfId="0" applyFill="1" applyBorder="1" applyAlignment="1">
      <alignment horizontal="center"/>
    </xf>
  </cellXfs>
  <cellStyles count="1">
    <cellStyle name="Normale" xfId="0" builtinId="0"/>
  </cellStyles>
  <dxfs count="256">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3" Type="http://schemas.openxmlformats.org/officeDocument/2006/relationships/themeOverride" Target="../theme/themeOverride3.xml"/><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200" b="1"/>
              <a:t>Peso</a:t>
            </a:r>
            <a:r>
              <a:rPr lang="en-GB" sz="1200" b="1" baseline="0"/>
              <a:t> proprio - fase 0</a:t>
            </a:r>
            <a:endParaRPr lang="en-GB" sz="12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1"/>
          <c:order val="1"/>
          <c:spPr>
            <a:ln w="19050"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1"/>
            <c:showSerName val="0"/>
            <c:showPercent val="0"/>
            <c:showBubbleSize val="0"/>
            <c:showLeaderLines val="0"/>
            <c:extLst>
              <c:ext xmlns:c15="http://schemas.microsoft.com/office/drawing/2012/chart" uri="{CE6537A1-D6FC-4f65-9D91-7224C49458BB}">
                <c15:showLeaderLines val="0"/>
              </c:ext>
            </c:extLst>
          </c:dLbls>
          <c:xVal>
            <c:numRef>
              <c:f>'fase 0 '!$I$3:$I$6</c:f>
              <c:numCache>
                <c:formatCode>0.0</c:formatCode>
                <c:ptCount val="4"/>
                <c:pt idx="0" formatCode="General">
                  <c:v>0</c:v>
                </c:pt>
                <c:pt idx="1">
                  <c:v>6.8998217625568623</c:v>
                </c:pt>
                <c:pt idx="2">
                  <c:v>-9.4861477634125784</c:v>
                </c:pt>
                <c:pt idx="3" formatCode="General">
                  <c:v>0</c:v>
                </c:pt>
              </c:numCache>
            </c:numRef>
          </c:xVal>
          <c:yVal>
            <c:numRef>
              <c:f>'fase 0 '!$J$3:$J$6</c:f>
              <c:numCache>
                <c:formatCode>0.0</c:formatCode>
                <c:ptCount val="4"/>
                <c:pt idx="0" formatCode="General">
                  <c:v>779</c:v>
                </c:pt>
                <c:pt idx="1">
                  <c:v>779</c:v>
                </c:pt>
                <c:pt idx="2">
                  <c:v>-1071</c:v>
                </c:pt>
                <c:pt idx="3" formatCode="General">
                  <c:v>-1071</c:v>
                </c:pt>
              </c:numCache>
            </c:numRef>
          </c:yVal>
          <c:smooth val="0"/>
          <c:extLst>
            <c:ext xmlns:c16="http://schemas.microsoft.com/office/drawing/2014/chart" uri="{C3380CC4-5D6E-409C-BE32-E72D297353CC}">
              <c16:uniqueId val="{00000000-B848-4F59-B5C8-1A9E32564056}"/>
            </c:ext>
          </c:extLst>
        </c:ser>
        <c:dLbls>
          <c:dLblPos val="t"/>
          <c:showLegendKey val="0"/>
          <c:showVal val="1"/>
          <c:showCatName val="0"/>
          <c:showSerName val="0"/>
          <c:showPercent val="0"/>
          <c:showBubbleSize val="0"/>
        </c:dLbls>
        <c:axId val="1216558543"/>
        <c:axId val="930664287"/>
        <c:extLst>
          <c:ext xmlns:c15="http://schemas.microsoft.com/office/drawing/2012/chart" uri="{02D57815-91ED-43cb-92C2-25804820EDAC}">
            <c15:filteredScatterSeries>
              <c15:ser>
                <c:idx val="0"/>
                <c:order val="0"/>
                <c:tx>
                  <c:v>Fase 0 - G1</c:v>
                </c:tx>
                <c:spPr>
                  <a:ln w="19050"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extLst>
                      <c:ext uri="{02D57815-91ED-43cb-92C2-25804820EDAC}">
                        <c15:formulaRef>
                          <c15:sqref>'fase 0'!#REF!</c15:sqref>
                        </c15:formulaRef>
                      </c:ext>
                    </c:extLst>
                  </c:numRef>
                </c:xVal>
                <c:yVal>
                  <c:numRef>
                    <c:extLst>
                      <c:ext uri="{02D57815-91ED-43cb-92C2-25804820EDAC}">
                        <c15:formulaRef>
                          <c15:sqref>'fase 0'!#REF!</c15:sqref>
                        </c15:formulaRef>
                      </c:ext>
                    </c:extLst>
                    <c:numCache>
                      <c:formatCode>General</c:formatCode>
                      <c:ptCount val="1"/>
                      <c:pt idx="0">
                        <c:v>1</c:v>
                      </c:pt>
                    </c:numCache>
                  </c:numRef>
                </c:yVal>
                <c:smooth val="0"/>
                <c:extLst>
                  <c:ext xmlns:c16="http://schemas.microsoft.com/office/drawing/2014/chart" uri="{C3380CC4-5D6E-409C-BE32-E72D297353CC}">
                    <c16:uniqueId val="{00000000-0B7A-4D83-9F42-E963250A0DEA}"/>
                  </c:ext>
                </c:extLst>
              </c15:ser>
            </c15:filteredScatterSeries>
          </c:ext>
        </c:extLst>
      </c:scatterChart>
      <c:valAx>
        <c:axId val="121655854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0664287"/>
        <c:crosses val="autoZero"/>
        <c:crossBetween val="midCat"/>
      </c:valAx>
      <c:valAx>
        <c:axId val="9306642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low"/>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6558543"/>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200" b="1"/>
              <a:t>Precompressione </a:t>
            </a:r>
            <a:r>
              <a:rPr lang="en-GB" sz="1200" b="1" baseline="0"/>
              <a:t>- fase 0</a:t>
            </a:r>
            <a:endParaRPr lang="en-GB" sz="1200" b="1"/>
          </a:p>
        </c:rich>
      </c:tx>
      <c:layout>
        <c:manualLayout>
          <c:xMode val="edge"/>
          <c:yMode val="edge"/>
          <c:x val="0.18891917734316407"/>
          <c:y val="2.13032619990902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1"/>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f>'fase 0 '!$M$3:$M$6</c:f>
              <c:numCache>
                <c:formatCode>0.0</c:formatCode>
                <c:ptCount val="4"/>
                <c:pt idx="0" formatCode="General">
                  <c:v>0</c:v>
                </c:pt>
                <c:pt idx="1">
                  <c:v>-3.7949078300288246</c:v>
                </c:pt>
                <c:pt idx="2">
                  <c:v>31.438644086897568</c:v>
                </c:pt>
                <c:pt idx="3" formatCode="General">
                  <c:v>0</c:v>
                </c:pt>
              </c:numCache>
            </c:numRef>
          </c:xVal>
          <c:yVal>
            <c:numRef>
              <c:f>'fase 0 '!$N$3:$N$6</c:f>
              <c:numCache>
                <c:formatCode>0.0</c:formatCode>
                <c:ptCount val="4"/>
                <c:pt idx="0" formatCode="General">
                  <c:v>779</c:v>
                </c:pt>
                <c:pt idx="1">
                  <c:v>779</c:v>
                </c:pt>
                <c:pt idx="2">
                  <c:v>-1071</c:v>
                </c:pt>
                <c:pt idx="3" formatCode="General">
                  <c:v>-1071</c:v>
                </c:pt>
              </c:numCache>
            </c:numRef>
          </c:yVal>
          <c:smooth val="0"/>
          <c:extLst xmlns:c15="http://schemas.microsoft.com/office/drawing/2012/chart">
            <c:ext xmlns:c16="http://schemas.microsoft.com/office/drawing/2014/chart" uri="{C3380CC4-5D6E-409C-BE32-E72D297353CC}">
              <c16:uniqueId val="{00000001-3967-45C3-910E-38416945C204}"/>
            </c:ext>
          </c:extLst>
        </c:ser>
        <c:dLbls>
          <c:dLblPos val="t"/>
          <c:showLegendKey val="0"/>
          <c:showVal val="1"/>
          <c:showCatName val="0"/>
          <c:showSerName val="0"/>
          <c:showPercent val="0"/>
          <c:showBubbleSize val="0"/>
        </c:dLbls>
        <c:axId val="1216558543"/>
        <c:axId val="930664287"/>
        <c:extLst/>
      </c:scatterChart>
      <c:valAx>
        <c:axId val="121655854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0664287"/>
        <c:crosses val="autoZero"/>
        <c:crossBetween val="midCat"/>
      </c:valAx>
      <c:valAx>
        <c:axId val="9306642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low"/>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6558543"/>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200" b="1"/>
              <a:t>Tensione cls </a:t>
            </a:r>
            <a:r>
              <a:rPr lang="en-GB" sz="1200" b="1" baseline="0"/>
              <a:t>- fase 0</a:t>
            </a:r>
            <a:endParaRPr lang="en-GB" sz="12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solidFill>
                <a:srgbClr val="FF0000"/>
              </a:solidFill>
              <a:round/>
            </a:ln>
            <a:effectLst/>
          </c:spPr>
          <c:marker>
            <c:symbol val="circle"/>
            <c:size val="5"/>
            <c:spPr>
              <a:solidFill>
                <a:srgbClr val="FF0000"/>
              </a:solidFill>
              <a:ln w="9525">
                <a:solidFill>
                  <a:schemeClr val="tx1"/>
                </a:solidFill>
              </a:ln>
              <a:effectLst/>
            </c:spPr>
          </c:marker>
          <c:dLbls>
            <c:dLbl>
              <c:idx val="1"/>
              <c:layout>
                <c:manualLayout>
                  <c:x val="1.7843256934455577E-2"/>
                  <c:y val="-4.4494619868346089E-2"/>
                </c:manualLayout>
              </c:layout>
              <c:dLblPos val="r"/>
              <c:showLegendKey val="0"/>
              <c:showVal val="0"/>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037A-47A0-ABC1-19CE7E8467D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1"/>
            <c:showSerName val="0"/>
            <c:showPercent val="0"/>
            <c:showBubbleSize val="0"/>
            <c:showLeaderLines val="0"/>
            <c:extLst xmlns:c15="http://schemas.microsoft.com/office/drawing/2012/chart">
              <c:ext xmlns:c15="http://schemas.microsoft.com/office/drawing/2012/chart" uri="{CE6537A1-D6FC-4f65-9D91-7224C49458BB}">
                <c15:showLeaderLines val="0"/>
              </c:ext>
            </c:extLst>
          </c:dLbls>
          <c:xVal>
            <c:numRef>
              <c:f>'fase 0 '!$Q$3:$Q$6</c:f>
              <c:numCache>
                <c:formatCode>0.0</c:formatCode>
                <c:ptCount val="4"/>
                <c:pt idx="0" formatCode="General">
                  <c:v>0</c:v>
                </c:pt>
                <c:pt idx="1">
                  <c:v>3.1049139325280377</c:v>
                </c:pt>
                <c:pt idx="2">
                  <c:v>21.95249632348499</c:v>
                </c:pt>
                <c:pt idx="3" formatCode="General">
                  <c:v>0</c:v>
                </c:pt>
              </c:numCache>
            </c:numRef>
          </c:xVal>
          <c:yVal>
            <c:numRef>
              <c:f>'fase 0 '!$R$3:$R$6</c:f>
              <c:numCache>
                <c:formatCode>General</c:formatCode>
                <c:ptCount val="4"/>
                <c:pt idx="0">
                  <c:v>779</c:v>
                </c:pt>
                <c:pt idx="1">
                  <c:v>779</c:v>
                </c:pt>
                <c:pt idx="2">
                  <c:v>-1071</c:v>
                </c:pt>
                <c:pt idx="3">
                  <c:v>-1071</c:v>
                </c:pt>
              </c:numCache>
            </c:numRef>
          </c:yVal>
          <c:smooth val="0"/>
          <c:extLst xmlns:c15="http://schemas.microsoft.com/office/drawing/2012/chart">
            <c:ext xmlns:c16="http://schemas.microsoft.com/office/drawing/2014/chart" uri="{C3380CC4-5D6E-409C-BE32-E72D297353CC}">
              <c16:uniqueId val="{00000000-F952-46F0-AF49-7F2934AABDFC}"/>
            </c:ext>
          </c:extLst>
        </c:ser>
        <c:dLbls>
          <c:dLblPos val="t"/>
          <c:showLegendKey val="0"/>
          <c:showVal val="1"/>
          <c:showCatName val="0"/>
          <c:showSerName val="0"/>
          <c:showPercent val="0"/>
          <c:showBubbleSize val="0"/>
        </c:dLbls>
        <c:axId val="1216558543"/>
        <c:axId val="930664287"/>
        <c:extLst/>
      </c:scatterChart>
      <c:valAx>
        <c:axId val="121655854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0664287"/>
        <c:crosses val="autoZero"/>
        <c:crossBetween val="midCat"/>
      </c:valAx>
      <c:valAx>
        <c:axId val="9306642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low"/>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6558543"/>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200" b="1"/>
              <a:t>Peso</a:t>
            </a:r>
            <a:r>
              <a:rPr lang="en-GB" sz="1200" b="1" baseline="0"/>
              <a:t> proprio - fase 0</a:t>
            </a:r>
            <a:endParaRPr lang="en-GB" sz="12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Fase 0 - G1</c:v>
          </c:tx>
          <c:spPr>
            <a:ln w="2222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1"/>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f>'fase 1 '!$B$31:$B$34</c:f>
              <c:numCache>
                <c:formatCode>0.00</c:formatCode>
                <c:ptCount val="4"/>
                <c:pt idx="0" formatCode="General">
                  <c:v>0</c:v>
                </c:pt>
                <c:pt idx="1">
                  <c:v>3.1049139325280377</c:v>
                </c:pt>
                <c:pt idx="2">
                  <c:v>21.95249632348499</c:v>
                </c:pt>
                <c:pt idx="3" formatCode="General">
                  <c:v>0</c:v>
                </c:pt>
              </c:numCache>
            </c:numRef>
          </c:xVal>
          <c:yVal>
            <c:numRef>
              <c:f>'fase 1 '!$C$31:$C$34</c:f>
              <c:numCache>
                <c:formatCode>General</c:formatCode>
                <c:ptCount val="4"/>
                <c:pt idx="0">
                  <c:v>779</c:v>
                </c:pt>
                <c:pt idx="1">
                  <c:v>779</c:v>
                </c:pt>
                <c:pt idx="2">
                  <c:v>-1071</c:v>
                </c:pt>
                <c:pt idx="3">
                  <c:v>-1071</c:v>
                </c:pt>
              </c:numCache>
            </c:numRef>
          </c:yVal>
          <c:smooth val="0"/>
          <c:extLst xmlns:c15="http://schemas.microsoft.com/office/drawing/2012/chart">
            <c:ext xmlns:c16="http://schemas.microsoft.com/office/drawing/2014/chart" uri="{C3380CC4-5D6E-409C-BE32-E72D297353CC}">
              <c16:uniqueId val="{00000001-EE06-429D-82D5-9DC49A0D1721}"/>
            </c:ext>
          </c:extLst>
        </c:ser>
        <c:dLbls>
          <c:dLblPos val="t"/>
          <c:showLegendKey val="0"/>
          <c:showVal val="1"/>
          <c:showCatName val="0"/>
          <c:showSerName val="0"/>
          <c:showPercent val="0"/>
          <c:showBubbleSize val="0"/>
        </c:dLbls>
        <c:axId val="1216558543"/>
        <c:axId val="930664287"/>
        <c:extLst>
          <c:ext xmlns:c15="http://schemas.microsoft.com/office/drawing/2012/chart" uri="{02D57815-91ED-43cb-92C2-25804820EDAC}">
            <c15:filteredScatterSeries>
              <c15:ser>
                <c:idx val="1"/>
                <c:order val="1"/>
                <c:spPr>
                  <a:ln w="19050"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1"/>
                  <c:showSerName val="0"/>
                  <c:showPercent val="0"/>
                  <c:showBubbleSize val="0"/>
                  <c:showLeaderLines val="0"/>
                  <c:extLst>
                    <c:ext uri="{CE6537A1-D6FC-4f65-9D91-7224C49458BB}">
                      <c15:showLeaderLines val="0"/>
                    </c:ext>
                  </c:extLst>
                </c:dLbls>
                <c:xVal>
                  <c:numRef>
                    <c:extLst>
                      <c:ext uri="{02D57815-91ED-43cb-92C2-25804820EDAC}">
                        <c15:formulaRef>
                          <c15:sqref>'fase 0 '!$I$3:$I$6</c15:sqref>
                        </c15:formulaRef>
                      </c:ext>
                    </c:extLst>
                    <c:numCache>
                      <c:formatCode>0.0</c:formatCode>
                      <c:ptCount val="4"/>
                      <c:pt idx="0" formatCode="General">
                        <c:v>0</c:v>
                      </c:pt>
                      <c:pt idx="1">
                        <c:v>6.8998217625568623</c:v>
                      </c:pt>
                      <c:pt idx="2">
                        <c:v>-9.4861477634125784</c:v>
                      </c:pt>
                      <c:pt idx="3" formatCode="General">
                        <c:v>0</c:v>
                      </c:pt>
                    </c:numCache>
                  </c:numRef>
                </c:xVal>
                <c:yVal>
                  <c:numRef>
                    <c:extLst>
                      <c:ext uri="{02D57815-91ED-43cb-92C2-25804820EDAC}">
                        <c15:formulaRef>
                          <c15:sqref>'fase 0 '!$J$3:$J$6</c15:sqref>
                        </c15:formulaRef>
                      </c:ext>
                    </c:extLst>
                    <c:numCache>
                      <c:formatCode>0.0</c:formatCode>
                      <c:ptCount val="4"/>
                      <c:pt idx="0" formatCode="General">
                        <c:v>779</c:v>
                      </c:pt>
                      <c:pt idx="1">
                        <c:v>779</c:v>
                      </c:pt>
                      <c:pt idx="2">
                        <c:v>-1071</c:v>
                      </c:pt>
                      <c:pt idx="3" formatCode="General">
                        <c:v>-1071</c:v>
                      </c:pt>
                    </c:numCache>
                  </c:numRef>
                </c:yVal>
                <c:smooth val="0"/>
                <c:extLst>
                  <c:ext xmlns:c16="http://schemas.microsoft.com/office/drawing/2014/chart" uri="{C3380CC4-5D6E-409C-BE32-E72D297353CC}">
                    <c16:uniqueId val="{00000000-EE06-429D-82D5-9DC49A0D1721}"/>
                  </c:ext>
                </c:extLst>
              </c15:ser>
            </c15:filteredScatterSeries>
          </c:ext>
        </c:extLst>
      </c:scatterChart>
      <c:valAx>
        <c:axId val="121655854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0664287"/>
        <c:crosses val="autoZero"/>
        <c:crossBetween val="midCat"/>
      </c:valAx>
      <c:valAx>
        <c:axId val="9306642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low"/>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6558543"/>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200" b="1"/>
              <a:t>Precompressione </a:t>
            </a:r>
            <a:r>
              <a:rPr lang="en-GB" sz="1200" b="1" baseline="0"/>
              <a:t>- fase 0</a:t>
            </a:r>
            <a:endParaRPr lang="en-GB" sz="12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22225" cap="rnd">
              <a:solidFill>
                <a:schemeClr val="accent1"/>
              </a:solidFill>
              <a:round/>
            </a:ln>
            <a:effectLst/>
          </c:spPr>
          <c:marker>
            <c:symbol val="circle"/>
            <c:size val="5"/>
            <c:spPr>
              <a:solidFill>
                <a:schemeClr val="accent1"/>
              </a:solidFill>
              <a:ln w="9525">
                <a:solidFill>
                  <a:schemeClr val="accent1"/>
                </a:solidFill>
              </a:ln>
              <a:effectLst/>
            </c:spPr>
          </c:marker>
          <c:dLbls>
            <c:dLbl>
              <c:idx val="2"/>
              <c:layout>
                <c:manualLayout>
                  <c:x val="0"/>
                  <c:y val="2.5822782064756324E-2"/>
                </c:manualLayout>
              </c:layout>
              <c:showLegendKey val="0"/>
              <c:showVal val="0"/>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B20-4635-B1E4-05031FB08E7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f>'fase 1 '!$F$31:$F$34</c:f>
              <c:numCache>
                <c:formatCode>0.0</c:formatCode>
                <c:ptCount val="4"/>
                <c:pt idx="0" formatCode="General">
                  <c:v>0</c:v>
                </c:pt>
                <c:pt idx="1">
                  <c:v>0.95799009881111585</c:v>
                </c:pt>
                <c:pt idx="2">
                  <c:v>-7.9364008572154789</c:v>
                </c:pt>
                <c:pt idx="3" formatCode="General">
                  <c:v>0</c:v>
                </c:pt>
              </c:numCache>
            </c:numRef>
          </c:xVal>
          <c:yVal>
            <c:numRef>
              <c:f>'fase 1 '!$G$31:$G$34</c:f>
              <c:numCache>
                <c:formatCode>0.0</c:formatCode>
                <c:ptCount val="4"/>
                <c:pt idx="0" formatCode="General">
                  <c:v>779</c:v>
                </c:pt>
                <c:pt idx="1">
                  <c:v>779</c:v>
                </c:pt>
                <c:pt idx="2">
                  <c:v>-1071</c:v>
                </c:pt>
                <c:pt idx="3" formatCode="General">
                  <c:v>-1071</c:v>
                </c:pt>
              </c:numCache>
            </c:numRef>
          </c:yVal>
          <c:smooth val="0"/>
          <c:extLst xmlns:c15="http://schemas.microsoft.com/office/drawing/2012/chart">
            <c:ext xmlns:c16="http://schemas.microsoft.com/office/drawing/2014/chart" uri="{C3380CC4-5D6E-409C-BE32-E72D297353CC}">
              <c16:uniqueId val="{00000000-0B20-4635-B1E4-05031FB08E70}"/>
            </c:ext>
          </c:extLst>
        </c:ser>
        <c:dLbls>
          <c:showLegendKey val="0"/>
          <c:showVal val="1"/>
          <c:showCatName val="0"/>
          <c:showSerName val="0"/>
          <c:showPercent val="0"/>
          <c:showBubbleSize val="0"/>
        </c:dLbls>
        <c:axId val="1216558543"/>
        <c:axId val="930664287"/>
        <c:extLst/>
      </c:scatterChart>
      <c:valAx>
        <c:axId val="121655854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0664287"/>
        <c:crosses val="autoZero"/>
        <c:crossBetween val="midCat"/>
      </c:valAx>
      <c:valAx>
        <c:axId val="9306642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low"/>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6558543"/>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200" b="1"/>
              <a:t>Peso soletta </a:t>
            </a:r>
            <a:r>
              <a:rPr lang="en-GB" sz="1200" b="1" baseline="0"/>
              <a:t>- fase 1</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2222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f>'fase 1 '!$J$31:$J$34</c:f>
              <c:numCache>
                <c:formatCode>0.0</c:formatCode>
                <c:ptCount val="4"/>
                <c:pt idx="0" formatCode="General">
                  <c:v>0</c:v>
                </c:pt>
                <c:pt idx="1">
                  <c:v>4.3612344271824828</c:v>
                </c:pt>
                <c:pt idx="2">
                  <c:v>-5.9959975244062109</c:v>
                </c:pt>
                <c:pt idx="3" formatCode="General">
                  <c:v>0</c:v>
                </c:pt>
              </c:numCache>
            </c:numRef>
          </c:xVal>
          <c:yVal>
            <c:numRef>
              <c:f>'fase 1 '!$K$31:$K$34</c:f>
              <c:numCache>
                <c:formatCode>General</c:formatCode>
                <c:ptCount val="4"/>
                <c:pt idx="0">
                  <c:v>779</c:v>
                </c:pt>
                <c:pt idx="1">
                  <c:v>779</c:v>
                </c:pt>
                <c:pt idx="2">
                  <c:v>-1071</c:v>
                </c:pt>
                <c:pt idx="3">
                  <c:v>-1071</c:v>
                </c:pt>
              </c:numCache>
            </c:numRef>
          </c:yVal>
          <c:smooth val="0"/>
          <c:extLst xmlns:c15="http://schemas.microsoft.com/office/drawing/2012/chart">
            <c:ext xmlns:c16="http://schemas.microsoft.com/office/drawing/2014/chart" uri="{C3380CC4-5D6E-409C-BE32-E72D297353CC}">
              <c16:uniqueId val="{00000001-CDED-4AEC-99B2-84FB92CEC842}"/>
            </c:ext>
          </c:extLst>
        </c:ser>
        <c:dLbls>
          <c:showLegendKey val="0"/>
          <c:showVal val="1"/>
          <c:showCatName val="0"/>
          <c:showSerName val="0"/>
          <c:showPercent val="0"/>
          <c:showBubbleSize val="0"/>
        </c:dLbls>
        <c:axId val="1216558543"/>
        <c:axId val="930664287"/>
        <c:extLst/>
      </c:scatterChart>
      <c:valAx>
        <c:axId val="121655854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0664287"/>
        <c:crosses val="autoZero"/>
        <c:crossBetween val="midCat"/>
      </c:valAx>
      <c:valAx>
        <c:axId val="9306642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low"/>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6558543"/>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Tensioni cls - fase 1</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22225" cap="rnd">
              <a:solidFill>
                <a:srgbClr val="FF0000"/>
              </a:solidFill>
              <a:round/>
            </a:ln>
            <a:effectLst/>
          </c:spPr>
          <c:marker>
            <c:symbol val="circle"/>
            <c:size val="5"/>
            <c:spPr>
              <a:solidFill>
                <a:srgbClr val="FF0000"/>
              </a:solidFill>
              <a:ln w="9525">
                <a:solidFill>
                  <a:schemeClr val="tx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1"/>
            <c:showSerName val="0"/>
            <c:showPercent val="0"/>
            <c:showBubbleSize val="0"/>
            <c:showLeaderLines val="0"/>
            <c:extLst xmlns:c15="http://schemas.microsoft.com/office/drawing/2012/chart">
              <c:ext xmlns:c15="http://schemas.microsoft.com/office/drawing/2012/chart" uri="{CE6537A1-D6FC-4f65-9D91-7224C49458BB}">
                <c15:showLeaderLines val="0"/>
              </c:ext>
            </c:extLst>
          </c:dLbls>
          <c:xVal>
            <c:numRef>
              <c:f>'fase 1 '!$O$31:$O$34</c:f>
              <c:numCache>
                <c:formatCode>0.00</c:formatCode>
                <c:ptCount val="4"/>
                <c:pt idx="0" formatCode="General">
                  <c:v>0</c:v>
                </c:pt>
                <c:pt idx="1">
                  <c:v>8.4241384585216359</c:v>
                </c:pt>
                <c:pt idx="2">
                  <c:v>8.0200979418633018</c:v>
                </c:pt>
                <c:pt idx="3" formatCode="General">
                  <c:v>0</c:v>
                </c:pt>
              </c:numCache>
            </c:numRef>
          </c:xVal>
          <c:yVal>
            <c:numRef>
              <c:f>'fase 1 '!$P$31:$P$34</c:f>
              <c:numCache>
                <c:formatCode>General</c:formatCode>
                <c:ptCount val="4"/>
                <c:pt idx="0">
                  <c:v>779</c:v>
                </c:pt>
                <c:pt idx="1">
                  <c:v>779</c:v>
                </c:pt>
                <c:pt idx="2">
                  <c:v>-1071</c:v>
                </c:pt>
                <c:pt idx="3">
                  <c:v>-1071</c:v>
                </c:pt>
              </c:numCache>
            </c:numRef>
          </c:yVal>
          <c:smooth val="0"/>
          <c:extLst xmlns:c15="http://schemas.microsoft.com/office/drawing/2012/chart">
            <c:ext xmlns:c16="http://schemas.microsoft.com/office/drawing/2014/chart" uri="{C3380CC4-5D6E-409C-BE32-E72D297353CC}">
              <c16:uniqueId val="{00000000-F952-46F0-AF49-7F2934AABDFC}"/>
            </c:ext>
          </c:extLst>
        </c:ser>
        <c:dLbls>
          <c:dLblPos val="t"/>
          <c:showLegendKey val="0"/>
          <c:showVal val="1"/>
          <c:showCatName val="0"/>
          <c:showSerName val="0"/>
          <c:showPercent val="0"/>
          <c:showBubbleSize val="0"/>
        </c:dLbls>
        <c:axId val="1216558543"/>
        <c:axId val="930664287"/>
        <c:extLst/>
      </c:scatterChart>
      <c:valAx>
        <c:axId val="121655854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0664287"/>
        <c:crosses val="autoZero"/>
        <c:crossBetween val="midCat"/>
      </c:valAx>
      <c:valAx>
        <c:axId val="9306642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low"/>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6558543"/>
        <c:crosses val="autoZero"/>
        <c:crossBetween val="midCat"/>
      </c:valAx>
      <c:spPr>
        <a:noFill/>
        <a:ln>
          <a:noFill/>
        </a:ln>
        <a:effectLst/>
      </c:spPr>
    </c:plotArea>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200" b="1"/>
              <a:t>Tensioni cls </a:t>
            </a:r>
            <a:r>
              <a:rPr lang="en-GB" sz="1200" b="1" baseline="0"/>
              <a:t>- fase 1</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fase 1</c:v>
          </c:tx>
          <c:spPr>
            <a:ln w="19050"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0"/>
            <c:showBubbleSize val="0"/>
            <c:showLeaderLines val="0"/>
            <c:extLst xmlns:c15="http://schemas.microsoft.com/office/drawing/2012/chart">
              <c:ext xmlns:c15="http://schemas.microsoft.com/office/drawing/2012/chart" uri="{CE6537A1-D6FC-4f65-9D91-7224C49458BB}">
                <c15:showLeaderLines val="0"/>
              </c:ext>
            </c:extLst>
          </c:dLbls>
          <c:xVal>
            <c:numRef>
              <c:f>'fase 2 '!$C$49:$C$56</c:f>
              <c:numCache>
                <c:formatCode>0.00</c:formatCode>
                <c:ptCount val="8"/>
                <c:pt idx="0">
                  <c:v>0</c:v>
                </c:pt>
                <c:pt idx="1">
                  <c:v>0</c:v>
                </c:pt>
                <c:pt idx="2">
                  <c:v>0</c:v>
                </c:pt>
                <c:pt idx="3">
                  <c:v>0</c:v>
                </c:pt>
                <c:pt idx="4">
                  <c:v>0</c:v>
                </c:pt>
                <c:pt idx="5">
                  <c:v>8.4241384585216359</c:v>
                </c:pt>
                <c:pt idx="6">
                  <c:v>8.0200979418633018</c:v>
                </c:pt>
                <c:pt idx="7">
                  <c:v>0</c:v>
                </c:pt>
              </c:numCache>
            </c:numRef>
          </c:xVal>
          <c:yVal>
            <c:numRef>
              <c:f>'fase 2 '!$B$49:$B$56</c:f>
              <c:numCache>
                <c:formatCode>General</c:formatCode>
                <c:ptCount val="8"/>
                <c:pt idx="0">
                  <c:v>1029</c:v>
                </c:pt>
                <c:pt idx="1">
                  <c:v>1029</c:v>
                </c:pt>
                <c:pt idx="2">
                  <c:v>779</c:v>
                </c:pt>
                <c:pt idx="3">
                  <c:v>779</c:v>
                </c:pt>
                <c:pt idx="4">
                  <c:v>779</c:v>
                </c:pt>
                <c:pt idx="5">
                  <c:v>779</c:v>
                </c:pt>
                <c:pt idx="6">
                  <c:v>-1071</c:v>
                </c:pt>
                <c:pt idx="7">
                  <c:v>-1071</c:v>
                </c:pt>
              </c:numCache>
            </c:numRef>
          </c:yVal>
          <c:smooth val="0"/>
          <c:extLst xmlns:c15="http://schemas.microsoft.com/office/drawing/2012/chart">
            <c:ext xmlns:c16="http://schemas.microsoft.com/office/drawing/2014/chart" uri="{C3380CC4-5D6E-409C-BE32-E72D297353CC}">
              <c16:uniqueId val="{00000000-E3DB-4D3B-8D98-5FA2276E4171}"/>
            </c:ext>
          </c:extLst>
        </c:ser>
        <c:dLbls>
          <c:showLegendKey val="0"/>
          <c:showVal val="1"/>
          <c:showCatName val="0"/>
          <c:showSerName val="0"/>
          <c:showPercent val="0"/>
          <c:showBubbleSize val="0"/>
        </c:dLbls>
        <c:axId val="1216558543"/>
        <c:axId val="930664287"/>
        <c:extLst/>
      </c:scatterChart>
      <c:valAx>
        <c:axId val="1216558543"/>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0664287"/>
        <c:crosses val="autoZero"/>
        <c:crossBetween val="midCat"/>
      </c:valAx>
      <c:valAx>
        <c:axId val="9306642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low"/>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6558543"/>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200" b="1"/>
              <a:t>Tensioni permanenti  </a:t>
            </a:r>
            <a:r>
              <a:rPr lang="en-GB" sz="1200" b="1" baseline="0"/>
              <a:t>- fase 2</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fase 2</c:v>
          </c:tx>
          <c:spPr>
            <a:ln w="19050" cap="rnd">
              <a:solidFill>
                <a:schemeClr val="accent1"/>
              </a:solidFill>
              <a:round/>
            </a:ln>
            <a:effectLst/>
          </c:spPr>
          <c:marker>
            <c:symbol val="circle"/>
            <c:size val="5"/>
            <c:spPr>
              <a:solidFill>
                <a:schemeClr val="accent1"/>
              </a:solidFill>
              <a:ln w="9525">
                <a:solidFill>
                  <a:schemeClr val="accent1"/>
                </a:solidFill>
              </a:ln>
              <a:effectLst/>
            </c:spPr>
          </c:marker>
          <c:dLbls>
            <c:dLbl>
              <c:idx val="3"/>
              <c:layout>
                <c:manualLayout>
                  <c:x val="-1.3064699269717126E-16"/>
                  <c:y val="5.3125010167188076E-2"/>
                </c:manualLayout>
              </c:layout>
              <c:showLegendKey val="0"/>
              <c:showVal val="0"/>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031-40EC-BB38-21F7D8B2BCF1}"/>
                </c:ext>
              </c:extLst>
            </c:dLbl>
            <c:dLbl>
              <c:idx val="4"/>
              <c:delete val="1"/>
              <c:extLst>
                <c:ext xmlns:c15="http://schemas.microsoft.com/office/drawing/2012/chart" uri="{CE6537A1-D6FC-4f65-9D91-7224C49458BB}"/>
                <c:ext xmlns:c16="http://schemas.microsoft.com/office/drawing/2014/chart" uri="{C3380CC4-5D6E-409C-BE32-E72D297353CC}">
                  <c16:uniqueId val="{00000002-D031-40EC-BB38-21F7D8B2BCF1}"/>
                </c:ext>
              </c:extLst>
            </c:dLbl>
            <c:dLbl>
              <c:idx val="5"/>
              <c:delete val="1"/>
              <c:extLst>
                <c:ext xmlns:c15="http://schemas.microsoft.com/office/drawing/2012/chart" uri="{CE6537A1-D6FC-4f65-9D91-7224C49458BB}"/>
                <c:ext xmlns:c16="http://schemas.microsoft.com/office/drawing/2014/chart" uri="{C3380CC4-5D6E-409C-BE32-E72D297353CC}">
                  <c16:uniqueId val="{00000001-D031-40EC-BB38-21F7D8B2BCF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0"/>
            <c:showBubbleSize val="0"/>
            <c:showLeaderLines val="0"/>
            <c:extLst xmlns:c15="http://schemas.microsoft.com/office/drawing/2012/chart">
              <c:ext xmlns:c15="http://schemas.microsoft.com/office/drawing/2012/chart" uri="{CE6537A1-D6FC-4f65-9D91-7224C49458BB}">
                <c15:showLeaderLines val="0"/>
              </c:ext>
            </c:extLst>
          </c:dLbls>
          <c:xVal>
            <c:numRef>
              <c:f>'fase 2 '!$D$49:$D$56</c:f>
              <c:numCache>
                <c:formatCode>0.00</c:formatCode>
                <c:ptCount val="8"/>
                <c:pt idx="0" formatCode="General">
                  <c:v>0</c:v>
                </c:pt>
                <c:pt idx="1">
                  <c:v>1.0359693937165164</c:v>
                </c:pt>
                <c:pt idx="2">
                  <c:v>0.72874240862858142</c:v>
                </c:pt>
                <c:pt idx="3">
                  <c:v>0.76642872653794947</c:v>
                </c:pt>
                <c:pt idx="4">
                  <c:v>0.76642872653794947</c:v>
                </c:pt>
                <c:pt idx="5">
                  <c:v>0.76642872653794947</c:v>
                </c:pt>
                <c:pt idx="6">
                  <c:v>-1.6246221066748778</c:v>
                </c:pt>
                <c:pt idx="7">
                  <c:v>0</c:v>
                </c:pt>
              </c:numCache>
            </c:numRef>
          </c:xVal>
          <c:yVal>
            <c:numRef>
              <c:f>'fase 2 '!$B$49:$B$56</c:f>
              <c:numCache>
                <c:formatCode>General</c:formatCode>
                <c:ptCount val="8"/>
                <c:pt idx="0">
                  <c:v>1029</c:v>
                </c:pt>
                <c:pt idx="1">
                  <c:v>1029</c:v>
                </c:pt>
                <c:pt idx="2">
                  <c:v>779</c:v>
                </c:pt>
                <c:pt idx="3">
                  <c:v>779</c:v>
                </c:pt>
                <c:pt idx="4">
                  <c:v>779</c:v>
                </c:pt>
                <c:pt idx="5">
                  <c:v>779</c:v>
                </c:pt>
                <c:pt idx="6">
                  <c:v>-1071</c:v>
                </c:pt>
                <c:pt idx="7">
                  <c:v>-1071</c:v>
                </c:pt>
              </c:numCache>
            </c:numRef>
          </c:yVal>
          <c:smooth val="0"/>
          <c:extLst xmlns:c15="http://schemas.microsoft.com/office/drawing/2012/chart">
            <c:ext xmlns:c16="http://schemas.microsoft.com/office/drawing/2014/chart" uri="{C3380CC4-5D6E-409C-BE32-E72D297353CC}">
              <c16:uniqueId val="{00000000-D031-40EC-BB38-21F7D8B2BCF1}"/>
            </c:ext>
          </c:extLst>
        </c:ser>
        <c:dLbls>
          <c:showLegendKey val="0"/>
          <c:showVal val="1"/>
          <c:showCatName val="0"/>
          <c:showSerName val="0"/>
          <c:showPercent val="0"/>
          <c:showBubbleSize val="0"/>
        </c:dLbls>
        <c:axId val="1216558543"/>
        <c:axId val="930664287"/>
        <c:extLst/>
      </c:scatterChart>
      <c:valAx>
        <c:axId val="121655854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0664287"/>
        <c:crosses val="autoZero"/>
        <c:crossBetween val="midCat"/>
      </c:valAx>
      <c:valAx>
        <c:axId val="9306642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low"/>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6558543"/>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200" b="1"/>
              <a:t>Tensioni da ritiro  </a:t>
            </a:r>
            <a:r>
              <a:rPr lang="en-GB" sz="1200" b="1" baseline="0"/>
              <a:t>- fase 2</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fase 2</c:v>
          </c:tx>
          <c:spPr>
            <a:ln w="19050" cap="rnd">
              <a:solidFill>
                <a:schemeClr val="accent1"/>
              </a:solidFill>
              <a:round/>
            </a:ln>
            <a:effectLst/>
          </c:spPr>
          <c:marker>
            <c:symbol val="circle"/>
            <c:size val="5"/>
            <c:spPr>
              <a:solidFill>
                <a:schemeClr val="accent1"/>
              </a:solidFill>
              <a:ln w="9525">
                <a:solidFill>
                  <a:schemeClr val="accent1"/>
                </a:solidFill>
              </a:ln>
              <a:effectLst/>
            </c:spPr>
          </c:marker>
          <c:dLbls>
            <c:dLbl>
              <c:idx val="3"/>
              <c:layout>
                <c:manualLayout>
                  <c:x val="-1.3064699269717126E-16"/>
                  <c:y val="5.3125010167188076E-2"/>
                </c:manualLayout>
              </c:layout>
              <c:showLegendKey val="0"/>
              <c:showVal val="0"/>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1375-499A-A137-560F28496882}"/>
                </c:ext>
              </c:extLst>
            </c:dLbl>
            <c:dLbl>
              <c:idx val="4"/>
              <c:delete val="1"/>
              <c:extLst>
                <c:ext xmlns:c15="http://schemas.microsoft.com/office/drawing/2012/chart" uri="{CE6537A1-D6FC-4f65-9D91-7224C49458BB}"/>
                <c:ext xmlns:c16="http://schemas.microsoft.com/office/drawing/2014/chart" uri="{C3380CC4-5D6E-409C-BE32-E72D297353CC}">
                  <c16:uniqueId val="{00000001-1375-499A-A137-560F28496882}"/>
                </c:ext>
              </c:extLst>
            </c:dLbl>
            <c:dLbl>
              <c:idx val="5"/>
              <c:delete val="1"/>
              <c:extLst>
                <c:ext xmlns:c15="http://schemas.microsoft.com/office/drawing/2012/chart" uri="{CE6537A1-D6FC-4f65-9D91-7224C49458BB}"/>
                <c:ext xmlns:c16="http://schemas.microsoft.com/office/drawing/2014/chart" uri="{C3380CC4-5D6E-409C-BE32-E72D297353CC}">
                  <c16:uniqueId val="{00000002-1375-499A-A137-560F2849688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0"/>
            <c:showBubbleSize val="0"/>
            <c:showLeaderLines val="0"/>
            <c:extLst xmlns:c15="http://schemas.microsoft.com/office/drawing/2012/chart">
              <c:ext xmlns:c15="http://schemas.microsoft.com/office/drawing/2012/chart" uri="{CE6537A1-D6FC-4f65-9D91-7224C49458BB}">
                <c15:showLeaderLines val="0"/>
              </c:ext>
            </c:extLst>
          </c:dLbls>
          <c:xVal>
            <c:numRef>
              <c:f>'fase 2 '!$E$49:$E$56</c:f>
              <c:numCache>
                <c:formatCode>0.0</c:formatCode>
                <c:ptCount val="8"/>
                <c:pt idx="0" formatCode="General">
                  <c:v>0</c:v>
                </c:pt>
                <c:pt idx="1">
                  <c:v>-2.03326658300643</c:v>
                </c:pt>
                <c:pt idx="2">
                  <c:v>-2.7213000677574204</c:v>
                </c:pt>
                <c:pt idx="3">
                  <c:v>0</c:v>
                </c:pt>
                <c:pt idx="4">
                  <c:v>0</c:v>
                </c:pt>
                <c:pt idx="5">
                  <c:v>4.4995628076858711</c:v>
                </c:pt>
                <c:pt idx="6">
                  <c:v>-0.85518503948422753</c:v>
                </c:pt>
                <c:pt idx="7" formatCode="General">
                  <c:v>0</c:v>
                </c:pt>
              </c:numCache>
            </c:numRef>
          </c:xVal>
          <c:yVal>
            <c:numRef>
              <c:f>'fase 2 '!$B$49:$B$56</c:f>
              <c:numCache>
                <c:formatCode>General</c:formatCode>
                <c:ptCount val="8"/>
                <c:pt idx="0">
                  <c:v>1029</c:v>
                </c:pt>
                <c:pt idx="1">
                  <c:v>1029</c:v>
                </c:pt>
                <c:pt idx="2">
                  <c:v>779</c:v>
                </c:pt>
                <c:pt idx="3">
                  <c:v>779</c:v>
                </c:pt>
                <c:pt idx="4">
                  <c:v>779</c:v>
                </c:pt>
                <c:pt idx="5">
                  <c:v>779</c:v>
                </c:pt>
                <c:pt idx="6">
                  <c:v>-1071</c:v>
                </c:pt>
                <c:pt idx="7">
                  <c:v>-1071</c:v>
                </c:pt>
              </c:numCache>
            </c:numRef>
          </c:yVal>
          <c:smooth val="0"/>
          <c:extLst xmlns:c15="http://schemas.microsoft.com/office/drawing/2012/chart">
            <c:ext xmlns:c16="http://schemas.microsoft.com/office/drawing/2014/chart" uri="{C3380CC4-5D6E-409C-BE32-E72D297353CC}">
              <c16:uniqueId val="{00000003-1375-499A-A137-560F28496882}"/>
            </c:ext>
          </c:extLst>
        </c:ser>
        <c:dLbls>
          <c:showLegendKey val="0"/>
          <c:showVal val="1"/>
          <c:showCatName val="0"/>
          <c:showSerName val="0"/>
          <c:showPercent val="0"/>
          <c:showBubbleSize val="0"/>
        </c:dLbls>
        <c:axId val="1216558543"/>
        <c:axId val="930664287"/>
        <c:extLst/>
      </c:scatterChart>
      <c:valAx>
        <c:axId val="121655854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0664287"/>
        <c:crosses val="autoZero"/>
        <c:crossBetween val="midCat"/>
      </c:valAx>
      <c:valAx>
        <c:axId val="9306642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low"/>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6558543"/>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200" b="1"/>
              <a:t>perdite </a:t>
            </a:r>
            <a:r>
              <a:rPr lang="en-GB" sz="1200" b="1" baseline="0"/>
              <a:t>- fase 2</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fase 2</c:v>
          </c:tx>
          <c:spPr>
            <a:ln w="19050" cap="rnd">
              <a:solidFill>
                <a:schemeClr val="accent1"/>
              </a:solidFill>
              <a:round/>
            </a:ln>
            <a:effectLst/>
          </c:spPr>
          <c:marker>
            <c:symbol val="circle"/>
            <c:size val="5"/>
            <c:spPr>
              <a:solidFill>
                <a:schemeClr val="accent1"/>
              </a:solidFill>
              <a:ln w="9525">
                <a:solidFill>
                  <a:schemeClr val="accent1"/>
                </a:solidFill>
              </a:ln>
              <a:effectLst/>
            </c:spPr>
          </c:marker>
          <c:dLbls>
            <c:dLbl>
              <c:idx val="3"/>
              <c:layout>
                <c:manualLayout>
                  <c:x val="-1.3064699269717126E-16"/>
                  <c:y val="5.3125010167188076E-2"/>
                </c:manualLayout>
              </c:layout>
              <c:showLegendKey val="0"/>
              <c:showVal val="0"/>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1288-473D-8F32-D605F9D1B827}"/>
                </c:ext>
              </c:extLst>
            </c:dLbl>
            <c:dLbl>
              <c:idx val="4"/>
              <c:delete val="1"/>
              <c:extLst>
                <c:ext xmlns:c15="http://schemas.microsoft.com/office/drawing/2012/chart" uri="{CE6537A1-D6FC-4f65-9D91-7224C49458BB}"/>
                <c:ext xmlns:c16="http://schemas.microsoft.com/office/drawing/2014/chart" uri="{C3380CC4-5D6E-409C-BE32-E72D297353CC}">
                  <c16:uniqueId val="{00000001-1288-473D-8F32-D605F9D1B827}"/>
                </c:ext>
              </c:extLst>
            </c:dLbl>
            <c:dLbl>
              <c:idx val="5"/>
              <c:delete val="1"/>
              <c:extLst>
                <c:ext xmlns:c15="http://schemas.microsoft.com/office/drawing/2012/chart" uri="{CE6537A1-D6FC-4f65-9D91-7224C49458BB}"/>
                <c:ext xmlns:c16="http://schemas.microsoft.com/office/drawing/2014/chart" uri="{C3380CC4-5D6E-409C-BE32-E72D297353CC}">
                  <c16:uniqueId val="{00000002-1288-473D-8F32-D605F9D1B82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0"/>
            <c:showBubbleSize val="0"/>
            <c:showLeaderLines val="0"/>
            <c:extLst xmlns:c15="http://schemas.microsoft.com/office/drawing/2012/chart">
              <c:ext xmlns:c15="http://schemas.microsoft.com/office/drawing/2012/chart" uri="{CE6537A1-D6FC-4f65-9D91-7224C49458BB}">
                <c15:showLeaderLines val="0"/>
              </c:ext>
            </c:extLst>
          </c:dLbls>
          <c:xVal>
            <c:numRef>
              <c:f>'fase 2 '!$F$49:$F$56</c:f>
              <c:numCache>
                <c:formatCode>0.00</c:formatCode>
                <c:ptCount val="8"/>
                <c:pt idx="0" formatCode="General">
                  <c:v>0</c:v>
                </c:pt>
                <c:pt idx="1">
                  <c:v>3.015577489313824E-2</c:v>
                </c:pt>
                <c:pt idx="2" formatCode="0.00000">
                  <c:v>-1.4357530967913729E-2</c:v>
                </c:pt>
                <c:pt idx="3" formatCode="General">
                  <c:v>0</c:v>
                </c:pt>
                <c:pt idx="4" formatCode="General">
                  <c:v>0</c:v>
                </c:pt>
                <c:pt idx="5" formatCode="0.0000">
                  <c:v>-1.5100018944520788E-2</c:v>
                </c:pt>
                <c:pt idx="6">
                  <c:v>-0.36153305456364848</c:v>
                </c:pt>
                <c:pt idx="7" formatCode="General">
                  <c:v>0</c:v>
                </c:pt>
              </c:numCache>
            </c:numRef>
          </c:xVal>
          <c:yVal>
            <c:numRef>
              <c:f>'fase 2 '!$B$49:$B$56</c:f>
              <c:numCache>
                <c:formatCode>General</c:formatCode>
                <c:ptCount val="8"/>
                <c:pt idx="0">
                  <c:v>1029</c:v>
                </c:pt>
                <c:pt idx="1">
                  <c:v>1029</c:v>
                </c:pt>
                <c:pt idx="2">
                  <c:v>779</c:v>
                </c:pt>
                <c:pt idx="3">
                  <c:v>779</c:v>
                </c:pt>
                <c:pt idx="4">
                  <c:v>779</c:v>
                </c:pt>
                <c:pt idx="5">
                  <c:v>779</c:v>
                </c:pt>
                <c:pt idx="6">
                  <c:v>-1071</c:v>
                </c:pt>
                <c:pt idx="7">
                  <c:v>-1071</c:v>
                </c:pt>
              </c:numCache>
            </c:numRef>
          </c:yVal>
          <c:smooth val="0"/>
          <c:extLst xmlns:c15="http://schemas.microsoft.com/office/drawing/2012/chart">
            <c:ext xmlns:c16="http://schemas.microsoft.com/office/drawing/2014/chart" uri="{C3380CC4-5D6E-409C-BE32-E72D297353CC}">
              <c16:uniqueId val="{00000003-1288-473D-8F32-D605F9D1B827}"/>
            </c:ext>
          </c:extLst>
        </c:ser>
        <c:dLbls>
          <c:showLegendKey val="0"/>
          <c:showVal val="1"/>
          <c:showCatName val="0"/>
          <c:showSerName val="0"/>
          <c:showPercent val="0"/>
          <c:showBubbleSize val="0"/>
        </c:dLbls>
        <c:axId val="1216558543"/>
        <c:axId val="930664287"/>
        <c:extLst/>
      </c:scatterChart>
      <c:valAx>
        <c:axId val="121655854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0664287"/>
        <c:crosses val="autoZero"/>
        <c:crossBetween val="midCat"/>
      </c:valAx>
      <c:valAx>
        <c:axId val="9306642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low"/>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6558543"/>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tensione cls - fase 2</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fase 2</c:v>
          </c:tx>
          <c:spPr>
            <a:ln w="19050" cap="rnd">
              <a:solidFill>
                <a:srgbClr val="FF0000"/>
              </a:solidFill>
              <a:round/>
            </a:ln>
            <a:effectLst/>
          </c:spPr>
          <c:marker>
            <c:symbol val="circle"/>
            <c:size val="5"/>
            <c:spPr>
              <a:solidFill>
                <a:srgbClr val="FF0000"/>
              </a:solidFill>
              <a:ln w="9525">
                <a:solidFill>
                  <a:schemeClr val="tx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1"/>
            <c:showSerName val="0"/>
            <c:showPercent val="0"/>
            <c:showBubbleSize val="0"/>
            <c:showLeaderLines val="0"/>
            <c:extLst xmlns:c15="http://schemas.microsoft.com/office/drawing/2012/chart">
              <c:ext xmlns:c15="http://schemas.microsoft.com/office/drawing/2012/chart" uri="{CE6537A1-D6FC-4f65-9D91-7224C49458BB}">
                <c15:showLeaderLines val="0"/>
              </c:ext>
            </c:extLst>
          </c:dLbls>
          <c:xVal>
            <c:numRef>
              <c:f>'fase 2 '!$G$49:$G$56</c:f>
              <c:numCache>
                <c:formatCode>0.00</c:formatCode>
                <c:ptCount val="8"/>
                <c:pt idx="0">
                  <c:v>0</c:v>
                </c:pt>
                <c:pt idx="1">
                  <c:v>-0.96714141439677537</c:v>
                </c:pt>
                <c:pt idx="2">
                  <c:v>-2.0069151900967528</c:v>
                </c:pt>
                <c:pt idx="3">
                  <c:v>0.76642872653794947</c:v>
                </c:pt>
                <c:pt idx="4">
                  <c:v>0.76642872653794947</c:v>
                </c:pt>
                <c:pt idx="5">
                  <c:v>13.675029973800935</c:v>
                </c:pt>
                <c:pt idx="6">
                  <c:v>5.1787577411405481</c:v>
                </c:pt>
                <c:pt idx="7">
                  <c:v>0</c:v>
                </c:pt>
              </c:numCache>
            </c:numRef>
          </c:xVal>
          <c:yVal>
            <c:numRef>
              <c:f>'fase 2 '!$B$49:$B$56</c:f>
              <c:numCache>
                <c:formatCode>General</c:formatCode>
                <c:ptCount val="8"/>
                <c:pt idx="0">
                  <c:v>1029</c:v>
                </c:pt>
                <c:pt idx="1">
                  <c:v>1029</c:v>
                </c:pt>
                <c:pt idx="2">
                  <c:v>779</c:v>
                </c:pt>
                <c:pt idx="3">
                  <c:v>779</c:v>
                </c:pt>
                <c:pt idx="4">
                  <c:v>779</c:v>
                </c:pt>
                <c:pt idx="5">
                  <c:v>779</c:v>
                </c:pt>
                <c:pt idx="6">
                  <c:v>-1071</c:v>
                </c:pt>
                <c:pt idx="7">
                  <c:v>-1071</c:v>
                </c:pt>
              </c:numCache>
            </c:numRef>
          </c:yVal>
          <c:smooth val="0"/>
          <c:extLst xmlns:c15="http://schemas.microsoft.com/office/drawing/2012/chart">
            <c:ext xmlns:c16="http://schemas.microsoft.com/office/drawing/2014/chart" uri="{C3380CC4-5D6E-409C-BE32-E72D297353CC}">
              <c16:uniqueId val="{00000000-F952-46F0-AF49-7F2934AABDFC}"/>
            </c:ext>
          </c:extLst>
        </c:ser>
        <c:dLbls>
          <c:dLblPos val="t"/>
          <c:showLegendKey val="0"/>
          <c:showVal val="1"/>
          <c:showCatName val="0"/>
          <c:showSerName val="0"/>
          <c:showPercent val="0"/>
          <c:showBubbleSize val="0"/>
        </c:dLbls>
        <c:axId val="1216558543"/>
        <c:axId val="930664287"/>
        <c:extLst/>
      </c:scatterChart>
      <c:valAx>
        <c:axId val="1216558543"/>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0664287"/>
        <c:crosses val="autoZero"/>
        <c:crossBetween val="midCat"/>
      </c:valAx>
      <c:valAx>
        <c:axId val="9306642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low"/>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6558543"/>
        <c:crosses val="autoZero"/>
        <c:crossBetween val="midCat"/>
      </c:valAx>
      <c:spPr>
        <a:noFill/>
        <a:ln>
          <a:noFill/>
        </a:ln>
        <a:effectLst/>
      </c:spPr>
    </c:plotArea>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200" b="1"/>
              <a:t>Accidentale </a:t>
            </a:r>
            <a:r>
              <a:rPr lang="en-GB" sz="1200" b="1" baseline="0"/>
              <a:t>- fase 3</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fase 3</c:v>
          </c:tx>
          <c:spPr>
            <a:ln w="19050"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0"/>
            <c:showBubbleSize val="0"/>
            <c:showLeaderLines val="0"/>
            <c:extLst xmlns:c15="http://schemas.microsoft.com/office/drawing/2012/chart">
              <c:ext xmlns:c15="http://schemas.microsoft.com/office/drawing/2012/chart" uri="{CE6537A1-D6FC-4f65-9D91-7224C49458BB}">
                <c15:showLeaderLines val="0"/>
              </c:ext>
            </c:extLst>
          </c:dLbls>
          <c:xVal>
            <c:numRef>
              <c:f>'fase 3'!$D$30:$D$37</c:f>
              <c:numCache>
                <c:formatCode>0.00</c:formatCode>
                <c:ptCount val="8"/>
                <c:pt idx="0" formatCode="General">
                  <c:v>0</c:v>
                </c:pt>
                <c:pt idx="1">
                  <c:v>2.7521871987214745</c:v>
                </c:pt>
                <c:pt idx="2">
                  <c:v>1.9359988242489139</c:v>
                </c:pt>
                <c:pt idx="3">
                  <c:v>0</c:v>
                </c:pt>
                <c:pt idx="4">
                  <c:v>2.0361174207501271</c:v>
                </c:pt>
                <c:pt idx="5">
                  <c:v>2.0361174207501271</c:v>
                </c:pt>
                <c:pt idx="6">
                  <c:v>-4.3160195579812983</c:v>
                </c:pt>
                <c:pt idx="7">
                  <c:v>0</c:v>
                </c:pt>
              </c:numCache>
            </c:numRef>
          </c:xVal>
          <c:yVal>
            <c:numRef>
              <c:f>'fase 3'!$B$30:$B$37</c:f>
              <c:numCache>
                <c:formatCode>General</c:formatCode>
                <c:ptCount val="8"/>
                <c:pt idx="0">
                  <c:v>1029</c:v>
                </c:pt>
                <c:pt idx="1">
                  <c:v>1029</c:v>
                </c:pt>
                <c:pt idx="2">
                  <c:v>779</c:v>
                </c:pt>
                <c:pt idx="3">
                  <c:v>779</c:v>
                </c:pt>
                <c:pt idx="4">
                  <c:v>779</c:v>
                </c:pt>
                <c:pt idx="5">
                  <c:v>779</c:v>
                </c:pt>
                <c:pt idx="6">
                  <c:v>-1071</c:v>
                </c:pt>
                <c:pt idx="7">
                  <c:v>-1071</c:v>
                </c:pt>
              </c:numCache>
            </c:numRef>
          </c:yVal>
          <c:smooth val="0"/>
          <c:extLst xmlns:c15="http://schemas.microsoft.com/office/drawing/2012/chart">
            <c:ext xmlns:c16="http://schemas.microsoft.com/office/drawing/2014/chart" uri="{C3380CC4-5D6E-409C-BE32-E72D297353CC}">
              <c16:uniqueId val="{00000003-E05F-44E5-A413-88A9F34D4869}"/>
            </c:ext>
          </c:extLst>
        </c:ser>
        <c:dLbls>
          <c:showLegendKey val="0"/>
          <c:showVal val="1"/>
          <c:showCatName val="0"/>
          <c:showSerName val="0"/>
          <c:showPercent val="0"/>
          <c:showBubbleSize val="0"/>
        </c:dLbls>
        <c:axId val="1216558543"/>
        <c:axId val="930664287"/>
        <c:extLst/>
      </c:scatterChart>
      <c:valAx>
        <c:axId val="121655854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0664287"/>
        <c:crosses val="autoZero"/>
        <c:crossBetween val="midCat"/>
      </c:valAx>
      <c:valAx>
        <c:axId val="9306642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low"/>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6558543"/>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Tensioni totale - fase 3</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fase 3</c:v>
          </c:tx>
          <c:spPr>
            <a:ln w="19050" cap="rnd">
              <a:solidFill>
                <a:srgbClr val="FF0000"/>
              </a:solidFill>
              <a:round/>
            </a:ln>
            <a:effectLst/>
          </c:spPr>
          <c:marker>
            <c:symbol val="circle"/>
            <c:size val="5"/>
            <c:spPr>
              <a:solidFill>
                <a:srgbClr val="FF0000"/>
              </a:solidFill>
              <a:ln w="9525">
                <a:solidFill>
                  <a:schemeClr val="tx1"/>
                </a:solidFill>
              </a:ln>
              <a:effectLst/>
            </c:spPr>
          </c:marker>
          <c:dLbls>
            <c:dLbl>
              <c:idx val="1"/>
              <c:layout>
                <c:manualLayout>
                  <c:x val="1.7574006812926056E-3"/>
                  <c:y val="-3.5986692715084881E-2"/>
                </c:manualLayout>
              </c:layout>
              <c:dLblPos val="r"/>
              <c:showLegendKey val="0"/>
              <c:showVal val="0"/>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26E8-4530-80B9-A16AB2BBFF8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1"/>
            <c:showSerName val="0"/>
            <c:showPercent val="0"/>
            <c:showBubbleSize val="0"/>
            <c:showLeaderLines val="0"/>
            <c:extLst xmlns:c15="http://schemas.microsoft.com/office/drawing/2012/chart">
              <c:ext xmlns:c15="http://schemas.microsoft.com/office/drawing/2012/chart" uri="{CE6537A1-D6FC-4f65-9D91-7224C49458BB}">
                <c15:showLeaderLines val="0"/>
              </c:ext>
            </c:extLst>
          </c:dLbls>
          <c:xVal>
            <c:numRef>
              <c:f>'fase 3'!$E$30:$E$37</c:f>
              <c:numCache>
                <c:formatCode>0.00</c:formatCode>
                <c:ptCount val="8"/>
                <c:pt idx="0">
                  <c:v>0</c:v>
                </c:pt>
                <c:pt idx="1">
                  <c:v>1.7850457843246992</c:v>
                </c:pt>
                <c:pt idx="2">
                  <c:v>-7.0916365847838891E-2</c:v>
                </c:pt>
                <c:pt idx="3">
                  <c:v>0.76642872653794947</c:v>
                </c:pt>
                <c:pt idx="4">
                  <c:v>2.8025461472880764</c:v>
                </c:pt>
                <c:pt idx="5">
                  <c:v>15.711147394551062</c:v>
                </c:pt>
                <c:pt idx="6">
                  <c:v>0.86273818315924977</c:v>
                </c:pt>
                <c:pt idx="7">
                  <c:v>0</c:v>
                </c:pt>
              </c:numCache>
            </c:numRef>
          </c:xVal>
          <c:yVal>
            <c:numRef>
              <c:f>'fase 3'!$B$30:$B$37</c:f>
              <c:numCache>
                <c:formatCode>General</c:formatCode>
                <c:ptCount val="8"/>
                <c:pt idx="0">
                  <c:v>1029</c:v>
                </c:pt>
                <c:pt idx="1">
                  <c:v>1029</c:v>
                </c:pt>
                <c:pt idx="2">
                  <c:v>779</c:v>
                </c:pt>
                <c:pt idx="3">
                  <c:v>779</c:v>
                </c:pt>
                <c:pt idx="4">
                  <c:v>779</c:v>
                </c:pt>
                <c:pt idx="5">
                  <c:v>779</c:v>
                </c:pt>
                <c:pt idx="6">
                  <c:v>-1071</c:v>
                </c:pt>
                <c:pt idx="7">
                  <c:v>-1071</c:v>
                </c:pt>
              </c:numCache>
            </c:numRef>
          </c:yVal>
          <c:smooth val="0"/>
          <c:extLst xmlns:c15="http://schemas.microsoft.com/office/drawing/2012/chart">
            <c:ext xmlns:c16="http://schemas.microsoft.com/office/drawing/2014/chart" uri="{C3380CC4-5D6E-409C-BE32-E72D297353CC}">
              <c16:uniqueId val="{00000000-F952-46F0-AF49-7F2934AABDFC}"/>
            </c:ext>
          </c:extLst>
        </c:ser>
        <c:dLbls>
          <c:dLblPos val="t"/>
          <c:showLegendKey val="0"/>
          <c:showVal val="1"/>
          <c:showCatName val="0"/>
          <c:showSerName val="0"/>
          <c:showPercent val="0"/>
          <c:showBubbleSize val="0"/>
        </c:dLbls>
        <c:axId val="1216558543"/>
        <c:axId val="930664287"/>
        <c:extLst/>
      </c:scatterChart>
      <c:valAx>
        <c:axId val="1216558543"/>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0664287"/>
        <c:crosses val="autoZero"/>
        <c:crossBetween val="midCat"/>
      </c:valAx>
      <c:valAx>
        <c:axId val="9306642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low"/>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6558543"/>
        <c:crosses val="autoZero"/>
        <c:crossBetween val="midCat"/>
      </c:valAx>
      <c:spPr>
        <a:noFill/>
        <a:ln>
          <a:noFill/>
        </a:ln>
        <a:effectLst/>
      </c:spPr>
    </c:plotArea>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200" b="1"/>
              <a:t>Tensione totale </a:t>
            </a:r>
            <a:r>
              <a:rPr lang="en-GB" sz="1200" b="1" baseline="0"/>
              <a:t>- fase 2</a:t>
            </a:r>
          </a:p>
        </c:rich>
      </c:tx>
      <c:layout>
        <c:manualLayout>
          <c:xMode val="edge"/>
          <c:yMode val="edge"/>
          <c:x val="0.28701679158974186"/>
          <c:y val="2.592592760610010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fase 2</c:v>
          </c:tx>
          <c:spPr>
            <a:ln w="19050"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0"/>
            <c:showBubbleSize val="0"/>
            <c:showLeaderLines val="0"/>
            <c:extLst xmlns:c15="http://schemas.microsoft.com/office/drawing/2012/chart">
              <c:ext xmlns:c15="http://schemas.microsoft.com/office/drawing/2012/chart" uri="{CE6537A1-D6FC-4f65-9D91-7224C49458BB}">
                <c15:showLeaderLines val="0"/>
              </c:ext>
            </c:extLst>
          </c:dLbls>
          <c:xVal>
            <c:numRef>
              <c:f>'fase 3'!$C$30:$C$37</c:f>
              <c:numCache>
                <c:formatCode>0.00</c:formatCode>
                <c:ptCount val="8"/>
                <c:pt idx="0">
                  <c:v>0</c:v>
                </c:pt>
                <c:pt idx="1">
                  <c:v>-0.96714141439677537</c:v>
                </c:pt>
                <c:pt idx="2">
                  <c:v>-2.0069151900967528</c:v>
                </c:pt>
                <c:pt idx="3">
                  <c:v>0.76642872653794947</c:v>
                </c:pt>
                <c:pt idx="4">
                  <c:v>0.76642872653794947</c:v>
                </c:pt>
                <c:pt idx="5">
                  <c:v>13.675029973800935</c:v>
                </c:pt>
                <c:pt idx="6">
                  <c:v>5.1787577411405481</c:v>
                </c:pt>
                <c:pt idx="7">
                  <c:v>0</c:v>
                </c:pt>
              </c:numCache>
            </c:numRef>
          </c:xVal>
          <c:yVal>
            <c:numRef>
              <c:f>'fase 3'!$B$30:$B$37</c:f>
              <c:numCache>
                <c:formatCode>General</c:formatCode>
                <c:ptCount val="8"/>
                <c:pt idx="0">
                  <c:v>1029</c:v>
                </c:pt>
                <c:pt idx="1">
                  <c:v>1029</c:v>
                </c:pt>
                <c:pt idx="2">
                  <c:v>779</c:v>
                </c:pt>
                <c:pt idx="3">
                  <c:v>779</c:v>
                </c:pt>
                <c:pt idx="4">
                  <c:v>779</c:v>
                </c:pt>
                <c:pt idx="5">
                  <c:v>779</c:v>
                </c:pt>
                <c:pt idx="6">
                  <c:v>-1071</c:v>
                </c:pt>
                <c:pt idx="7">
                  <c:v>-1071</c:v>
                </c:pt>
              </c:numCache>
            </c:numRef>
          </c:yVal>
          <c:smooth val="0"/>
          <c:extLst xmlns:c15="http://schemas.microsoft.com/office/drawing/2012/chart">
            <c:ext xmlns:c16="http://schemas.microsoft.com/office/drawing/2014/chart" uri="{C3380CC4-5D6E-409C-BE32-E72D297353CC}">
              <c16:uniqueId val="{00000000-ACD2-4947-9A42-834D8A1DF5E1}"/>
            </c:ext>
          </c:extLst>
        </c:ser>
        <c:dLbls>
          <c:showLegendKey val="0"/>
          <c:showVal val="1"/>
          <c:showCatName val="0"/>
          <c:showSerName val="0"/>
          <c:showPercent val="0"/>
          <c:showBubbleSize val="0"/>
        </c:dLbls>
        <c:axId val="1216558543"/>
        <c:axId val="930664287"/>
        <c:extLst/>
      </c:scatterChart>
      <c:valAx>
        <c:axId val="1216558543"/>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0664287"/>
        <c:crosses val="autoZero"/>
        <c:crossBetween val="midCat"/>
      </c:valAx>
      <c:valAx>
        <c:axId val="9306642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low"/>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6558543"/>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[1]SOLETTA!$H$125</c:f>
              <c:strCache>
                <c:ptCount val="1"/>
                <c:pt idx="0">
                  <c:v>εc0</c:v>
                </c:pt>
              </c:strCache>
            </c:strRef>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exp"/>
            <c:dispRSqr val="0"/>
            <c:dispEq val="0"/>
          </c:trendline>
          <c:trendline>
            <c:spPr>
              <a:ln w="19050" cap="rnd">
                <a:solidFill>
                  <a:schemeClr val="accent1"/>
                </a:solidFill>
                <a:prstDash val="sysDot"/>
              </a:ln>
              <a:effectLst/>
            </c:spPr>
            <c:trendlineType val="exp"/>
            <c:dispRSqr val="0"/>
            <c:dispEq val="1"/>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[1]SOLETTA!$G$126:$G$129</c:f>
              <c:numCache>
                <c:formatCode>General</c:formatCode>
                <c:ptCount val="4"/>
                <c:pt idx="0">
                  <c:v>20</c:v>
                </c:pt>
                <c:pt idx="1">
                  <c:v>40</c:v>
                </c:pt>
                <c:pt idx="2">
                  <c:v>60</c:v>
                </c:pt>
                <c:pt idx="3">
                  <c:v>80</c:v>
                </c:pt>
              </c:numCache>
            </c:numRef>
          </c:xVal>
          <c:yVal>
            <c:numRef>
              <c:f>[1]SOLETTA!$H$126:$H$129</c:f>
              <c:numCache>
                <c:formatCode>General</c:formatCode>
                <c:ptCount val="4"/>
                <c:pt idx="0">
                  <c:v>0.3</c:v>
                </c:pt>
                <c:pt idx="1">
                  <c:v>0.24</c:v>
                </c:pt>
                <c:pt idx="2">
                  <c:v>0.19</c:v>
                </c:pt>
                <c:pt idx="3">
                  <c:v>0.15</c:v>
                </c:pt>
              </c:numCache>
            </c:numRef>
          </c:yVal>
          <c:smooth val="0"/>
          <c:extLst>
            <c:ext xmlns:c16="http://schemas.microsoft.com/office/drawing/2014/chart" uri="{C3380CC4-5D6E-409C-BE32-E72D297353CC}">
              <c16:uniqueId val="{00000000-6D26-4B2B-8688-603A29AACDD3}"/>
            </c:ext>
          </c:extLst>
        </c:ser>
        <c:dLbls>
          <c:showLegendKey val="0"/>
          <c:showVal val="0"/>
          <c:showCatName val="0"/>
          <c:showSerName val="0"/>
          <c:showPercent val="0"/>
          <c:showBubbleSize val="0"/>
        </c:dLbls>
        <c:axId val="1243364543"/>
        <c:axId val="1243367455"/>
      </c:scatterChart>
      <c:valAx>
        <c:axId val="124336454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3367455"/>
        <c:crosses val="autoZero"/>
        <c:crossBetween val="midCat"/>
      </c:valAx>
      <c:valAx>
        <c:axId val="12433674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3364543"/>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[1]SOLETTA!$H$131</c:f>
              <c:strCache>
                <c:ptCount val="1"/>
                <c:pt idx="0">
                  <c:v>Kh</c:v>
                </c:pt>
              </c:strCache>
            </c:strRef>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2"/>
            <c:dispRSqr val="0"/>
            <c:dispEq val="1"/>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[1]SOLETTA!$G$132:$G$135</c:f>
              <c:numCache>
                <c:formatCode>General</c:formatCode>
                <c:ptCount val="4"/>
                <c:pt idx="0">
                  <c:v>100</c:v>
                </c:pt>
                <c:pt idx="1">
                  <c:v>200</c:v>
                </c:pt>
                <c:pt idx="2">
                  <c:v>300</c:v>
                </c:pt>
                <c:pt idx="3">
                  <c:v>500</c:v>
                </c:pt>
              </c:numCache>
            </c:numRef>
          </c:xVal>
          <c:yVal>
            <c:numRef>
              <c:f>[1]SOLETTA!$H$132:$H$135</c:f>
              <c:numCache>
                <c:formatCode>General</c:formatCode>
                <c:ptCount val="4"/>
                <c:pt idx="0">
                  <c:v>1</c:v>
                </c:pt>
                <c:pt idx="1">
                  <c:v>0.85</c:v>
                </c:pt>
                <c:pt idx="2">
                  <c:v>0.75</c:v>
                </c:pt>
                <c:pt idx="3">
                  <c:v>0.7</c:v>
                </c:pt>
              </c:numCache>
            </c:numRef>
          </c:yVal>
          <c:smooth val="0"/>
          <c:extLst>
            <c:ext xmlns:c16="http://schemas.microsoft.com/office/drawing/2014/chart" uri="{C3380CC4-5D6E-409C-BE32-E72D297353CC}">
              <c16:uniqueId val="{00000000-52FA-4FEB-B671-CB7611881AE8}"/>
            </c:ext>
          </c:extLst>
        </c:ser>
        <c:dLbls>
          <c:showLegendKey val="0"/>
          <c:showVal val="0"/>
          <c:showCatName val="0"/>
          <c:showSerName val="0"/>
          <c:showPercent val="0"/>
          <c:showBubbleSize val="0"/>
        </c:dLbls>
        <c:axId val="1398380367"/>
        <c:axId val="1398379119"/>
      </c:scatterChart>
      <c:valAx>
        <c:axId val="139838036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8379119"/>
        <c:crosses val="autoZero"/>
        <c:crossBetween val="midCat"/>
      </c:valAx>
      <c:valAx>
        <c:axId val="13983791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8380367"/>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Dominio Mrd -</a:t>
            </a:r>
            <a:r>
              <a:rPr lang="en-GB" baseline="0"/>
              <a:t> Nrd</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Dominio con armature lateriali e sup.</c:v>
          </c:tx>
          <c:spPr>
            <a:ln w="19050" cap="rnd">
              <a:solidFill>
                <a:schemeClr val="accent1"/>
              </a:solidFill>
              <a:round/>
            </a:ln>
            <a:effectLst/>
          </c:spPr>
          <c:marker>
            <c:symbol val="none"/>
          </c:marker>
          <c:xVal>
            <c:numRef>
              <c:f>dominio!$A$4:$A$744</c:f>
              <c:numCache>
                <c:formatCode>General</c:formatCode>
                <c:ptCount val="741"/>
                <c:pt idx="0">
                  <c:v>-15003</c:v>
                </c:pt>
                <c:pt idx="1">
                  <c:v>-15003</c:v>
                </c:pt>
                <c:pt idx="2">
                  <c:v>-15003</c:v>
                </c:pt>
                <c:pt idx="3">
                  <c:v>-15003</c:v>
                </c:pt>
                <c:pt idx="4">
                  <c:v>-14104.5</c:v>
                </c:pt>
                <c:pt idx="5">
                  <c:v>-12328.2</c:v>
                </c:pt>
                <c:pt idx="6">
                  <c:v>-10560.9</c:v>
                </c:pt>
                <c:pt idx="7">
                  <c:v>-8944.32</c:v>
                </c:pt>
                <c:pt idx="8">
                  <c:v>-5433.67</c:v>
                </c:pt>
                <c:pt idx="9">
                  <c:v>1924.43</c:v>
                </c:pt>
                <c:pt idx="10">
                  <c:v>2977.61</c:v>
                </c:pt>
                <c:pt idx="11">
                  <c:v>6863.5</c:v>
                </c:pt>
                <c:pt idx="12">
                  <c:v>12694.3</c:v>
                </c:pt>
                <c:pt idx="13">
                  <c:v>14867.6</c:v>
                </c:pt>
                <c:pt idx="14">
                  <c:v>17676</c:v>
                </c:pt>
                <c:pt idx="15">
                  <c:v>22483.5</c:v>
                </c:pt>
                <c:pt idx="16">
                  <c:v>26979.4</c:v>
                </c:pt>
                <c:pt idx="17">
                  <c:v>30018.3</c:v>
                </c:pt>
                <c:pt idx="18">
                  <c:v>31600.3</c:v>
                </c:pt>
                <c:pt idx="19">
                  <c:v>31600.3</c:v>
                </c:pt>
                <c:pt idx="20">
                  <c:v>31127.5</c:v>
                </c:pt>
                <c:pt idx="21">
                  <c:v>27603.200000000001</c:v>
                </c:pt>
                <c:pt idx="22">
                  <c:v>21027.4</c:v>
                </c:pt>
                <c:pt idx="23">
                  <c:v>15671.8</c:v>
                </c:pt>
                <c:pt idx="24">
                  <c:v>14161.2</c:v>
                </c:pt>
                <c:pt idx="25">
                  <c:v>13072.3</c:v>
                </c:pt>
                <c:pt idx="26">
                  <c:v>10822.7</c:v>
                </c:pt>
                <c:pt idx="27">
                  <c:v>9910.3799999999992</c:v>
                </c:pt>
                <c:pt idx="28">
                  <c:v>9387.5499999999993</c:v>
                </c:pt>
                <c:pt idx="29">
                  <c:v>7424.79</c:v>
                </c:pt>
                <c:pt idx="30">
                  <c:v>7537.07</c:v>
                </c:pt>
                <c:pt idx="31">
                  <c:v>7489.57</c:v>
                </c:pt>
                <c:pt idx="32">
                  <c:v>6826.66</c:v>
                </c:pt>
                <c:pt idx="33">
                  <c:v>5833.98</c:v>
                </c:pt>
                <c:pt idx="34">
                  <c:v>4875.66</c:v>
                </c:pt>
                <c:pt idx="35">
                  <c:v>-15003</c:v>
                </c:pt>
                <c:pt idx="36">
                  <c:v>-15003</c:v>
                </c:pt>
                <c:pt idx="37">
                  <c:v>-15003</c:v>
                </c:pt>
              </c:numCache>
            </c:numRef>
          </c:xVal>
          <c:yVal>
            <c:numRef>
              <c:f>dominio!$B$4:$B$744</c:f>
              <c:numCache>
                <c:formatCode>General</c:formatCode>
                <c:ptCount val="741"/>
                <c:pt idx="0">
                  <c:v>12868.2</c:v>
                </c:pt>
                <c:pt idx="1">
                  <c:v>12868.2</c:v>
                </c:pt>
                <c:pt idx="2">
                  <c:v>12868.2</c:v>
                </c:pt>
                <c:pt idx="3">
                  <c:v>12868.2</c:v>
                </c:pt>
                <c:pt idx="4">
                  <c:v>13583.9</c:v>
                </c:pt>
                <c:pt idx="5">
                  <c:v>14966</c:v>
                </c:pt>
                <c:pt idx="6">
                  <c:v>16286.9</c:v>
                </c:pt>
                <c:pt idx="7">
                  <c:v>17443</c:v>
                </c:pt>
                <c:pt idx="8">
                  <c:v>19790.099999999999</c:v>
                </c:pt>
                <c:pt idx="9">
                  <c:v>23908.6</c:v>
                </c:pt>
                <c:pt idx="10">
                  <c:v>24212.3</c:v>
                </c:pt>
                <c:pt idx="11">
                  <c:v>21605.200000000001</c:v>
                </c:pt>
                <c:pt idx="12">
                  <c:v>18300.7</c:v>
                </c:pt>
                <c:pt idx="13">
                  <c:v>16951.400000000001</c:v>
                </c:pt>
                <c:pt idx="14">
                  <c:v>14929.4</c:v>
                </c:pt>
                <c:pt idx="15">
                  <c:v>10563.8</c:v>
                </c:pt>
                <c:pt idx="16">
                  <c:v>5692.73</c:v>
                </c:pt>
                <c:pt idx="17">
                  <c:v>2383.11</c:v>
                </c:pt>
                <c:pt idx="18">
                  <c:v>634.90200000000004</c:v>
                </c:pt>
                <c:pt idx="19">
                  <c:v>634.90200000000004</c:v>
                </c:pt>
                <c:pt idx="20">
                  <c:v>-1485.57</c:v>
                </c:pt>
                <c:pt idx="21">
                  <c:v>-5569.88</c:v>
                </c:pt>
                <c:pt idx="22">
                  <c:v>-11618</c:v>
                </c:pt>
                <c:pt idx="23">
                  <c:v>-14387.8</c:v>
                </c:pt>
                <c:pt idx="24">
                  <c:v>-14618.2</c:v>
                </c:pt>
                <c:pt idx="25">
                  <c:v>-14619.4</c:v>
                </c:pt>
                <c:pt idx="26">
                  <c:v>-14286.7</c:v>
                </c:pt>
                <c:pt idx="27">
                  <c:v>-14048.7</c:v>
                </c:pt>
                <c:pt idx="28">
                  <c:v>-13950.1</c:v>
                </c:pt>
                <c:pt idx="29">
                  <c:v>-12916.8</c:v>
                </c:pt>
                <c:pt idx="30">
                  <c:v>-13034</c:v>
                </c:pt>
                <c:pt idx="31">
                  <c:v>-12946</c:v>
                </c:pt>
                <c:pt idx="32">
                  <c:v>-12132.8</c:v>
                </c:pt>
                <c:pt idx="33">
                  <c:v>-10924.6</c:v>
                </c:pt>
                <c:pt idx="34">
                  <c:v>-9787.93</c:v>
                </c:pt>
                <c:pt idx="35">
                  <c:v>12868.2</c:v>
                </c:pt>
                <c:pt idx="36">
                  <c:v>12868.2</c:v>
                </c:pt>
                <c:pt idx="37">
                  <c:v>12868.2</c:v>
                </c:pt>
              </c:numCache>
            </c:numRef>
          </c:yVal>
          <c:smooth val="0"/>
          <c:extLst>
            <c:ext xmlns:c16="http://schemas.microsoft.com/office/drawing/2014/chart" uri="{C3380CC4-5D6E-409C-BE32-E72D297353CC}">
              <c16:uniqueId val="{00000000-68F0-4AC5-AA90-E7F2034606B3}"/>
            </c:ext>
          </c:extLst>
        </c:ser>
        <c:ser>
          <c:idx val="2"/>
          <c:order val="2"/>
          <c:spPr>
            <a:ln w="25400" cap="rnd">
              <a:noFill/>
              <a:round/>
            </a:ln>
            <a:effectLst/>
          </c:spPr>
          <c:marker>
            <c:symbol val="circle"/>
            <c:size val="5"/>
            <c:spPr>
              <a:solidFill>
                <a:srgbClr val="FF0000"/>
              </a:solidFill>
              <a:ln w="9525">
                <a:solidFill>
                  <a:schemeClr val="tx1"/>
                </a:solidFill>
              </a:ln>
              <a:effectLst/>
            </c:spPr>
          </c:marker>
          <c:dPt>
            <c:idx val="0"/>
            <c:marker>
              <c:symbol val="circle"/>
              <c:size val="5"/>
              <c:spPr>
                <a:solidFill>
                  <a:srgbClr val="FF0000"/>
                </a:solidFill>
                <a:ln w="9525">
                  <a:solidFill>
                    <a:schemeClr val="tx1"/>
                  </a:solidFill>
                </a:ln>
                <a:effectLst/>
              </c:spPr>
            </c:marker>
            <c:bubble3D val="0"/>
            <c:extLst>
              <c:ext xmlns:c16="http://schemas.microsoft.com/office/drawing/2014/chart" uri="{C3380CC4-5D6E-409C-BE32-E72D297353CC}">
                <c16:uniqueId val="{00000003-68F0-4AC5-AA90-E7F2034606B3}"/>
              </c:ext>
            </c:extLst>
          </c:dPt>
          <c:xVal>
            <c:numRef>
              <c:f>'SLU ( M, V, T )'!$A$4:$A$98</c:f>
              <c:numCache>
                <c:formatCode>General</c:formatCode>
                <c:ptCount val="95"/>
                <c:pt idx="0">
                  <c:v>-445.69600000000003</c:v>
                </c:pt>
                <c:pt idx="1">
                  <c:v>-440.10199999999998</c:v>
                </c:pt>
                <c:pt idx="2">
                  <c:v>-438.74700000000001</c:v>
                </c:pt>
                <c:pt idx="3">
                  <c:v>-435.77199999999999</c:v>
                </c:pt>
                <c:pt idx="4">
                  <c:v>-434.41699999999997</c:v>
                </c:pt>
                <c:pt idx="5">
                  <c:v>-436.84199999999998</c:v>
                </c:pt>
                <c:pt idx="6">
                  <c:v>-435.48700000000002</c:v>
                </c:pt>
                <c:pt idx="7">
                  <c:v>-440.63200000000001</c:v>
                </c:pt>
                <c:pt idx="8">
                  <c:v>-439.27699999999999</c:v>
                </c:pt>
                <c:pt idx="9">
                  <c:v>-472.34899999999999</c:v>
                </c:pt>
                <c:pt idx="10">
                  <c:v>-470.99400000000003</c:v>
                </c:pt>
                <c:pt idx="11">
                  <c:v>-511.36399999999998</c:v>
                </c:pt>
                <c:pt idx="12">
                  <c:v>-510.00799999999998</c:v>
                </c:pt>
                <c:pt idx="13">
                  <c:v>-555.32500000000005</c:v>
                </c:pt>
                <c:pt idx="14">
                  <c:v>-553.97</c:v>
                </c:pt>
                <c:pt idx="15">
                  <c:v>-612.88199999999995</c:v>
                </c:pt>
                <c:pt idx="16">
                  <c:v>-611.62300000000005</c:v>
                </c:pt>
                <c:pt idx="17">
                  <c:v>-665.79899999999998</c:v>
                </c:pt>
                <c:pt idx="18">
                  <c:v>-664.54100000000005</c:v>
                </c:pt>
                <c:pt idx="19">
                  <c:v>-694.048</c:v>
                </c:pt>
                <c:pt idx="20">
                  <c:v>-692.79</c:v>
                </c:pt>
                <c:pt idx="21">
                  <c:v>-688.03</c:v>
                </c:pt>
                <c:pt idx="22">
                  <c:v>0</c:v>
                </c:pt>
              </c:numCache>
            </c:numRef>
          </c:xVal>
          <c:yVal>
            <c:numRef>
              <c:f>'SLU ( M, V, T )'!$B$4:$B$98</c:f>
              <c:numCache>
                <c:formatCode>General</c:formatCode>
                <c:ptCount val="95"/>
                <c:pt idx="0">
                  <c:v>7589.6098000000002</c:v>
                </c:pt>
                <c:pt idx="1">
                  <c:v>7594.0439999999999</c:v>
                </c:pt>
                <c:pt idx="2">
                  <c:v>7639.0111999999999</c:v>
                </c:pt>
                <c:pt idx="3">
                  <c:v>7639.7308999999996</c:v>
                </c:pt>
                <c:pt idx="4">
                  <c:v>7614.8609999999999</c:v>
                </c:pt>
                <c:pt idx="5">
                  <c:v>7611.3010000000004</c:v>
                </c:pt>
                <c:pt idx="6">
                  <c:v>7506.4072999999999</c:v>
                </c:pt>
                <c:pt idx="7">
                  <c:v>7499.1525000000001</c:v>
                </c:pt>
                <c:pt idx="8">
                  <c:v>7312.4957999999997</c:v>
                </c:pt>
                <c:pt idx="9">
                  <c:v>7301.8490000000002</c:v>
                </c:pt>
                <c:pt idx="10">
                  <c:v>7032.2272000000003</c:v>
                </c:pt>
                <c:pt idx="11">
                  <c:v>7017.5675000000001</c:v>
                </c:pt>
                <c:pt idx="12">
                  <c:v>6662.1553999999996</c:v>
                </c:pt>
                <c:pt idx="13">
                  <c:v>6644.4332000000004</c:v>
                </c:pt>
                <c:pt idx="14">
                  <c:v>6200.1124</c:v>
                </c:pt>
                <c:pt idx="15">
                  <c:v>6206.9584000000004</c:v>
                </c:pt>
                <c:pt idx="16">
                  <c:v>5599.0362999999998</c:v>
                </c:pt>
                <c:pt idx="17">
                  <c:v>5578.0245000000004</c:v>
                </c:pt>
                <c:pt idx="18">
                  <c:v>4887.0778</c:v>
                </c:pt>
                <c:pt idx="19">
                  <c:v>4874.6495000000004</c:v>
                </c:pt>
                <c:pt idx="20">
                  <c:v>4092.3701000000001</c:v>
                </c:pt>
                <c:pt idx="21">
                  <c:v>4093.9776999999999</c:v>
                </c:pt>
                <c:pt idx="22">
                  <c:v>0</c:v>
                </c:pt>
                <c:pt idx="28">
                  <c:v>12.01923</c:v>
                </c:pt>
                <c:pt idx="29">
                  <c:v>12.01923</c:v>
                </c:pt>
                <c:pt idx="30">
                  <c:v>12.98077</c:v>
                </c:pt>
                <c:pt idx="31">
                  <c:v>12.98077</c:v>
                </c:pt>
                <c:pt idx="32">
                  <c:v>13.942310000000001</c:v>
                </c:pt>
                <c:pt idx="33">
                  <c:v>13.942310000000001</c:v>
                </c:pt>
                <c:pt idx="34">
                  <c:v>14.90385</c:v>
                </c:pt>
                <c:pt idx="35">
                  <c:v>14.90385</c:v>
                </c:pt>
                <c:pt idx="36">
                  <c:v>15.86538</c:v>
                </c:pt>
                <c:pt idx="37">
                  <c:v>15.86538</c:v>
                </c:pt>
                <c:pt idx="38">
                  <c:v>16.826920000000001</c:v>
                </c:pt>
                <c:pt idx="39">
                  <c:v>16.826920000000001</c:v>
                </c:pt>
                <c:pt idx="40">
                  <c:v>17.788460000000001</c:v>
                </c:pt>
                <c:pt idx="41">
                  <c:v>17.788460000000001</c:v>
                </c:pt>
                <c:pt idx="42">
                  <c:v>18.75</c:v>
                </c:pt>
                <c:pt idx="43">
                  <c:v>18.75</c:v>
                </c:pt>
                <c:pt idx="44">
                  <c:v>19.642859999999999</c:v>
                </c:pt>
                <c:pt idx="45">
                  <c:v>19.642859999999999</c:v>
                </c:pt>
                <c:pt idx="46">
                  <c:v>20.535710000000002</c:v>
                </c:pt>
                <c:pt idx="47">
                  <c:v>20.535710000000002</c:v>
                </c:pt>
                <c:pt idx="48">
                  <c:v>21.428570000000001</c:v>
                </c:pt>
                <c:pt idx="49">
                  <c:v>21.428570000000001</c:v>
                </c:pt>
              </c:numCache>
            </c:numRef>
          </c:yVal>
          <c:smooth val="0"/>
          <c:extLst>
            <c:ext xmlns:c16="http://schemas.microsoft.com/office/drawing/2014/chart" uri="{C3380CC4-5D6E-409C-BE32-E72D297353CC}">
              <c16:uniqueId val="{00000002-68F0-4AC5-AA90-E7F2034606B3}"/>
            </c:ext>
          </c:extLst>
        </c:ser>
        <c:dLbls>
          <c:showLegendKey val="0"/>
          <c:showVal val="0"/>
          <c:showCatName val="0"/>
          <c:showSerName val="0"/>
          <c:showPercent val="0"/>
          <c:showBubbleSize val="0"/>
        </c:dLbls>
        <c:axId val="1558434607"/>
        <c:axId val="1812861103"/>
        <c:extLst>
          <c:ext xmlns:c15="http://schemas.microsoft.com/office/drawing/2012/chart" uri="{02D57815-91ED-43cb-92C2-25804820EDAC}">
            <c15:filteredScatterSeries>
              <c15:ser>
                <c:idx val="1"/>
                <c:order val="1"/>
                <c:tx>
                  <c:v>Dominio con solo armatura inf.</c:v>
                </c:tx>
                <c:spPr>
                  <a:ln w="19050" cap="rnd">
                    <a:solidFill>
                      <a:schemeClr val="accent2"/>
                    </a:solidFill>
                    <a:round/>
                  </a:ln>
                  <a:effectLst/>
                </c:spPr>
                <c:marker>
                  <c:symbol val="none"/>
                </c:marker>
                <c:xVal>
                  <c:numRef>
                    <c:extLst>
                      <c:ext uri="{02D57815-91ED-43cb-92C2-25804820EDAC}">
                        <c15:formulaRef>
                          <c15:sqref>dominio!$C$4:$C$1001</c15:sqref>
                        </c15:formulaRef>
                      </c:ext>
                    </c:extLst>
                    <c:numCache>
                      <c:formatCode>General</c:formatCode>
                      <c:ptCount val="998"/>
                      <c:pt idx="0">
                        <c:v>-10341.6</c:v>
                      </c:pt>
                      <c:pt idx="1">
                        <c:v>-10341.6</c:v>
                      </c:pt>
                      <c:pt idx="2">
                        <c:v>-10341.6</c:v>
                      </c:pt>
                      <c:pt idx="3">
                        <c:v>-10341.6</c:v>
                      </c:pt>
                      <c:pt idx="4">
                        <c:v>-10341.6</c:v>
                      </c:pt>
                      <c:pt idx="5">
                        <c:v>-10341.6</c:v>
                      </c:pt>
                      <c:pt idx="6">
                        <c:v>-10341.6</c:v>
                      </c:pt>
                      <c:pt idx="7">
                        <c:v>-10139.4</c:v>
                      </c:pt>
                      <c:pt idx="8">
                        <c:v>-9632.11</c:v>
                      </c:pt>
                      <c:pt idx="9">
                        <c:v>-8952.6299999999992</c:v>
                      </c:pt>
                      <c:pt idx="10">
                        <c:v>-8229.67</c:v>
                      </c:pt>
                      <c:pt idx="11">
                        <c:v>-7523.85</c:v>
                      </c:pt>
                      <c:pt idx="12">
                        <c:v>-6833.62</c:v>
                      </c:pt>
                      <c:pt idx="13">
                        <c:v>-6292.16</c:v>
                      </c:pt>
                      <c:pt idx="14">
                        <c:v>-5557.14</c:v>
                      </c:pt>
                      <c:pt idx="15">
                        <c:v>-4483.51</c:v>
                      </c:pt>
                      <c:pt idx="16">
                        <c:v>-2784.21</c:v>
                      </c:pt>
                      <c:pt idx="17">
                        <c:v>314.26100000000002</c:v>
                      </c:pt>
                      <c:pt idx="18">
                        <c:v>5686.74</c:v>
                      </c:pt>
                      <c:pt idx="19">
                        <c:v>6535.57</c:v>
                      </c:pt>
                      <c:pt idx="20">
                        <c:v>7355.36</c:v>
                      </c:pt>
                      <c:pt idx="21">
                        <c:v>8108.37</c:v>
                      </c:pt>
                      <c:pt idx="22">
                        <c:v>8823.06</c:v>
                      </c:pt>
                      <c:pt idx="23">
                        <c:v>9605.84</c:v>
                      </c:pt>
                      <c:pt idx="24">
                        <c:v>11034.3</c:v>
                      </c:pt>
                      <c:pt idx="25">
                        <c:v>11806</c:v>
                      </c:pt>
                      <c:pt idx="26">
                        <c:v>12633.7</c:v>
                      </c:pt>
                      <c:pt idx="27">
                        <c:v>13532.4</c:v>
                      </c:pt>
                      <c:pt idx="28">
                        <c:v>14522.2</c:v>
                      </c:pt>
                      <c:pt idx="29">
                        <c:v>15680.5</c:v>
                      </c:pt>
                      <c:pt idx="30">
                        <c:v>17626.599999999999</c:v>
                      </c:pt>
                      <c:pt idx="31">
                        <c:v>19392.2</c:v>
                      </c:pt>
                      <c:pt idx="32">
                        <c:v>20896.3</c:v>
                      </c:pt>
                      <c:pt idx="33">
                        <c:v>22139</c:v>
                      </c:pt>
                      <c:pt idx="34">
                        <c:v>23120.1</c:v>
                      </c:pt>
                      <c:pt idx="35">
                        <c:v>23839.8</c:v>
                      </c:pt>
                      <c:pt idx="36">
                        <c:v>24297.9</c:v>
                      </c:pt>
                      <c:pt idx="37">
                        <c:v>24297.9</c:v>
                      </c:pt>
                      <c:pt idx="38">
                        <c:v>24172.9</c:v>
                      </c:pt>
                      <c:pt idx="39">
                        <c:v>23328.400000000001</c:v>
                      </c:pt>
                      <c:pt idx="40">
                        <c:v>21764.400000000001</c:v>
                      </c:pt>
                      <c:pt idx="41">
                        <c:v>19481</c:v>
                      </c:pt>
                      <c:pt idx="42">
                        <c:v>16478</c:v>
                      </c:pt>
                      <c:pt idx="43">
                        <c:v>12755.5</c:v>
                      </c:pt>
                      <c:pt idx="44">
                        <c:v>8478.8700000000008</c:v>
                      </c:pt>
                      <c:pt idx="45">
                        <c:v>6503.09</c:v>
                      </c:pt>
                      <c:pt idx="46">
                        <c:v>5609.66</c:v>
                      </c:pt>
                      <c:pt idx="47">
                        <c:v>5058.1000000000004</c:v>
                      </c:pt>
                      <c:pt idx="48">
                        <c:v>4608.8999999999996</c:v>
                      </c:pt>
                      <c:pt idx="49">
                        <c:v>4215.46</c:v>
                      </c:pt>
                      <c:pt idx="50">
                        <c:v>3084.47</c:v>
                      </c:pt>
                      <c:pt idx="51">
                        <c:v>2293.37</c:v>
                      </c:pt>
                      <c:pt idx="52">
                        <c:v>1696.72</c:v>
                      </c:pt>
                      <c:pt idx="53">
                        <c:v>1220.8699999999999</c:v>
                      </c:pt>
                      <c:pt idx="54">
                        <c:v>823.34699999999998</c:v>
                      </c:pt>
                      <c:pt idx="55">
                        <c:v>475.63900000000001</c:v>
                      </c:pt>
                      <c:pt idx="56">
                        <c:v>-1598.15</c:v>
                      </c:pt>
                      <c:pt idx="57">
                        <c:v>-3531.94</c:v>
                      </c:pt>
                      <c:pt idx="58">
                        <c:v>-4968.0200000000004</c:v>
                      </c:pt>
                      <c:pt idx="59">
                        <c:v>-6151.54</c:v>
                      </c:pt>
                      <c:pt idx="60">
                        <c:v>-7199.71</c:v>
                      </c:pt>
                      <c:pt idx="61">
                        <c:v>-8170.93</c:v>
                      </c:pt>
                      <c:pt idx="62">
                        <c:v>-9042.91</c:v>
                      </c:pt>
                      <c:pt idx="63">
                        <c:v>-9525.4500000000007</c:v>
                      </c:pt>
                      <c:pt idx="64">
                        <c:v>-9805.7099999999991</c:v>
                      </c:pt>
                      <c:pt idx="65">
                        <c:v>-10068.200000000001</c:v>
                      </c:pt>
                      <c:pt idx="66">
                        <c:v>-10263.799999999999</c:v>
                      </c:pt>
                      <c:pt idx="67">
                        <c:v>-10341.6</c:v>
                      </c:pt>
                      <c:pt idx="68">
                        <c:v>-10341.6</c:v>
                      </c:pt>
                      <c:pt idx="69">
                        <c:v>-10341.6</c:v>
                      </c:pt>
                      <c:pt idx="70">
                        <c:v>-10341.6</c:v>
                      </c:pt>
                      <c:pt idx="71">
                        <c:v>-10341.6</c:v>
                      </c:pt>
                      <c:pt idx="72">
                        <c:v>-10341.6</c:v>
                      </c:pt>
                      <c:pt idx="73">
                        <c:v>-10341.6</c:v>
                      </c:pt>
                    </c:numCache>
                  </c:numRef>
                </c:xVal>
                <c:yVal>
                  <c:numRef>
                    <c:extLst>
                      <c:ext uri="{02D57815-91ED-43cb-92C2-25804820EDAC}">
                        <c15:formulaRef>
                          <c15:sqref>dominio!$D$4:$D$1001</c15:sqref>
                        </c15:formulaRef>
                      </c:ext>
                    </c:extLst>
                    <c:numCache>
                      <c:formatCode>General</c:formatCode>
                      <c:ptCount val="998"/>
                      <c:pt idx="0">
                        <c:v>7394.24</c:v>
                      </c:pt>
                      <c:pt idx="1">
                        <c:v>7394.24</c:v>
                      </c:pt>
                      <c:pt idx="2">
                        <c:v>7394.24</c:v>
                      </c:pt>
                      <c:pt idx="3">
                        <c:v>7394.24</c:v>
                      </c:pt>
                      <c:pt idx="4">
                        <c:v>7394.24</c:v>
                      </c:pt>
                      <c:pt idx="5">
                        <c:v>7394.24</c:v>
                      </c:pt>
                      <c:pt idx="6">
                        <c:v>7394.24</c:v>
                      </c:pt>
                      <c:pt idx="7">
                        <c:v>7559.4</c:v>
                      </c:pt>
                      <c:pt idx="8">
                        <c:v>7971.88</c:v>
                      </c:pt>
                      <c:pt idx="9">
                        <c:v>8519</c:v>
                      </c:pt>
                      <c:pt idx="10">
                        <c:v>9093.26</c:v>
                      </c:pt>
                      <c:pt idx="11">
                        <c:v>9644.76</c:v>
                      </c:pt>
                      <c:pt idx="12">
                        <c:v>10175.700000000001</c:v>
                      </c:pt>
                      <c:pt idx="13">
                        <c:v>10585.5</c:v>
                      </c:pt>
                      <c:pt idx="14">
                        <c:v>11132.9</c:v>
                      </c:pt>
                      <c:pt idx="15">
                        <c:v>11915</c:v>
                      </c:pt>
                      <c:pt idx="16">
                        <c:v>13110.3</c:v>
                      </c:pt>
                      <c:pt idx="17">
                        <c:v>15154.9</c:v>
                      </c:pt>
                      <c:pt idx="18">
                        <c:v>18278.3</c:v>
                      </c:pt>
                      <c:pt idx="19">
                        <c:v>18703</c:v>
                      </c:pt>
                      <c:pt idx="20">
                        <c:v>19084.400000000001</c:v>
                      </c:pt>
                      <c:pt idx="21">
                        <c:v>19402.5</c:v>
                      </c:pt>
                      <c:pt idx="22">
                        <c:v>19657.5</c:v>
                      </c:pt>
                      <c:pt idx="23">
                        <c:v>19852.5</c:v>
                      </c:pt>
                      <c:pt idx="24">
                        <c:v>19676.900000000001</c:v>
                      </c:pt>
                      <c:pt idx="25">
                        <c:v>19377.400000000001</c:v>
                      </c:pt>
                      <c:pt idx="26">
                        <c:v>19049.3</c:v>
                      </c:pt>
                      <c:pt idx="27">
                        <c:v>18678.3</c:v>
                      </c:pt>
                      <c:pt idx="28">
                        <c:v>18241.8</c:v>
                      </c:pt>
                      <c:pt idx="29">
                        <c:v>17672.2</c:v>
                      </c:pt>
                      <c:pt idx="30">
                        <c:v>16503.3</c:v>
                      </c:pt>
                      <c:pt idx="31">
                        <c:v>15309.7</c:v>
                      </c:pt>
                      <c:pt idx="32">
                        <c:v>14290.5</c:v>
                      </c:pt>
                      <c:pt idx="33">
                        <c:v>13445.7</c:v>
                      </c:pt>
                      <c:pt idx="34">
                        <c:v>12775.5</c:v>
                      </c:pt>
                      <c:pt idx="35">
                        <c:v>12279.7</c:v>
                      </c:pt>
                      <c:pt idx="36">
                        <c:v>11958.3</c:v>
                      </c:pt>
                      <c:pt idx="37">
                        <c:v>11958.3</c:v>
                      </c:pt>
                      <c:pt idx="38">
                        <c:v>11549.2</c:v>
                      </c:pt>
                      <c:pt idx="39">
                        <c:v>10657.4</c:v>
                      </c:pt>
                      <c:pt idx="40">
                        <c:v>9282.98</c:v>
                      </c:pt>
                      <c:pt idx="41">
                        <c:v>7425.97</c:v>
                      </c:pt>
                      <c:pt idx="42">
                        <c:v>5086.34</c:v>
                      </c:pt>
                      <c:pt idx="43">
                        <c:v>2264.09</c:v>
                      </c:pt>
                      <c:pt idx="44">
                        <c:v>-267.65300000000002</c:v>
                      </c:pt>
                      <c:pt idx="45">
                        <c:v>-1156.49</c:v>
                      </c:pt>
                      <c:pt idx="46">
                        <c:v>-1403.86</c:v>
                      </c:pt>
                      <c:pt idx="47">
                        <c:v>-1474.86</c:v>
                      </c:pt>
                      <c:pt idx="48">
                        <c:v>-1491.69</c:v>
                      </c:pt>
                      <c:pt idx="49">
                        <c:v>-1480.42</c:v>
                      </c:pt>
                      <c:pt idx="50">
                        <c:v>-1314.85</c:v>
                      </c:pt>
                      <c:pt idx="51">
                        <c:v>-1084.8499999999999</c:v>
                      </c:pt>
                      <c:pt idx="52">
                        <c:v>-852.35199999999998</c:v>
                      </c:pt>
                      <c:pt idx="53">
                        <c:v>-632.84400000000005</c:v>
                      </c:pt>
                      <c:pt idx="54">
                        <c:v>-428.09</c:v>
                      </c:pt>
                      <c:pt idx="55">
                        <c:v>-234.52500000000001</c:v>
                      </c:pt>
                      <c:pt idx="56">
                        <c:v>1083.1099999999999</c:v>
                      </c:pt>
                      <c:pt idx="57">
                        <c:v>2404.3200000000002</c:v>
                      </c:pt>
                      <c:pt idx="58">
                        <c:v>3423.15</c:v>
                      </c:pt>
                      <c:pt idx="59">
                        <c:v>4275.0600000000004</c:v>
                      </c:pt>
                      <c:pt idx="60">
                        <c:v>5033.1000000000004</c:v>
                      </c:pt>
                      <c:pt idx="61">
                        <c:v>5736.39</c:v>
                      </c:pt>
                      <c:pt idx="62">
                        <c:v>6374.47</c:v>
                      </c:pt>
                      <c:pt idx="63">
                        <c:v>6737.7</c:v>
                      </c:pt>
                      <c:pt idx="64">
                        <c:v>6960.31</c:v>
                      </c:pt>
                      <c:pt idx="65">
                        <c:v>7171.69</c:v>
                      </c:pt>
                      <c:pt idx="66">
                        <c:v>7330.66</c:v>
                      </c:pt>
                      <c:pt idx="67">
                        <c:v>7394.24</c:v>
                      </c:pt>
                      <c:pt idx="68">
                        <c:v>7394.24</c:v>
                      </c:pt>
                      <c:pt idx="69">
                        <c:v>7394.24</c:v>
                      </c:pt>
                      <c:pt idx="70">
                        <c:v>7394.24</c:v>
                      </c:pt>
                      <c:pt idx="71">
                        <c:v>7394.24</c:v>
                      </c:pt>
                      <c:pt idx="72">
                        <c:v>7394.24</c:v>
                      </c:pt>
                      <c:pt idx="73">
                        <c:v>7394.24</c:v>
                      </c:pt>
                    </c:numCache>
                  </c:numRef>
                </c:yVal>
                <c:smooth val="0"/>
                <c:extLst>
                  <c:ext xmlns:c16="http://schemas.microsoft.com/office/drawing/2014/chart" uri="{C3380CC4-5D6E-409C-BE32-E72D297353CC}">
                    <c16:uniqueId val="{00000001-68F0-4AC5-AA90-E7F2034606B3}"/>
                  </c:ext>
                </c:extLst>
              </c15:ser>
            </c15:filteredScatterSeries>
          </c:ext>
        </c:extLst>
      </c:scatterChart>
      <c:valAx>
        <c:axId val="1558434607"/>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Nrd [KN]</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2861103"/>
        <c:crosses val="autoZero"/>
        <c:crossBetween val="midCat"/>
      </c:valAx>
      <c:valAx>
        <c:axId val="181286110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Mrd  [KNm]</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8434607"/>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4" Type="http://schemas.openxmlformats.org/officeDocument/2006/relationships/chart" Target="../charts/chart7.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chart" Target="../charts/chart8.xml"/><Relationship Id="rId5" Type="http://schemas.openxmlformats.org/officeDocument/2006/relationships/chart" Target="../charts/chart12.xml"/><Relationship Id="rId4" Type="http://schemas.openxmlformats.org/officeDocument/2006/relationships/chart" Target="../charts/chart11.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5.xml"/><Relationship Id="rId2" Type="http://schemas.openxmlformats.org/officeDocument/2006/relationships/chart" Target="../charts/chart14.xml"/><Relationship Id="rId1" Type="http://schemas.openxmlformats.org/officeDocument/2006/relationships/chart" Target="../charts/chart13.xml"/></Relationships>
</file>

<file path=xl/drawings/_rels/drawing5.xml.rels><?xml version="1.0" encoding="UTF-8" standalone="yes"?>
<Relationships xmlns="http://schemas.openxmlformats.org/package/2006/relationships"><Relationship Id="rId2" Type="http://schemas.openxmlformats.org/officeDocument/2006/relationships/chart" Target="../charts/chart17.xml"/><Relationship Id="rId1" Type="http://schemas.openxmlformats.org/officeDocument/2006/relationships/chart" Target="../charts/chart16.xml"/></Relationships>
</file>

<file path=xl/drawings/_rels/drawing6.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hart" Target="../charts/chart18.xml"/></Relationships>
</file>

<file path=xl/drawings/drawing1.xml><?xml version="1.0" encoding="utf-8"?>
<xdr:wsDr xmlns:xdr="http://schemas.openxmlformats.org/drawingml/2006/spreadsheetDrawing" xmlns:a="http://schemas.openxmlformats.org/drawingml/2006/main">
  <xdr:twoCellAnchor>
    <xdr:from>
      <xdr:col>7</xdr:col>
      <xdr:colOff>341219</xdr:colOff>
      <xdr:row>6</xdr:row>
      <xdr:rowOff>84043</xdr:rowOff>
    </xdr:from>
    <xdr:to>
      <xdr:col>11</xdr:col>
      <xdr:colOff>123266</xdr:colOff>
      <xdr:row>22</xdr:row>
      <xdr:rowOff>11204</xdr:rowOff>
    </xdr:to>
    <xdr:graphicFrame macro="">
      <xdr:nvGraphicFramePr>
        <xdr:cNvPr id="2" name="Grafico 1">
          <a:extLst>
            <a:ext uri="{FF2B5EF4-FFF2-40B4-BE49-F238E27FC236}">
              <a16:creationId xmlns:a16="http://schemas.microsoft.com/office/drawing/2014/main" id="{A91FB6E1-0210-4D50-9AAB-3B170F0F410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20731</xdr:colOff>
      <xdr:row>6</xdr:row>
      <xdr:rowOff>76199</xdr:rowOff>
    </xdr:from>
    <xdr:to>
      <xdr:col>15</xdr:col>
      <xdr:colOff>437029</xdr:colOff>
      <xdr:row>22</xdr:row>
      <xdr:rowOff>22410</xdr:rowOff>
    </xdr:to>
    <xdr:graphicFrame macro="">
      <xdr:nvGraphicFramePr>
        <xdr:cNvPr id="5" name="Grafico 4">
          <a:extLst>
            <a:ext uri="{FF2B5EF4-FFF2-40B4-BE49-F238E27FC236}">
              <a16:creationId xmlns:a16="http://schemas.microsoft.com/office/drawing/2014/main" id="{16BD52AC-E380-478E-92FB-6BC1E84397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336176</xdr:colOff>
      <xdr:row>6</xdr:row>
      <xdr:rowOff>42582</xdr:rowOff>
    </xdr:from>
    <xdr:to>
      <xdr:col>20</xdr:col>
      <xdr:colOff>212913</xdr:colOff>
      <xdr:row>21</xdr:row>
      <xdr:rowOff>201706</xdr:rowOff>
    </xdr:to>
    <xdr:graphicFrame macro="">
      <xdr:nvGraphicFramePr>
        <xdr:cNvPr id="6" name="Grafico 5">
          <a:extLst>
            <a:ext uri="{FF2B5EF4-FFF2-40B4-BE49-F238E27FC236}">
              <a16:creationId xmlns:a16="http://schemas.microsoft.com/office/drawing/2014/main" id="{E6EAB6AE-9C63-4F98-B6B1-FDF50072F3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235325</xdr:colOff>
      <xdr:row>12</xdr:row>
      <xdr:rowOff>39220</xdr:rowOff>
    </xdr:from>
    <xdr:to>
      <xdr:col>11</xdr:col>
      <xdr:colOff>586070</xdr:colOff>
      <xdr:row>13</xdr:row>
      <xdr:rowOff>151280</xdr:rowOff>
    </xdr:to>
    <xdr:sp macro="" textlink="">
      <xdr:nvSpPr>
        <xdr:cNvPr id="7" name="Segno di addizione 6">
          <a:extLst>
            <a:ext uri="{FF2B5EF4-FFF2-40B4-BE49-F238E27FC236}">
              <a16:creationId xmlns:a16="http://schemas.microsoft.com/office/drawing/2014/main" id="{B19A3BC5-A32F-44DA-8442-BE8CDF6EB07C}"/>
            </a:ext>
          </a:extLst>
        </xdr:cNvPr>
        <xdr:cNvSpPr/>
      </xdr:nvSpPr>
      <xdr:spPr>
        <a:xfrm>
          <a:off x="9670678" y="2840691"/>
          <a:ext cx="350745" cy="347383"/>
        </a:xfrm>
        <a:prstGeom prst="mathPlus">
          <a:avLst/>
        </a:prstGeom>
        <a:solidFill>
          <a:schemeClr val="bg2"/>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15</xdr:col>
      <xdr:colOff>525078</xdr:colOff>
      <xdr:row>11</xdr:row>
      <xdr:rowOff>504265</xdr:rowOff>
    </xdr:from>
    <xdr:to>
      <xdr:col>16</xdr:col>
      <xdr:colOff>288633</xdr:colOff>
      <xdr:row>13</xdr:row>
      <xdr:rowOff>112059</xdr:rowOff>
    </xdr:to>
    <xdr:sp macro="" textlink="">
      <xdr:nvSpPr>
        <xdr:cNvPr id="8" name="Uguale a 7">
          <a:extLst>
            <a:ext uri="{FF2B5EF4-FFF2-40B4-BE49-F238E27FC236}">
              <a16:creationId xmlns:a16="http://schemas.microsoft.com/office/drawing/2014/main" id="{AAB1E956-4673-47D1-8D40-E748F4A25125}"/>
            </a:ext>
          </a:extLst>
        </xdr:cNvPr>
        <xdr:cNvSpPr/>
      </xdr:nvSpPr>
      <xdr:spPr>
        <a:xfrm>
          <a:off x="12560196" y="2779059"/>
          <a:ext cx="368672" cy="369794"/>
        </a:xfrm>
        <a:prstGeom prst="mathEqual">
          <a:avLst/>
        </a:prstGeom>
        <a:solidFill>
          <a:schemeClr val="bg1">
            <a:lumMod val="85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solidFill>
              <a:schemeClr val="tx1"/>
            </a:solidFill>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161924</xdr:colOff>
      <xdr:row>34</xdr:row>
      <xdr:rowOff>95250</xdr:rowOff>
    </xdr:from>
    <xdr:to>
      <xdr:col>3</xdr:col>
      <xdr:colOff>340178</xdr:colOff>
      <xdr:row>57</xdr:row>
      <xdr:rowOff>56029</xdr:rowOff>
    </xdr:to>
    <xdr:graphicFrame macro="">
      <xdr:nvGraphicFramePr>
        <xdr:cNvPr id="2" name="Grafico 1">
          <a:extLst>
            <a:ext uri="{FF2B5EF4-FFF2-40B4-BE49-F238E27FC236}">
              <a16:creationId xmlns:a16="http://schemas.microsoft.com/office/drawing/2014/main" id="{0E59376D-F9D3-4163-B3E5-698C439D88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847354</xdr:colOff>
      <xdr:row>34</xdr:row>
      <xdr:rowOff>136072</xdr:rowOff>
    </xdr:from>
    <xdr:to>
      <xdr:col>5</xdr:col>
      <xdr:colOff>353786</xdr:colOff>
      <xdr:row>57</xdr:row>
      <xdr:rowOff>104854</xdr:rowOff>
    </xdr:to>
    <xdr:graphicFrame macro="">
      <xdr:nvGraphicFramePr>
        <xdr:cNvPr id="3" name="Grafico 2">
          <a:extLst>
            <a:ext uri="{FF2B5EF4-FFF2-40B4-BE49-F238E27FC236}">
              <a16:creationId xmlns:a16="http://schemas.microsoft.com/office/drawing/2014/main" id="{B4E6EEAE-53FF-4156-B6B5-8DF73D07C4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941513</xdr:colOff>
      <xdr:row>34</xdr:row>
      <xdr:rowOff>169762</xdr:rowOff>
    </xdr:from>
    <xdr:to>
      <xdr:col>8</xdr:col>
      <xdr:colOff>571500</xdr:colOff>
      <xdr:row>57</xdr:row>
      <xdr:rowOff>91320</xdr:rowOff>
    </xdr:to>
    <xdr:graphicFrame macro="">
      <xdr:nvGraphicFramePr>
        <xdr:cNvPr id="5" name="Grafico 4">
          <a:extLst>
            <a:ext uri="{FF2B5EF4-FFF2-40B4-BE49-F238E27FC236}">
              <a16:creationId xmlns:a16="http://schemas.microsoft.com/office/drawing/2014/main" id="{3B996C60-1ECA-4D6C-B27D-6F504FFC56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530679</xdr:colOff>
      <xdr:row>34</xdr:row>
      <xdr:rowOff>122465</xdr:rowOff>
    </xdr:from>
    <xdr:to>
      <xdr:col>14</xdr:col>
      <xdr:colOff>489858</xdr:colOff>
      <xdr:row>57</xdr:row>
      <xdr:rowOff>44023</xdr:rowOff>
    </xdr:to>
    <xdr:graphicFrame macro="">
      <xdr:nvGraphicFramePr>
        <xdr:cNvPr id="6" name="Grafico 5">
          <a:extLst>
            <a:ext uri="{FF2B5EF4-FFF2-40B4-BE49-F238E27FC236}">
              <a16:creationId xmlns:a16="http://schemas.microsoft.com/office/drawing/2014/main" id="{E0396D0E-86B7-41BA-B971-7EA1D15D9A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381000</xdr:colOff>
      <xdr:row>43</xdr:row>
      <xdr:rowOff>170489</xdr:rowOff>
    </xdr:from>
    <xdr:to>
      <xdr:col>3</xdr:col>
      <xdr:colOff>731745</xdr:colOff>
      <xdr:row>45</xdr:row>
      <xdr:rowOff>136872</xdr:rowOff>
    </xdr:to>
    <xdr:sp macro="" textlink="">
      <xdr:nvSpPr>
        <xdr:cNvPr id="7" name="Segno di addizione 6">
          <a:extLst>
            <a:ext uri="{FF2B5EF4-FFF2-40B4-BE49-F238E27FC236}">
              <a16:creationId xmlns:a16="http://schemas.microsoft.com/office/drawing/2014/main" id="{AF4B42F3-9CC0-4120-8E06-EFC77D9BB1FE}"/>
            </a:ext>
          </a:extLst>
        </xdr:cNvPr>
        <xdr:cNvSpPr/>
      </xdr:nvSpPr>
      <xdr:spPr>
        <a:xfrm>
          <a:off x="2721429" y="9137596"/>
          <a:ext cx="350745" cy="347383"/>
        </a:xfrm>
        <a:prstGeom prst="mathPlus">
          <a:avLst/>
        </a:prstGeom>
        <a:solidFill>
          <a:schemeClr val="bg2"/>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9</xdr:col>
      <xdr:colOff>59232</xdr:colOff>
      <xdr:row>44</xdr:row>
      <xdr:rowOff>13607</xdr:rowOff>
    </xdr:from>
    <xdr:to>
      <xdr:col>9</xdr:col>
      <xdr:colOff>427904</xdr:colOff>
      <xdr:row>46</xdr:row>
      <xdr:rowOff>2401</xdr:rowOff>
    </xdr:to>
    <xdr:sp macro="" textlink="">
      <xdr:nvSpPr>
        <xdr:cNvPr id="8" name="Uguale a 7">
          <a:extLst>
            <a:ext uri="{FF2B5EF4-FFF2-40B4-BE49-F238E27FC236}">
              <a16:creationId xmlns:a16="http://schemas.microsoft.com/office/drawing/2014/main" id="{D830C959-22FC-4792-9EB1-1A0859635E22}"/>
            </a:ext>
          </a:extLst>
        </xdr:cNvPr>
        <xdr:cNvSpPr/>
      </xdr:nvSpPr>
      <xdr:spPr>
        <a:xfrm>
          <a:off x="9325696" y="9171214"/>
          <a:ext cx="368672" cy="369794"/>
        </a:xfrm>
        <a:prstGeom prst="mathEqual">
          <a:avLst/>
        </a:prstGeom>
        <a:solidFill>
          <a:schemeClr val="bg1">
            <a:lumMod val="85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solidFill>
              <a:schemeClr val="tx1"/>
            </a:solidFill>
          </a:endParaRPr>
        </a:p>
      </xdr:txBody>
    </xdr:sp>
    <xdr:clientData/>
  </xdr:twoCellAnchor>
  <xdr:twoCellAnchor>
    <xdr:from>
      <xdr:col>5</xdr:col>
      <xdr:colOff>435429</xdr:colOff>
      <xdr:row>44</xdr:row>
      <xdr:rowOff>27214</xdr:rowOff>
    </xdr:from>
    <xdr:to>
      <xdr:col>5</xdr:col>
      <xdr:colOff>786174</xdr:colOff>
      <xdr:row>45</xdr:row>
      <xdr:rowOff>184097</xdr:rowOff>
    </xdr:to>
    <xdr:sp macro="" textlink="">
      <xdr:nvSpPr>
        <xdr:cNvPr id="9" name="Segno di addizione 8">
          <a:extLst>
            <a:ext uri="{FF2B5EF4-FFF2-40B4-BE49-F238E27FC236}">
              <a16:creationId xmlns:a16="http://schemas.microsoft.com/office/drawing/2014/main" id="{EFFD3DA6-C74D-4472-A13E-E12E1DAD8898}"/>
            </a:ext>
          </a:extLst>
        </xdr:cNvPr>
        <xdr:cNvSpPr/>
      </xdr:nvSpPr>
      <xdr:spPr>
        <a:xfrm>
          <a:off x="5959929" y="9184821"/>
          <a:ext cx="350745" cy="347383"/>
        </a:xfrm>
        <a:prstGeom prst="mathPlus">
          <a:avLst/>
        </a:prstGeom>
        <a:solidFill>
          <a:schemeClr val="bg2"/>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b="0" cap="none" spc="0">
            <a:ln w="0"/>
            <a:solidFill>
              <a:schemeClr val="tx1"/>
            </a:solidFill>
            <a:effectLst>
              <a:outerShdw blurRad="38100" dist="19050" dir="2700000" algn="tl" rotWithShape="0">
                <a:schemeClr val="dk1">
                  <a:alpha val="40000"/>
                </a:schemeClr>
              </a:outerShdw>
            </a:effectLst>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136071</xdr:colOff>
      <xdr:row>56</xdr:row>
      <xdr:rowOff>149679</xdr:rowOff>
    </xdr:from>
    <xdr:to>
      <xdr:col>2</xdr:col>
      <xdr:colOff>789214</xdr:colOff>
      <xdr:row>80</xdr:row>
      <xdr:rowOff>19529</xdr:rowOff>
    </xdr:to>
    <xdr:graphicFrame macro="">
      <xdr:nvGraphicFramePr>
        <xdr:cNvPr id="2" name="Grafico 1">
          <a:extLst>
            <a:ext uri="{FF2B5EF4-FFF2-40B4-BE49-F238E27FC236}">
              <a16:creationId xmlns:a16="http://schemas.microsoft.com/office/drawing/2014/main" id="{FB4F54B7-F1D5-4971-B5FC-2EFD5C9592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476250</xdr:colOff>
      <xdr:row>56</xdr:row>
      <xdr:rowOff>163285</xdr:rowOff>
    </xdr:from>
    <xdr:to>
      <xdr:col>5</xdr:col>
      <xdr:colOff>585107</xdr:colOff>
      <xdr:row>79</xdr:row>
      <xdr:rowOff>176892</xdr:rowOff>
    </xdr:to>
    <xdr:graphicFrame macro="">
      <xdr:nvGraphicFramePr>
        <xdr:cNvPr id="3" name="Grafico 2">
          <a:extLst>
            <a:ext uri="{FF2B5EF4-FFF2-40B4-BE49-F238E27FC236}">
              <a16:creationId xmlns:a16="http://schemas.microsoft.com/office/drawing/2014/main" id="{A6A1EE57-A914-48A5-9322-ED4462001B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1143001</xdr:colOff>
      <xdr:row>56</xdr:row>
      <xdr:rowOff>149679</xdr:rowOff>
    </xdr:from>
    <xdr:to>
      <xdr:col>9</xdr:col>
      <xdr:colOff>462643</xdr:colOff>
      <xdr:row>79</xdr:row>
      <xdr:rowOff>176893</xdr:rowOff>
    </xdr:to>
    <xdr:graphicFrame macro="">
      <xdr:nvGraphicFramePr>
        <xdr:cNvPr id="4" name="Grafico 3">
          <a:extLst>
            <a:ext uri="{FF2B5EF4-FFF2-40B4-BE49-F238E27FC236}">
              <a16:creationId xmlns:a16="http://schemas.microsoft.com/office/drawing/2014/main" id="{140CA883-6725-40F0-87A4-95BC667106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394608</xdr:colOff>
      <xdr:row>56</xdr:row>
      <xdr:rowOff>154481</xdr:rowOff>
    </xdr:from>
    <xdr:to>
      <xdr:col>15</xdr:col>
      <xdr:colOff>122464</xdr:colOff>
      <xdr:row>79</xdr:row>
      <xdr:rowOff>181695</xdr:rowOff>
    </xdr:to>
    <xdr:graphicFrame macro="">
      <xdr:nvGraphicFramePr>
        <xdr:cNvPr id="5" name="Grafico 4">
          <a:extLst>
            <a:ext uri="{FF2B5EF4-FFF2-40B4-BE49-F238E27FC236}">
              <a16:creationId xmlns:a16="http://schemas.microsoft.com/office/drawing/2014/main" id="{10FC4CB5-7CA1-4956-BDF1-82F95B2491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353786</xdr:colOff>
      <xdr:row>56</xdr:row>
      <xdr:rowOff>149679</xdr:rowOff>
    </xdr:from>
    <xdr:to>
      <xdr:col>21</xdr:col>
      <xdr:colOff>108859</xdr:colOff>
      <xdr:row>79</xdr:row>
      <xdr:rowOff>190499</xdr:rowOff>
    </xdr:to>
    <xdr:graphicFrame macro="">
      <xdr:nvGraphicFramePr>
        <xdr:cNvPr id="6" name="Grafico 5">
          <a:extLst>
            <a:ext uri="{FF2B5EF4-FFF2-40B4-BE49-F238E27FC236}">
              <a16:creationId xmlns:a16="http://schemas.microsoft.com/office/drawing/2014/main" id="{19CE78C3-C922-48AC-A44D-63215BCD6D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358588</xdr:colOff>
      <xdr:row>67</xdr:row>
      <xdr:rowOff>115261</xdr:rowOff>
    </xdr:from>
    <xdr:to>
      <xdr:col>16</xdr:col>
      <xdr:colOff>114939</xdr:colOff>
      <xdr:row>69</xdr:row>
      <xdr:rowOff>104055</xdr:rowOff>
    </xdr:to>
    <xdr:sp macro="" textlink="">
      <xdr:nvSpPr>
        <xdr:cNvPr id="8" name="Uguale a 7">
          <a:extLst>
            <a:ext uri="{FF2B5EF4-FFF2-40B4-BE49-F238E27FC236}">
              <a16:creationId xmlns:a16="http://schemas.microsoft.com/office/drawing/2014/main" id="{9C095E14-0EF1-4BD0-AC1E-9D911FE93E5D}"/>
            </a:ext>
          </a:extLst>
        </xdr:cNvPr>
        <xdr:cNvSpPr/>
      </xdr:nvSpPr>
      <xdr:spPr>
        <a:xfrm>
          <a:off x="13679981" y="13763225"/>
          <a:ext cx="368672" cy="369794"/>
        </a:xfrm>
        <a:prstGeom prst="mathEqual">
          <a:avLst/>
        </a:prstGeom>
        <a:solidFill>
          <a:schemeClr val="bg1">
            <a:lumMod val="85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solidFill>
              <a:schemeClr val="tx1"/>
            </a:solidFill>
          </a:endParaRPr>
        </a:p>
      </xdr:txBody>
    </xdr:sp>
    <xdr:clientData/>
  </xdr:twoCellAnchor>
  <xdr:twoCellAnchor>
    <xdr:from>
      <xdr:col>3</xdr:col>
      <xdr:colOff>0</xdr:colOff>
      <xdr:row>67</xdr:row>
      <xdr:rowOff>0</xdr:rowOff>
    </xdr:from>
    <xdr:to>
      <xdr:col>3</xdr:col>
      <xdr:colOff>350745</xdr:colOff>
      <xdr:row>68</xdr:row>
      <xdr:rowOff>156883</xdr:rowOff>
    </xdr:to>
    <xdr:sp macro="" textlink="">
      <xdr:nvSpPr>
        <xdr:cNvPr id="10" name="Segno di addizione 9">
          <a:extLst>
            <a:ext uri="{FF2B5EF4-FFF2-40B4-BE49-F238E27FC236}">
              <a16:creationId xmlns:a16="http://schemas.microsoft.com/office/drawing/2014/main" id="{DFCD2CB1-185A-43AB-A276-8BB42638088F}"/>
            </a:ext>
          </a:extLst>
        </xdr:cNvPr>
        <xdr:cNvSpPr/>
      </xdr:nvSpPr>
      <xdr:spPr>
        <a:xfrm>
          <a:off x="3102429" y="13647964"/>
          <a:ext cx="350745" cy="347383"/>
        </a:xfrm>
        <a:prstGeom prst="mathPlus">
          <a:avLst/>
        </a:prstGeom>
        <a:solidFill>
          <a:schemeClr val="bg2"/>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5</xdr:col>
      <xdr:colOff>707571</xdr:colOff>
      <xdr:row>67</xdr:row>
      <xdr:rowOff>13607</xdr:rowOff>
    </xdr:from>
    <xdr:to>
      <xdr:col>5</xdr:col>
      <xdr:colOff>1058316</xdr:colOff>
      <xdr:row>68</xdr:row>
      <xdr:rowOff>170490</xdr:rowOff>
    </xdr:to>
    <xdr:sp macro="" textlink="">
      <xdr:nvSpPr>
        <xdr:cNvPr id="11" name="Segno di addizione 10">
          <a:extLst>
            <a:ext uri="{FF2B5EF4-FFF2-40B4-BE49-F238E27FC236}">
              <a16:creationId xmlns:a16="http://schemas.microsoft.com/office/drawing/2014/main" id="{CF5CF1A6-57E3-4731-BAEE-850F1D2D07F6}"/>
            </a:ext>
          </a:extLst>
        </xdr:cNvPr>
        <xdr:cNvSpPr/>
      </xdr:nvSpPr>
      <xdr:spPr>
        <a:xfrm>
          <a:off x="6749142" y="13661571"/>
          <a:ext cx="350745" cy="347383"/>
        </a:xfrm>
        <a:prstGeom prst="mathPlus">
          <a:avLst/>
        </a:prstGeom>
        <a:solidFill>
          <a:schemeClr val="bg2"/>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9</xdr:col>
      <xdr:colOff>587829</xdr:colOff>
      <xdr:row>67</xdr:row>
      <xdr:rowOff>57150</xdr:rowOff>
    </xdr:from>
    <xdr:to>
      <xdr:col>10</xdr:col>
      <xdr:colOff>326252</xdr:colOff>
      <xdr:row>69</xdr:row>
      <xdr:rowOff>23533</xdr:rowOff>
    </xdr:to>
    <xdr:sp macro="" textlink="">
      <xdr:nvSpPr>
        <xdr:cNvPr id="12" name="Segno di addizione 11">
          <a:extLst>
            <a:ext uri="{FF2B5EF4-FFF2-40B4-BE49-F238E27FC236}">
              <a16:creationId xmlns:a16="http://schemas.microsoft.com/office/drawing/2014/main" id="{F4463D7E-4D50-48BC-BC90-283C27E0A270}"/>
            </a:ext>
          </a:extLst>
        </xdr:cNvPr>
        <xdr:cNvSpPr/>
      </xdr:nvSpPr>
      <xdr:spPr>
        <a:xfrm>
          <a:off x="10235293" y="13705114"/>
          <a:ext cx="350745" cy="347383"/>
        </a:xfrm>
        <a:prstGeom prst="mathPlus">
          <a:avLst/>
        </a:prstGeom>
        <a:solidFill>
          <a:schemeClr val="bg2"/>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b="0" cap="none" spc="0">
            <a:ln w="0"/>
            <a:solidFill>
              <a:schemeClr val="tx1"/>
            </a:solidFill>
            <a:effectLst>
              <a:outerShdw blurRad="38100" dist="19050" dir="2700000" algn="tl" rotWithShape="0">
                <a:schemeClr val="dk1">
                  <a:alpha val="40000"/>
                </a:schemeClr>
              </a:outerShdw>
            </a:effectLst>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3</xdr:col>
      <xdr:colOff>1004209</xdr:colOff>
      <xdr:row>38</xdr:row>
      <xdr:rowOff>40822</xdr:rowOff>
    </xdr:from>
    <xdr:to>
      <xdr:col>5</xdr:col>
      <xdr:colOff>258536</xdr:colOff>
      <xdr:row>61</xdr:row>
      <xdr:rowOff>68036</xdr:rowOff>
    </xdr:to>
    <xdr:graphicFrame macro="">
      <xdr:nvGraphicFramePr>
        <xdr:cNvPr id="2" name="Grafico 1">
          <a:extLst>
            <a:ext uri="{FF2B5EF4-FFF2-40B4-BE49-F238E27FC236}">
              <a16:creationId xmlns:a16="http://schemas.microsoft.com/office/drawing/2014/main" id="{0BEA5286-E0CB-42B2-8035-8E853C575E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802820</xdr:colOff>
      <xdr:row>38</xdr:row>
      <xdr:rowOff>27215</xdr:rowOff>
    </xdr:from>
    <xdr:to>
      <xdr:col>8</xdr:col>
      <xdr:colOff>598714</xdr:colOff>
      <xdr:row>61</xdr:row>
      <xdr:rowOff>54428</xdr:rowOff>
    </xdr:to>
    <xdr:graphicFrame macro="">
      <xdr:nvGraphicFramePr>
        <xdr:cNvPr id="3" name="Grafico 2">
          <a:extLst>
            <a:ext uri="{FF2B5EF4-FFF2-40B4-BE49-F238E27FC236}">
              <a16:creationId xmlns:a16="http://schemas.microsoft.com/office/drawing/2014/main" id="{5CA60464-0704-4C1C-B63C-2FC2D64EB7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108858</xdr:colOff>
      <xdr:row>38</xdr:row>
      <xdr:rowOff>27214</xdr:rowOff>
    </xdr:from>
    <xdr:to>
      <xdr:col>3</xdr:col>
      <xdr:colOff>394607</xdr:colOff>
      <xdr:row>61</xdr:row>
      <xdr:rowOff>54428</xdr:rowOff>
    </xdr:to>
    <xdr:graphicFrame macro="">
      <xdr:nvGraphicFramePr>
        <xdr:cNvPr id="4" name="Grafico 3">
          <a:extLst>
            <a:ext uri="{FF2B5EF4-FFF2-40B4-BE49-F238E27FC236}">
              <a16:creationId xmlns:a16="http://schemas.microsoft.com/office/drawing/2014/main" id="{EAB2C8EF-C8EB-4989-86D8-4B5CDE8C86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530679</xdr:colOff>
      <xdr:row>49</xdr:row>
      <xdr:rowOff>95250</xdr:rowOff>
    </xdr:from>
    <xdr:to>
      <xdr:col>3</xdr:col>
      <xdr:colOff>881424</xdr:colOff>
      <xdr:row>51</xdr:row>
      <xdr:rowOff>61633</xdr:rowOff>
    </xdr:to>
    <xdr:sp macro="" textlink="">
      <xdr:nvSpPr>
        <xdr:cNvPr id="6" name="Segno di addizione 5">
          <a:extLst>
            <a:ext uri="{FF2B5EF4-FFF2-40B4-BE49-F238E27FC236}">
              <a16:creationId xmlns:a16="http://schemas.microsoft.com/office/drawing/2014/main" id="{D5F19C0D-8098-44FB-8EC1-5FD99D43AAE5}"/>
            </a:ext>
          </a:extLst>
        </xdr:cNvPr>
        <xdr:cNvSpPr/>
      </xdr:nvSpPr>
      <xdr:spPr>
        <a:xfrm>
          <a:off x="3116036" y="9865179"/>
          <a:ext cx="350745" cy="347383"/>
        </a:xfrm>
        <a:prstGeom prst="mathPlus">
          <a:avLst/>
        </a:prstGeom>
        <a:solidFill>
          <a:schemeClr val="bg2"/>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5</xdr:col>
      <xdr:colOff>353786</xdr:colOff>
      <xdr:row>49</xdr:row>
      <xdr:rowOff>108858</xdr:rowOff>
    </xdr:from>
    <xdr:to>
      <xdr:col>5</xdr:col>
      <xdr:colOff>722458</xdr:colOff>
      <xdr:row>51</xdr:row>
      <xdr:rowOff>97652</xdr:rowOff>
    </xdr:to>
    <xdr:sp macro="" textlink="">
      <xdr:nvSpPr>
        <xdr:cNvPr id="7" name="Uguale a 6">
          <a:extLst>
            <a:ext uri="{FF2B5EF4-FFF2-40B4-BE49-F238E27FC236}">
              <a16:creationId xmlns:a16="http://schemas.microsoft.com/office/drawing/2014/main" id="{8AD3355E-A369-4DC1-AA61-37D57E10F269}"/>
            </a:ext>
          </a:extLst>
        </xdr:cNvPr>
        <xdr:cNvSpPr/>
      </xdr:nvSpPr>
      <xdr:spPr>
        <a:xfrm>
          <a:off x="6830786" y="9878787"/>
          <a:ext cx="368672" cy="369794"/>
        </a:xfrm>
        <a:prstGeom prst="mathEqual">
          <a:avLst/>
        </a:prstGeom>
        <a:solidFill>
          <a:schemeClr val="bg1">
            <a:lumMod val="85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solidFill>
              <a:schemeClr val="tx1"/>
            </a:solidFill>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10</xdr:col>
      <xdr:colOff>480060</xdr:colOff>
      <xdr:row>26</xdr:row>
      <xdr:rowOff>217170</xdr:rowOff>
    </xdr:from>
    <xdr:to>
      <xdr:col>14</xdr:col>
      <xdr:colOff>373380</xdr:colOff>
      <xdr:row>33</xdr:row>
      <xdr:rowOff>78105</xdr:rowOff>
    </xdr:to>
    <xdr:graphicFrame macro="">
      <xdr:nvGraphicFramePr>
        <xdr:cNvPr id="2" name="Chart 1">
          <a:extLst>
            <a:ext uri="{FF2B5EF4-FFF2-40B4-BE49-F238E27FC236}">
              <a16:creationId xmlns:a16="http://schemas.microsoft.com/office/drawing/2014/main" id="{00000000-0008-0000-01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15240</xdr:colOff>
      <xdr:row>34</xdr:row>
      <xdr:rowOff>175260</xdr:rowOff>
    </xdr:from>
    <xdr:to>
      <xdr:col>13</xdr:col>
      <xdr:colOff>586740</xdr:colOff>
      <xdr:row>42</xdr:row>
      <xdr:rowOff>200025</xdr:rowOff>
    </xdr:to>
    <xdr:graphicFrame macro="">
      <xdr:nvGraphicFramePr>
        <xdr:cNvPr id="3" name="Chart 2">
          <a:extLst>
            <a:ext uri="{FF2B5EF4-FFF2-40B4-BE49-F238E27FC236}">
              <a16:creationId xmlns:a16="http://schemas.microsoft.com/office/drawing/2014/main" id="{00000000-0008-0000-01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279026</xdr:colOff>
      <xdr:row>0</xdr:row>
      <xdr:rowOff>113180</xdr:rowOff>
    </xdr:from>
    <xdr:to>
      <xdr:col>9</xdr:col>
      <xdr:colOff>431426</xdr:colOff>
      <xdr:row>19</xdr:row>
      <xdr:rowOff>17651</xdr:rowOff>
    </xdr:to>
    <xdr:graphicFrame macro="">
      <xdr:nvGraphicFramePr>
        <xdr:cNvPr id="2" name="Grafico 1">
          <a:extLst>
            <a:ext uri="{FF2B5EF4-FFF2-40B4-BE49-F238E27FC236}">
              <a16:creationId xmlns:a16="http://schemas.microsoft.com/office/drawing/2014/main" id="{75AB94B3-2B65-4DB0-A2B7-AB3A1C5577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16</xdr:col>
      <xdr:colOff>441231</xdr:colOff>
      <xdr:row>26</xdr:row>
      <xdr:rowOff>93849</xdr:rowOff>
    </xdr:from>
    <xdr:to>
      <xdr:col>27</xdr:col>
      <xdr:colOff>145840</xdr:colOff>
      <xdr:row>42</xdr:row>
      <xdr:rowOff>189538</xdr:rowOff>
    </xdr:to>
    <xdr:pic>
      <xdr:nvPicPr>
        <xdr:cNvPr id="4" name="Immagine 3">
          <a:extLst>
            <a:ext uri="{FF2B5EF4-FFF2-40B4-BE49-F238E27FC236}">
              <a16:creationId xmlns:a16="http://schemas.microsoft.com/office/drawing/2014/main" id="{F2A9D017-2C54-485D-A5E5-CF241CCBA6C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773055" y="6032967"/>
          <a:ext cx="7156521" cy="3143689"/>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mw/Dropbox/PROGETTO%20PONTI/fogli%20di%20calcolo/foglio%20di%20calcolo%20ponti.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I GENERALI"/>
      <sheetName val="SOLETTA"/>
      <sheetName val="SISMA Verticale"/>
      <sheetName val="SISMA Orizzontale"/>
      <sheetName val="VENTO"/>
      <sheetName val="TRAVE CAP"/>
      <sheetName val="PERDITE TRAVI"/>
    </sheetNames>
    <sheetDataSet>
      <sheetData sheetId="0"/>
      <sheetData sheetId="1">
        <row r="125">
          <cell r="H125" t="str">
            <v>εc0</v>
          </cell>
        </row>
        <row r="126">
          <cell r="G126">
            <v>20</v>
          </cell>
          <cell r="H126">
            <v>0.3</v>
          </cell>
        </row>
        <row r="127">
          <cell r="G127">
            <v>40</v>
          </cell>
          <cell r="H127">
            <v>0.24</v>
          </cell>
        </row>
        <row r="128">
          <cell r="G128">
            <v>60</v>
          </cell>
          <cell r="H128">
            <v>0.19</v>
          </cell>
        </row>
        <row r="129">
          <cell r="G129">
            <v>80</v>
          </cell>
          <cell r="H129">
            <v>0.15</v>
          </cell>
        </row>
        <row r="131">
          <cell r="H131" t="str">
            <v>Kh</v>
          </cell>
        </row>
        <row r="132">
          <cell r="G132">
            <v>100</v>
          </cell>
          <cell r="H132">
            <v>1</v>
          </cell>
        </row>
        <row r="133">
          <cell r="G133">
            <v>200</v>
          </cell>
          <cell r="H133">
            <v>0.85</v>
          </cell>
        </row>
        <row r="134">
          <cell r="G134">
            <v>300</v>
          </cell>
          <cell r="H134">
            <v>0.75</v>
          </cell>
        </row>
        <row r="135">
          <cell r="G135">
            <v>500</v>
          </cell>
          <cell r="H135">
            <v>0.7</v>
          </cell>
        </row>
      </sheetData>
      <sheetData sheetId="2"/>
      <sheetData sheetId="3"/>
      <sheetData sheetId="4"/>
      <sheetData sheetId="5"/>
      <sheetData sheetId="6"/>
    </sheetDataSet>
  </externalBook>
</externalLink>
</file>

<file path=xl/theme/theme1.xml><?xml version="1.0" encoding="utf-8"?>
<a:theme xmlns:a="http://schemas.openxmlformats.org/drawingml/2006/main" name="Tema di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57"/>
  <sheetViews>
    <sheetView workbookViewId="0">
      <selection activeCell="B4" sqref="B4"/>
    </sheetView>
  </sheetViews>
  <sheetFormatPr defaultRowHeight="15" x14ac:dyDescent="0.25"/>
  <cols>
    <col min="1" max="1" width="13.7109375" customWidth="1"/>
    <col min="2" max="2" width="13.42578125" customWidth="1"/>
    <col min="3" max="3" width="12.85546875" customWidth="1"/>
    <col min="15" max="15" width="11" bestFit="1" customWidth="1"/>
  </cols>
  <sheetData>
    <row r="1" spans="1:17" x14ac:dyDescent="0.25">
      <c r="A1" s="119" t="s">
        <v>52</v>
      </c>
      <c r="B1" s="119"/>
      <c r="C1" s="119"/>
      <c r="J1" s="119" t="s">
        <v>52</v>
      </c>
      <c r="K1" s="119"/>
      <c r="L1" s="119"/>
      <c r="N1" t="s">
        <v>439</v>
      </c>
    </row>
    <row r="2" spans="1:17" x14ac:dyDescent="0.25">
      <c r="A2" s="120" t="s">
        <v>26</v>
      </c>
      <c r="B2" s="120"/>
      <c r="C2" s="120"/>
      <c r="G2" s="10"/>
      <c r="H2" s="10"/>
      <c r="I2" s="10"/>
      <c r="J2" s="120" t="s">
        <v>151</v>
      </c>
      <c r="K2" s="120"/>
      <c r="L2" s="120"/>
      <c r="N2" s="116" t="s">
        <v>440</v>
      </c>
      <c r="O2" s="117"/>
      <c r="P2" s="118"/>
    </row>
    <row r="3" spans="1:17" ht="18" x14ac:dyDescent="0.25">
      <c r="A3" s="12" t="s">
        <v>20</v>
      </c>
      <c r="B3" s="4">
        <v>55</v>
      </c>
      <c r="C3" s="4" t="s">
        <v>5</v>
      </c>
      <c r="J3" s="12" t="s">
        <v>20</v>
      </c>
      <c r="K3" s="27">
        <v>45</v>
      </c>
      <c r="L3" s="27" t="s">
        <v>5</v>
      </c>
      <c r="N3" s="61" t="s">
        <v>437</v>
      </c>
      <c r="O3" s="61">
        <v>450</v>
      </c>
      <c r="P3" s="61" t="s">
        <v>5</v>
      </c>
    </row>
    <row r="4" spans="1:17" ht="18.75" x14ac:dyDescent="0.35">
      <c r="A4" s="4" t="s">
        <v>21</v>
      </c>
      <c r="B4" s="4">
        <f>0.83*B3</f>
        <v>45.65</v>
      </c>
      <c r="C4" s="4" t="s">
        <v>5</v>
      </c>
      <c r="J4" s="27" t="s">
        <v>21</v>
      </c>
      <c r="K4" s="27">
        <f>0.83*K3</f>
        <v>37.35</v>
      </c>
      <c r="L4" s="27" t="s">
        <v>5</v>
      </c>
      <c r="N4" s="61" t="s">
        <v>438</v>
      </c>
      <c r="O4" s="61">
        <f>O3/1.15</f>
        <v>391.304347826087</v>
      </c>
      <c r="P4" s="61" t="s">
        <v>5</v>
      </c>
    </row>
    <row r="5" spans="1:17" ht="18.75" customHeight="1" x14ac:dyDescent="0.35">
      <c r="A5" s="61" t="s">
        <v>441</v>
      </c>
      <c r="B5" s="9">
        <f>0.85*Materiali!B4/1.5</f>
        <v>25.868333333333329</v>
      </c>
      <c r="C5" s="61" t="s">
        <v>5</v>
      </c>
      <c r="J5" s="61" t="s">
        <v>441</v>
      </c>
      <c r="K5" s="9">
        <f>0.85*Materiali!K4/1.5</f>
        <v>21.164999999999999</v>
      </c>
      <c r="L5" s="61" t="s">
        <v>5</v>
      </c>
      <c r="N5" s="61" t="s">
        <v>464</v>
      </c>
      <c r="O5" s="61">
        <v>540</v>
      </c>
      <c r="P5" s="61" t="s">
        <v>5</v>
      </c>
    </row>
    <row r="6" spans="1:17" ht="18.75" x14ac:dyDescent="0.35">
      <c r="A6" s="8" t="s">
        <v>22</v>
      </c>
      <c r="B6" s="4">
        <f>B4+8</f>
        <v>53.65</v>
      </c>
      <c r="C6" s="4" t="s">
        <v>5</v>
      </c>
      <c r="J6" s="8" t="s">
        <v>22</v>
      </c>
      <c r="K6" s="27">
        <f>K4+8</f>
        <v>45.35</v>
      </c>
      <c r="L6" s="27" t="s">
        <v>5</v>
      </c>
    </row>
    <row r="7" spans="1:17" ht="18.75" x14ac:dyDescent="0.35">
      <c r="A7" s="8" t="s">
        <v>23</v>
      </c>
      <c r="B7" s="9">
        <f>0.3*B4^(2/3)</f>
        <v>3.8319083151043372</v>
      </c>
      <c r="C7" s="4" t="s">
        <v>5</v>
      </c>
      <c r="D7" t="s">
        <v>17</v>
      </c>
      <c r="J7" s="8" t="s">
        <v>23</v>
      </c>
      <c r="K7" s="9">
        <f>0.3*K4^(2/3)</f>
        <v>3.3520847645709897</v>
      </c>
      <c r="L7" s="27" t="s">
        <v>5</v>
      </c>
    </row>
    <row r="8" spans="1:17" ht="18.75" x14ac:dyDescent="0.35">
      <c r="A8" s="8" t="s">
        <v>24</v>
      </c>
      <c r="B8" s="9">
        <f>1.2*B7</f>
        <v>4.5982899781252042</v>
      </c>
      <c r="C8" s="4" t="s">
        <v>5</v>
      </c>
      <c r="D8" t="s">
        <v>18</v>
      </c>
      <c r="J8" s="8" t="s">
        <v>24</v>
      </c>
      <c r="K8" s="9">
        <f>1.2*K7</f>
        <v>4.0225017174851878</v>
      </c>
      <c r="L8" s="27" t="s">
        <v>5</v>
      </c>
    </row>
    <row r="9" spans="1:17" ht="18.75" x14ac:dyDescent="0.35">
      <c r="A9" s="6" t="s">
        <v>25</v>
      </c>
      <c r="B9" s="9">
        <f>B7/1.2</f>
        <v>3.1932569292536144</v>
      </c>
      <c r="C9" s="4" t="s">
        <v>5</v>
      </c>
      <c r="D9" t="s">
        <v>19</v>
      </c>
      <c r="J9" s="6" t="s">
        <v>25</v>
      </c>
      <c r="K9" s="9">
        <f>K7/1.2</f>
        <v>2.7934039704758247</v>
      </c>
      <c r="L9" s="27" t="s">
        <v>5</v>
      </c>
    </row>
    <row r="10" spans="1:17" ht="18.75" x14ac:dyDescent="0.35">
      <c r="A10" s="8" t="s">
        <v>27</v>
      </c>
      <c r="B10" s="9">
        <f>22000*(B6/10)^0.3</f>
        <v>36416.113897745636</v>
      </c>
      <c r="C10" s="4" t="s">
        <v>5</v>
      </c>
      <c r="J10" s="8" t="s">
        <v>27</v>
      </c>
      <c r="K10" s="9">
        <f>22000*(K6/10)^0.3</f>
        <v>34625.485235412678</v>
      </c>
      <c r="L10" s="27" t="s">
        <v>5</v>
      </c>
    </row>
    <row r="11" spans="1:17" ht="33" customHeight="1" x14ac:dyDescent="0.25">
      <c r="A11" s="122" t="s">
        <v>28</v>
      </c>
      <c r="B11" s="122"/>
      <c r="C11" s="122"/>
      <c r="M11" s="18"/>
      <c r="N11" s="18"/>
      <c r="O11" s="18"/>
      <c r="P11" s="18"/>
      <c r="Q11" s="18"/>
    </row>
    <row r="12" spans="1:17" x14ac:dyDescent="0.25">
      <c r="A12" s="8" t="s">
        <v>29</v>
      </c>
      <c r="B12" s="13">
        <v>9</v>
      </c>
      <c r="C12" s="11" t="s">
        <v>30</v>
      </c>
      <c r="D12" t="s">
        <v>31</v>
      </c>
      <c r="M12" s="18"/>
      <c r="N12" s="19"/>
      <c r="O12" s="19"/>
      <c r="P12" s="19"/>
      <c r="Q12" s="18"/>
    </row>
    <row r="13" spans="1:17" x14ac:dyDescent="0.25">
      <c r="A13" s="8" t="s">
        <v>37</v>
      </c>
      <c r="B13" s="14">
        <f>0.2</f>
        <v>0.2</v>
      </c>
      <c r="C13" s="4"/>
    </row>
    <row r="14" spans="1:17" ht="18" x14ac:dyDescent="0.35">
      <c r="A14" s="8" t="s">
        <v>33</v>
      </c>
      <c r="B14" s="13">
        <f>EXP(B13*(1-(28/B12)^(0.5)))</f>
        <v>0.85832982539837288</v>
      </c>
      <c r="C14" s="4"/>
      <c r="D14" t="s">
        <v>45</v>
      </c>
    </row>
    <row r="15" spans="1:17" ht="18.75" x14ac:dyDescent="0.35">
      <c r="A15" s="8" t="s">
        <v>32</v>
      </c>
      <c r="B15" s="13">
        <f>B14*B6</f>
        <v>46.049395132622706</v>
      </c>
      <c r="C15" s="4" t="s">
        <v>5</v>
      </c>
    </row>
    <row r="16" spans="1:17" ht="18.75" x14ac:dyDescent="0.35">
      <c r="A16" s="8" t="s">
        <v>34</v>
      </c>
      <c r="B16" s="13">
        <f>B14*B4</f>
        <v>39.182756529435721</v>
      </c>
      <c r="C16" s="4" t="s">
        <v>5</v>
      </c>
    </row>
    <row r="17" spans="1:10" ht="17.25" x14ac:dyDescent="0.25">
      <c r="A17" s="4" t="s">
        <v>35</v>
      </c>
      <c r="B17" s="13">
        <f>0.7*B16</f>
        <v>27.427929570605002</v>
      </c>
      <c r="C17" s="4" t="s">
        <v>5</v>
      </c>
      <c r="D17" t="s">
        <v>41</v>
      </c>
    </row>
    <row r="18" spans="1:10" ht="17.25" x14ac:dyDescent="0.25">
      <c r="A18" s="4" t="s">
        <v>36</v>
      </c>
      <c r="B18" s="13">
        <f>0.6*B16</f>
        <v>23.509653917661431</v>
      </c>
      <c r="C18" s="4" t="s">
        <v>5</v>
      </c>
      <c r="D18" t="s">
        <v>42</v>
      </c>
    </row>
    <row r="19" spans="1:10" x14ac:dyDescent="0.25">
      <c r="A19" s="8" t="s">
        <v>44</v>
      </c>
      <c r="B19" s="13">
        <f>IF(B12&lt;28,1,2/3)</f>
        <v>1</v>
      </c>
      <c r="C19" s="4"/>
    </row>
    <row r="20" spans="1:10" ht="18.75" x14ac:dyDescent="0.35">
      <c r="A20" s="8" t="s">
        <v>38</v>
      </c>
      <c r="B20" s="13">
        <f>B7*B14^B19</f>
        <v>3.2890411950460789</v>
      </c>
      <c r="C20" s="4" t="s">
        <v>5</v>
      </c>
    </row>
    <row r="21" spans="1:10" x14ac:dyDescent="0.25">
      <c r="A21" s="8" t="s">
        <v>39</v>
      </c>
      <c r="B21" s="13">
        <v>1</v>
      </c>
      <c r="C21" s="4"/>
      <c r="D21" t="s">
        <v>43</v>
      </c>
    </row>
    <row r="22" spans="1:10" ht="18.75" x14ac:dyDescent="0.35">
      <c r="A22" s="8" t="s">
        <v>40</v>
      </c>
      <c r="B22" s="13">
        <f>B20*B21</f>
        <v>3.2890411950460789</v>
      </c>
      <c r="C22" s="4" t="s">
        <v>5</v>
      </c>
    </row>
    <row r="24" spans="1:10" x14ac:dyDescent="0.25">
      <c r="A24" s="123" t="s">
        <v>50</v>
      </c>
      <c r="B24" s="124"/>
      <c r="C24" s="125"/>
    </row>
    <row r="25" spans="1:10" ht="18" x14ac:dyDescent="0.35">
      <c r="A25" s="17" t="s">
        <v>58</v>
      </c>
      <c r="B25" s="4">
        <v>15.2</v>
      </c>
      <c r="C25" s="4" t="s">
        <v>6</v>
      </c>
      <c r="D25" t="s">
        <v>59</v>
      </c>
      <c r="G25" t="s">
        <v>420</v>
      </c>
      <c r="J25" t="s">
        <v>421</v>
      </c>
    </row>
    <row r="26" spans="1:10" ht="18.75" x14ac:dyDescent="0.35">
      <c r="A26" s="4" t="s">
        <v>56</v>
      </c>
      <c r="B26" s="4">
        <v>139</v>
      </c>
      <c r="C26" s="4" t="s">
        <v>8</v>
      </c>
      <c r="D26" t="s">
        <v>57</v>
      </c>
      <c r="G26">
        <f>6*B26</f>
        <v>834</v>
      </c>
      <c r="J26">
        <f>2*B26</f>
        <v>278</v>
      </c>
    </row>
    <row r="27" spans="1:10" ht="18.75" x14ac:dyDescent="0.35">
      <c r="A27" s="4" t="s">
        <v>55</v>
      </c>
      <c r="B27" s="4">
        <f>195000</f>
        <v>195000</v>
      </c>
      <c r="C27" s="4" t="s">
        <v>5</v>
      </c>
      <c r="D27" t="s">
        <v>60</v>
      </c>
    </row>
    <row r="28" spans="1:10" ht="18.75" x14ac:dyDescent="0.35">
      <c r="A28" s="4" t="s">
        <v>53</v>
      </c>
      <c r="B28" s="4">
        <v>1860</v>
      </c>
      <c r="C28" s="4" t="s">
        <v>5</v>
      </c>
    </row>
    <row r="29" spans="1:10" ht="18.75" x14ac:dyDescent="0.35">
      <c r="A29" s="4" t="s">
        <v>54</v>
      </c>
      <c r="B29" s="4">
        <f>1670</f>
        <v>1670</v>
      </c>
      <c r="C29" s="4" t="s">
        <v>5</v>
      </c>
    </row>
    <row r="31" spans="1:10" ht="39.75" customHeight="1" x14ac:dyDescent="0.25">
      <c r="A31" s="121" t="s">
        <v>46</v>
      </c>
      <c r="B31" s="121"/>
      <c r="C31" s="121"/>
    </row>
    <row r="32" spans="1:10" ht="17.25" x14ac:dyDescent="0.25">
      <c r="A32" s="6" t="s">
        <v>47</v>
      </c>
      <c r="B32" s="4">
        <f>0.9*$B$29</f>
        <v>1503</v>
      </c>
      <c r="C32" s="4" t="s">
        <v>5</v>
      </c>
    </row>
    <row r="33" spans="1:4" ht="17.25" x14ac:dyDescent="0.25">
      <c r="A33" s="6" t="s">
        <v>48</v>
      </c>
      <c r="B33" s="20">
        <f xml:space="preserve"> 0.8*$B$28</f>
        <v>1488</v>
      </c>
      <c r="C33" s="4" t="s">
        <v>5</v>
      </c>
      <c r="D33" t="s">
        <v>49</v>
      </c>
    </row>
    <row r="34" spans="1:4" ht="17.25" x14ac:dyDescent="0.25">
      <c r="A34" s="6" t="s">
        <v>9</v>
      </c>
      <c r="B34" s="4">
        <f>0.7*B4</f>
        <v>31.954999999999998</v>
      </c>
      <c r="C34" s="4" t="s">
        <v>5</v>
      </c>
      <c r="D34" t="s">
        <v>51</v>
      </c>
    </row>
    <row r="38" spans="1:4" x14ac:dyDescent="0.25">
      <c r="A38" s="115" t="s">
        <v>484</v>
      </c>
      <c r="B38" s="115"/>
      <c r="C38" s="115"/>
    </row>
    <row r="39" spans="1:4" ht="18" x14ac:dyDescent="0.35">
      <c r="A39" s="29" t="s">
        <v>485</v>
      </c>
      <c r="B39" s="13">
        <f>3.2</f>
        <v>3.2</v>
      </c>
      <c r="C39" s="22"/>
      <c r="D39" t="s">
        <v>486</v>
      </c>
    </row>
    <row r="40" spans="1:4" ht="18" x14ac:dyDescent="0.35">
      <c r="A40" s="29" t="s">
        <v>487</v>
      </c>
      <c r="B40" s="13">
        <v>1</v>
      </c>
      <c r="C40" s="22"/>
      <c r="D40" t="s">
        <v>488</v>
      </c>
    </row>
    <row r="41" spans="1:4" ht="17.25" x14ac:dyDescent="0.25">
      <c r="A41" s="29" t="s">
        <v>489</v>
      </c>
      <c r="B41" s="13">
        <f>B20/1.5</f>
        <v>2.1926941300307194</v>
      </c>
      <c r="C41" s="80" t="s">
        <v>5</v>
      </c>
      <c r="D41" t="s">
        <v>490</v>
      </c>
    </row>
    <row r="42" spans="1:4" x14ac:dyDescent="0.25">
      <c r="B42" s="15"/>
    </row>
    <row r="43" spans="1:4" ht="18" x14ac:dyDescent="0.35">
      <c r="A43" s="81" t="s">
        <v>491</v>
      </c>
      <c r="B43" s="80">
        <v>1</v>
      </c>
      <c r="C43" s="80"/>
      <c r="D43" t="s">
        <v>492</v>
      </c>
    </row>
    <row r="44" spans="1:4" ht="18" x14ac:dyDescent="0.35">
      <c r="A44" s="81" t="s">
        <v>493</v>
      </c>
      <c r="B44" s="80">
        <v>0.19</v>
      </c>
      <c r="C44" s="80"/>
      <c r="D44" t="s">
        <v>494</v>
      </c>
    </row>
    <row r="45" spans="1:4" ht="18" x14ac:dyDescent="0.35">
      <c r="A45" s="81" t="s">
        <v>58</v>
      </c>
      <c r="B45" s="80">
        <v>15.2</v>
      </c>
      <c r="C45" s="80" t="s">
        <v>6</v>
      </c>
      <c r="D45" t="s">
        <v>59</v>
      </c>
    </row>
    <row r="46" spans="1:4" ht="17.25" x14ac:dyDescent="0.25">
      <c r="A46" s="49" t="s">
        <v>495</v>
      </c>
      <c r="B46" s="9">
        <f>'fase 0 '!B22</f>
        <v>1064.4391208034353</v>
      </c>
      <c r="C46" s="80" t="s">
        <v>5</v>
      </c>
      <c r="D46" t="s">
        <v>496</v>
      </c>
    </row>
    <row r="47" spans="1:4" x14ac:dyDescent="0.25">
      <c r="A47" s="81" t="s">
        <v>497</v>
      </c>
      <c r="B47" s="9">
        <f>B43*B44*B45*B46/B41</f>
        <v>1401.9740094060694</v>
      </c>
      <c r="C47" s="80" t="s">
        <v>6</v>
      </c>
      <c r="D47" t="s">
        <v>498</v>
      </c>
    </row>
    <row r="52" spans="1:4" x14ac:dyDescent="0.25">
      <c r="D52" s="5" t="s">
        <v>10</v>
      </c>
    </row>
    <row r="53" spans="1:4" x14ac:dyDescent="0.25">
      <c r="A53" s="7" t="s">
        <v>12</v>
      </c>
      <c r="B53" s="3"/>
      <c r="C53" s="3"/>
    </row>
    <row r="54" spans="1:4" x14ac:dyDescent="0.25">
      <c r="D54" s="5" t="s">
        <v>13</v>
      </c>
    </row>
    <row r="55" spans="1:4" ht="17.25" x14ac:dyDescent="0.25">
      <c r="A55" s="6" t="s">
        <v>9</v>
      </c>
      <c r="B55" s="4">
        <f>0.6*B4</f>
        <v>27.389999999999997</v>
      </c>
      <c r="C55" s="4" t="s">
        <v>5</v>
      </c>
      <c r="D55" t="s">
        <v>14</v>
      </c>
    </row>
    <row r="56" spans="1:4" ht="17.25" x14ac:dyDescent="0.25">
      <c r="A56" s="6" t="s">
        <v>9</v>
      </c>
      <c r="B56" s="4">
        <f>0.45*B4</f>
        <v>20.5425</v>
      </c>
      <c r="C56" s="4" t="s">
        <v>5</v>
      </c>
      <c r="D56" s="5" t="s">
        <v>15</v>
      </c>
    </row>
    <row r="57" spans="1:4" ht="17.25" x14ac:dyDescent="0.25">
      <c r="A57" s="6" t="s">
        <v>11</v>
      </c>
      <c r="B57" s="4">
        <f>0.8*450</f>
        <v>360</v>
      </c>
      <c r="C57" s="4" t="s">
        <v>5</v>
      </c>
      <c r="D57" t="s">
        <v>16</v>
      </c>
    </row>
  </sheetData>
  <mergeCells count="9">
    <mergeCell ref="A38:C38"/>
    <mergeCell ref="N2:P2"/>
    <mergeCell ref="J1:L1"/>
    <mergeCell ref="J2:L2"/>
    <mergeCell ref="A31:C31"/>
    <mergeCell ref="A2:C2"/>
    <mergeCell ref="A1:C1"/>
    <mergeCell ref="A11:C11"/>
    <mergeCell ref="A24:C24"/>
  </mergeCells>
  <phoneticPr fontId="3"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57"/>
  <sheetViews>
    <sheetView showGridLines="0" topLeftCell="A38" workbookViewId="0">
      <selection activeCell="D54" sqref="D54"/>
    </sheetView>
  </sheetViews>
  <sheetFormatPr defaultRowHeight="15" x14ac:dyDescent="0.25"/>
  <cols>
    <col min="1" max="1" width="9.140625" style="1"/>
    <col min="2" max="2" width="13.5703125" style="1" customWidth="1"/>
    <col min="3" max="3" width="14.28515625" style="1" customWidth="1"/>
    <col min="5" max="5" width="20.7109375" customWidth="1"/>
  </cols>
  <sheetData>
    <row r="1" spans="1:6" x14ac:dyDescent="0.25">
      <c r="A1" s="120" t="s">
        <v>61</v>
      </c>
      <c r="B1" s="120"/>
      <c r="C1" s="120"/>
      <c r="D1" s="10"/>
    </row>
    <row r="2" spans="1:6" x14ac:dyDescent="0.25">
      <c r="A2" s="11" t="s">
        <v>2</v>
      </c>
      <c r="B2" s="11">
        <v>32</v>
      </c>
      <c r="C2" s="11" t="s">
        <v>3</v>
      </c>
      <c r="D2" s="10" t="s">
        <v>92</v>
      </c>
    </row>
    <row r="3" spans="1:6" ht="24.75" customHeight="1" x14ac:dyDescent="0.25">
      <c r="A3" s="126" t="s">
        <v>63</v>
      </c>
      <c r="B3" s="126"/>
      <c r="C3" s="126"/>
    </row>
    <row r="4" spans="1:6" ht="18" x14ac:dyDescent="0.35">
      <c r="A4" s="4" t="s">
        <v>74</v>
      </c>
      <c r="B4" s="4">
        <v>1850</v>
      </c>
      <c r="C4" s="4" t="s">
        <v>6</v>
      </c>
    </row>
    <row r="5" spans="1:6" ht="18.75" x14ac:dyDescent="0.35">
      <c r="A5" s="4" t="s">
        <v>75</v>
      </c>
      <c r="B5" s="78">
        <v>876300</v>
      </c>
      <c r="C5" s="4" t="s">
        <v>8</v>
      </c>
    </row>
    <row r="6" spans="1:6" x14ac:dyDescent="0.25">
      <c r="A6" s="4" t="s">
        <v>69</v>
      </c>
      <c r="B6" s="4">
        <v>0</v>
      </c>
      <c r="C6" s="4" t="s">
        <v>6</v>
      </c>
    </row>
    <row r="7" spans="1:6" x14ac:dyDescent="0.25">
      <c r="A7" s="4" t="s">
        <v>70</v>
      </c>
      <c r="B7" s="78">
        <v>1049</v>
      </c>
      <c r="C7" s="4" t="s">
        <v>6</v>
      </c>
    </row>
    <row r="8" spans="1:6" x14ac:dyDescent="0.25">
      <c r="A8" s="4" t="s">
        <v>71</v>
      </c>
      <c r="B8" s="4">
        <f>B4-B7</f>
        <v>801</v>
      </c>
      <c r="C8" s="4" t="s">
        <v>6</v>
      </c>
    </row>
    <row r="9" spans="1:6" ht="18.75" x14ac:dyDescent="0.35">
      <c r="A9" s="4" t="s">
        <v>76</v>
      </c>
      <c r="B9" s="78">
        <f>331583614407</f>
        <v>331583614407</v>
      </c>
      <c r="C9" s="4" t="s">
        <v>82</v>
      </c>
      <c r="D9" t="s">
        <v>67</v>
      </c>
    </row>
    <row r="10" spans="1:6" ht="18.75" x14ac:dyDescent="0.35">
      <c r="A10" s="4" t="s">
        <v>77</v>
      </c>
      <c r="B10" s="78">
        <f>356988385000</f>
        <v>356988385000</v>
      </c>
      <c r="C10" s="4" t="s">
        <v>82</v>
      </c>
      <c r="D10" t="s">
        <v>68</v>
      </c>
    </row>
    <row r="11" spans="1:6" ht="18.75" x14ac:dyDescent="0.35">
      <c r="A11" s="4" t="s">
        <v>85</v>
      </c>
      <c r="B11" s="4">
        <f>B9/B7</f>
        <v>316094961.30314583</v>
      </c>
      <c r="C11" s="4" t="s">
        <v>86</v>
      </c>
      <c r="D11" t="s">
        <v>87</v>
      </c>
    </row>
    <row r="12" spans="1:6" x14ac:dyDescent="0.25">
      <c r="A12" s="120" t="s">
        <v>72</v>
      </c>
      <c r="B12" s="120"/>
      <c r="C12" s="120"/>
    </row>
    <row r="13" spans="1:6" ht="18" x14ac:dyDescent="0.35">
      <c r="A13" s="4" t="s">
        <v>78</v>
      </c>
      <c r="B13" s="4">
        <f>SUM(B51:B53)</f>
        <v>72</v>
      </c>
      <c r="C13" s="4"/>
      <c r="D13" t="s">
        <v>474</v>
      </c>
    </row>
    <row r="14" spans="1:6" ht="18" customHeight="1" x14ac:dyDescent="0.35">
      <c r="A14" s="4" t="s">
        <v>79</v>
      </c>
      <c r="B14" s="4">
        <f>B13*Materiali!B26</f>
        <v>10008</v>
      </c>
      <c r="C14" s="4" t="s">
        <v>8</v>
      </c>
      <c r="D14" s="16" t="s">
        <v>65</v>
      </c>
    </row>
    <row r="15" spans="1:6" ht="36.75" customHeight="1" x14ac:dyDescent="0.25">
      <c r="A15" s="127" t="s">
        <v>73</v>
      </c>
      <c r="B15" s="128"/>
      <c r="C15" s="129"/>
      <c r="F15" t="s">
        <v>64</v>
      </c>
    </row>
    <row r="16" spans="1:6" x14ac:dyDescent="0.25">
      <c r="A16" s="4" t="s">
        <v>62</v>
      </c>
      <c r="B16" s="4">
        <v>6</v>
      </c>
      <c r="C16" s="4"/>
      <c r="D16" s="10" t="s">
        <v>81</v>
      </c>
    </row>
    <row r="17" spans="1:4" ht="18.75" x14ac:dyDescent="0.35">
      <c r="A17" s="4" t="s">
        <v>80</v>
      </c>
      <c r="B17" s="78">
        <v>933012</v>
      </c>
      <c r="C17" s="4" t="s">
        <v>8</v>
      </c>
      <c r="D17" t="s">
        <v>84</v>
      </c>
    </row>
    <row r="18" spans="1:4" x14ac:dyDescent="0.25">
      <c r="A18" s="4" t="s">
        <v>70</v>
      </c>
      <c r="B18" s="78">
        <v>1071</v>
      </c>
      <c r="C18" s="4" t="s">
        <v>6</v>
      </c>
      <c r="D18" t="s">
        <v>83</v>
      </c>
    </row>
    <row r="19" spans="1:4" x14ac:dyDescent="0.25">
      <c r="A19" s="4" t="s">
        <v>71</v>
      </c>
      <c r="B19" s="4">
        <f>B4-B18</f>
        <v>779</v>
      </c>
      <c r="C19" s="4" t="s">
        <v>6</v>
      </c>
    </row>
    <row r="20" spans="1:4" ht="18.75" x14ac:dyDescent="0.35">
      <c r="A20" s="4" t="s">
        <v>76</v>
      </c>
      <c r="B20" s="78">
        <f>357238306267</f>
        <v>357238306267</v>
      </c>
      <c r="C20" s="4" t="s">
        <v>82</v>
      </c>
      <c r="D20" t="s">
        <v>67</v>
      </c>
    </row>
    <row r="21" spans="1:4" ht="18" x14ac:dyDescent="0.35">
      <c r="A21" s="4" t="s">
        <v>77</v>
      </c>
      <c r="B21" s="78">
        <f>367293289000</f>
        <v>367293289000</v>
      </c>
      <c r="C21" s="4" t="s">
        <v>66</v>
      </c>
      <c r="D21" t="s">
        <v>68</v>
      </c>
    </row>
    <row r="22" spans="1:4" ht="18.75" x14ac:dyDescent="0.35">
      <c r="A22" s="4" t="s">
        <v>106</v>
      </c>
      <c r="B22" s="4">
        <f>B20/B18</f>
        <v>333555841.51914102</v>
      </c>
      <c r="C22" s="4" t="s">
        <v>86</v>
      </c>
      <c r="D22" t="s">
        <v>87</v>
      </c>
    </row>
    <row r="23" spans="1:4" ht="18.75" x14ac:dyDescent="0.35">
      <c r="A23" s="4" t="s">
        <v>107</v>
      </c>
      <c r="B23" s="4">
        <f>B20/B19</f>
        <v>458585759.00770217</v>
      </c>
      <c r="C23" s="4" t="s">
        <v>86</v>
      </c>
      <c r="D23" t="s">
        <v>87</v>
      </c>
    </row>
    <row r="24" spans="1:4" ht="18" x14ac:dyDescent="0.35">
      <c r="A24" s="4" t="s">
        <v>90</v>
      </c>
      <c r="B24" s="9">
        <f>B55</f>
        <v>410.55555555555554</v>
      </c>
      <c r="C24" s="4" t="s">
        <v>6</v>
      </c>
      <c r="D24" t="s">
        <v>91</v>
      </c>
    </row>
    <row r="25" spans="1:4" x14ac:dyDescent="0.25">
      <c r="A25" s="61" t="s">
        <v>88</v>
      </c>
      <c r="B25" s="9">
        <f>B18-B24</f>
        <v>660.44444444444446</v>
      </c>
      <c r="C25" s="61" t="s">
        <v>6</v>
      </c>
      <c r="D25" t="s">
        <v>89</v>
      </c>
    </row>
    <row r="26" spans="1:4" x14ac:dyDescent="0.25">
      <c r="A26" s="40"/>
      <c r="B26" s="40"/>
      <c r="C26" s="40"/>
    </row>
    <row r="27" spans="1:4" x14ac:dyDescent="0.25">
      <c r="A27" s="121" t="s">
        <v>419</v>
      </c>
      <c r="B27" s="121"/>
      <c r="C27" s="121"/>
    </row>
    <row r="28" spans="1:4" x14ac:dyDescent="0.25">
      <c r="A28" s="121"/>
      <c r="B28" s="121"/>
      <c r="C28" s="121"/>
    </row>
    <row r="29" spans="1:4" x14ac:dyDescent="0.25">
      <c r="A29" s="123" t="s">
        <v>153</v>
      </c>
      <c r="B29" s="124"/>
      <c r="C29" s="125"/>
    </row>
    <row r="30" spans="1:4" x14ac:dyDescent="0.25">
      <c r="A30" s="27" t="s">
        <v>154</v>
      </c>
      <c r="B30" s="27">
        <v>2.5</v>
      </c>
      <c r="C30" s="27" t="s">
        <v>3</v>
      </c>
      <c r="D30" t="s">
        <v>155</v>
      </c>
    </row>
    <row r="31" spans="1:4" x14ac:dyDescent="0.25">
      <c r="A31" s="27" t="s">
        <v>37</v>
      </c>
      <c r="B31" s="27">
        <v>0.25</v>
      </c>
      <c r="C31" s="27" t="s">
        <v>3</v>
      </c>
      <c r="D31" t="s">
        <v>156</v>
      </c>
    </row>
    <row r="32" spans="1:4" ht="18.75" x14ac:dyDescent="0.35">
      <c r="A32" s="43" t="s">
        <v>166</v>
      </c>
      <c r="B32" s="30">
        <f>B30*B31*1000^2</f>
        <v>625000</v>
      </c>
      <c r="C32" s="22" t="s">
        <v>8</v>
      </c>
      <c r="D32" t="s">
        <v>167</v>
      </c>
    </row>
    <row r="33" spans="1:4" x14ac:dyDescent="0.25">
      <c r="A33" s="17" t="s">
        <v>159</v>
      </c>
      <c r="B33" s="27">
        <f>10</f>
        <v>10</v>
      </c>
      <c r="C33" s="27" t="s">
        <v>6</v>
      </c>
      <c r="D33" t="s">
        <v>160</v>
      </c>
    </row>
    <row r="34" spans="1:4" ht="17.25" x14ac:dyDescent="0.25">
      <c r="A34" s="27" t="s">
        <v>157</v>
      </c>
      <c r="B34" s="9">
        <f>10*B33^2*PI()/4</f>
        <v>785.39816339744823</v>
      </c>
      <c r="C34" s="27" t="s">
        <v>8</v>
      </c>
      <c r="D34" t="s">
        <v>161</v>
      </c>
    </row>
    <row r="35" spans="1:4" ht="17.25" x14ac:dyDescent="0.25">
      <c r="A35" s="27" t="s">
        <v>158</v>
      </c>
      <c r="B35" s="9">
        <f>10*B33^2*PI()/4</f>
        <v>785.39816339744823</v>
      </c>
      <c r="C35" s="27" t="s">
        <v>8</v>
      </c>
      <c r="D35" t="s">
        <v>162</v>
      </c>
    </row>
    <row r="36" spans="1:4" x14ac:dyDescent="0.25">
      <c r="A36" s="120" t="s">
        <v>163</v>
      </c>
      <c r="B36" s="120"/>
      <c r="C36" s="120"/>
    </row>
    <row r="37" spans="1:4" x14ac:dyDescent="0.25">
      <c r="A37" s="27" t="s">
        <v>62</v>
      </c>
      <c r="B37" s="27">
        <v>6</v>
      </c>
      <c r="C37" s="27"/>
      <c r="D37" t="s">
        <v>170</v>
      </c>
    </row>
    <row r="38" spans="1:4" x14ac:dyDescent="0.25">
      <c r="A38" s="27" t="s">
        <v>164</v>
      </c>
      <c r="B38" s="23">
        <f>Materiali!B10/Materiali!K10</f>
        <v>1.051714182491849</v>
      </c>
      <c r="C38" s="27"/>
      <c r="D38" t="s">
        <v>165</v>
      </c>
    </row>
    <row r="39" spans="1:4" ht="17.25" x14ac:dyDescent="0.25">
      <c r="A39" s="27" t="s">
        <v>168</v>
      </c>
      <c r="B39" s="27">
        <f>B32+'Caratteristiche trave V185'!B5</f>
        <v>1501300</v>
      </c>
      <c r="C39" s="27" t="s">
        <v>8</v>
      </c>
      <c r="D39" t="s">
        <v>169</v>
      </c>
    </row>
    <row r="40" spans="1:4" ht="18.75" x14ac:dyDescent="0.35">
      <c r="A40" s="27" t="s">
        <v>175</v>
      </c>
      <c r="B40" s="27">
        <f>'Caratteristiche trave V185'!B14</f>
        <v>10008</v>
      </c>
      <c r="C40" s="27" t="s">
        <v>8</v>
      </c>
      <c r="D40" t="s">
        <v>182</v>
      </c>
    </row>
    <row r="41" spans="1:4" ht="18.75" x14ac:dyDescent="0.35">
      <c r="A41" s="27" t="s">
        <v>80</v>
      </c>
      <c r="B41" s="27">
        <f>B39+B38*B40+B37*B40</f>
        <v>1571873.5555383784</v>
      </c>
      <c r="C41" s="27" t="s">
        <v>8</v>
      </c>
      <c r="D41" t="s">
        <v>181</v>
      </c>
    </row>
    <row r="42" spans="1:4" x14ac:dyDescent="0.25">
      <c r="A42" s="27" t="s">
        <v>171</v>
      </c>
      <c r="B42" s="27">
        <f>B31*1000+'Caratteristiche trave V185'!B4</f>
        <v>2100</v>
      </c>
      <c r="C42" s="27" t="s">
        <v>6</v>
      </c>
      <c r="D42" t="s">
        <v>180</v>
      </c>
    </row>
    <row r="43" spans="1:4" x14ac:dyDescent="0.25">
      <c r="A43" s="27" t="s">
        <v>70</v>
      </c>
      <c r="B43" s="78">
        <v>1257</v>
      </c>
      <c r="C43" s="27" t="s">
        <v>6</v>
      </c>
      <c r="D43" t="s">
        <v>179</v>
      </c>
    </row>
    <row r="44" spans="1:4" x14ac:dyDescent="0.25">
      <c r="A44" s="27" t="s">
        <v>172</v>
      </c>
      <c r="B44" s="27">
        <f>B42-B43</f>
        <v>843</v>
      </c>
      <c r="C44" s="27" t="s">
        <v>6</v>
      </c>
      <c r="D44" t="s">
        <v>183</v>
      </c>
    </row>
    <row r="45" spans="1:4" x14ac:dyDescent="0.25">
      <c r="A45" s="27" t="s">
        <v>184</v>
      </c>
      <c r="B45" s="27">
        <f>'Caratteristiche trave V185'!B4-'Caratteristiche trave V185'!B43</f>
        <v>593</v>
      </c>
      <c r="C45" s="27" t="s">
        <v>6</v>
      </c>
      <c r="D45" t="s">
        <v>185</v>
      </c>
    </row>
    <row r="46" spans="1:4" ht="18.75" x14ac:dyDescent="0.35">
      <c r="A46" s="27" t="s">
        <v>173</v>
      </c>
      <c r="B46" s="78">
        <f>896275382452</f>
        <v>896275382452</v>
      </c>
      <c r="C46" s="27" t="s">
        <v>82</v>
      </c>
      <c r="D46" t="s">
        <v>177</v>
      </c>
    </row>
    <row r="47" spans="1:4" ht="18.75" x14ac:dyDescent="0.35">
      <c r="A47" s="27" t="s">
        <v>174</v>
      </c>
      <c r="B47" s="78">
        <f xml:space="preserve"> 689628896120</f>
        <v>689628896120</v>
      </c>
      <c r="C47" s="27" t="s">
        <v>82</v>
      </c>
      <c r="D47" t="s">
        <v>178</v>
      </c>
    </row>
    <row r="48" spans="1:4" x14ac:dyDescent="0.25">
      <c r="A48" s="27" t="s">
        <v>88</v>
      </c>
      <c r="B48" s="27">
        <f>B43-'Caratteristiche trave V185'!B24</f>
        <v>846.44444444444446</v>
      </c>
      <c r="C48" s="27" t="s">
        <v>6</v>
      </c>
      <c r="D48" t="s">
        <v>176</v>
      </c>
    </row>
    <row r="49" spans="1:4" x14ac:dyDescent="0.25">
      <c r="A49" s="120" t="s">
        <v>475</v>
      </c>
      <c r="B49" s="120"/>
      <c r="C49" s="120"/>
    </row>
    <row r="50" spans="1:4" ht="18.75" x14ac:dyDescent="0.35">
      <c r="A50" s="75" t="s">
        <v>477</v>
      </c>
      <c r="B50" s="75" t="s">
        <v>317</v>
      </c>
      <c r="C50" s="75" t="s">
        <v>476</v>
      </c>
    </row>
    <row r="51" spans="1:4" x14ac:dyDescent="0.25">
      <c r="A51" s="75">
        <f>1850-110</f>
        <v>1740</v>
      </c>
      <c r="B51" s="75">
        <v>4</v>
      </c>
      <c r="C51" s="80">
        <f>Materiali!$B$26*B51</f>
        <v>556</v>
      </c>
    </row>
    <row r="52" spans="1:4" x14ac:dyDescent="0.25">
      <c r="A52" s="75">
        <v>950</v>
      </c>
      <c r="B52" s="75">
        <v>18</v>
      </c>
      <c r="C52" s="80">
        <f>Materiali!$B$26*B52</f>
        <v>2502</v>
      </c>
    </row>
    <row r="53" spans="1:4" x14ac:dyDescent="0.25">
      <c r="A53" s="75">
        <v>110</v>
      </c>
      <c r="B53" s="75">
        <v>50</v>
      </c>
      <c r="C53" s="80">
        <f>Materiali!$B$26*B53</f>
        <v>6950</v>
      </c>
      <c r="D53">
        <f>C53/3</f>
        <v>2316.6666666666665</v>
      </c>
    </row>
    <row r="54" spans="1:4" x14ac:dyDescent="0.25">
      <c r="A54" s="120" t="s">
        <v>478</v>
      </c>
      <c r="B54" s="120"/>
      <c r="C54" s="120"/>
    </row>
    <row r="55" spans="1:4" x14ac:dyDescent="0.25">
      <c r="A55" s="75" t="s">
        <v>482</v>
      </c>
      <c r="B55" s="9">
        <f>(C51*A51+C52*A52+C53*A53)/SUM(C51:C53)</f>
        <v>410.55555555555554</v>
      </c>
      <c r="C55" s="75" t="s">
        <v>6</v>
      </c>
    </row>
    <row r="56" spans="1:4" ht="18" x14ac:dyDescent="0.35">
      <c r="A56" s="75" t="s">
        <v>479</v>
      </c>
      <c r="B56" s="75">
        <v>350</v>
      </c>
      <c r="C56" s="75" t="s">
        <v>6</v>
      </c>
    </row>
    <row r="57" spans="1:4" x14ac:dyDescent="0.25">
      <c r="A57" s="74" t="s">
        <v>480</v>
      </c>
      <c r="B57" s="130" t="str">
        <f>IF(B55&gt;B56,"SFORZO INTERNO AL NOCCIOLO","SFORZO FUORI AL NOCCIOLO")</f>
        <v>SFORZO INTERNO AL NOCCIOLO</v>
      </c>
      <c r="C57" s="130"/>
    </row>
  </sheetData>
  <mergeCells count="10">
    <mergeCell ref="A49:C49"/>
    <mergeCell ref="A54:C54"/>
    <mergeCell ref="B57:C57"/>
    <mergeCell ref="A36:C36"/>
    <mergeCell ref="A27:C28"/>
    <mergeCell ref="A1:C1"/>
    <mergeCell ref="A12:C12"/>
    <mergeCell ref="A3:C3"/>
    <mergeCell ref="A15:C15"/>
    <mergeCell ref="A29:C29"/>
  </mergeCells>
  <phoneticPr fontId="3" type="noConversion"/>
  <conditionalFormatting sqref="B57:C57">
    <cfRule type="cellIs" dxfId="206" priority="1" operator="equal">
      <formula>"SFORZO INTERNO AL NOCCIOLO"</formula>
    </cfRule>
    <cfRule type="cellIs" dxfId="205" priority="2" operator="equal">
      <formula>"""SFORZO INTERNO AL NOCCIOLO"""</formula>
    </cfRule>
    <cfRule type="cellIs" dxfId="204" priority="3" operator="equal">
      <formula>"SFORZO FUORI AL NOCCIOLO"</formula>
    </cfRule>
  </conditionalFormatting>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R22"/>
  <sheetViews>
    <sheetView showGridLines="0" zoomScale="85" zoomScaleNormal="85" workbookViewId="0">
      <selection activeCell="U7" sqref="H7:U23"/>
    </sheetView>
  </sheetViews>
  <sheetFormatPr defaultRowHeight="15" x14ac:dyDescent="0.25"/>
  <cols>
    <col min="1" max="1" width="13" customWidth="1"/>
    <col min="2" max="2" width="13.7109375" bestFit="1" customWidth="1"/>
    <col min="4" max="4" width="16.7109375" customWidth="1"/>
    <col min="5" max="5" width="24.7109375" bestFit="1" customWidth="1"/>
    <col min="6" max="6" width="17.5703125" customWidth="1"/>
    <col min="9" max="9" width="9.28515625" bestFit="1" customWidth="1"/>
    <col min="10" max="10" width="10.28515625" bestFit="1" customWidth="1"/>
    <col min="13" max="13" width="9.28515625" bestFit="1" customWidth="1"/>
    <col min="14" max="14" width="11.5703125" customWidth="1"/>
    <col min="17" max="17" width="9.28515625" bestFit="1" customWidth="1"/>
  </cols>
  <sheetData>
    <row r="1" spans="1:18" x14ac:dyDescent="0.25">
      <c r="A1" s="120" t="s">
        <v>0</v>
      </c>
      <c r="B1" s="120"/>
      <c r="C1" s="120"/>
      <c r="I1" s="134" t="s">
        <v>113</v>
      </c>
      <c r="J1" s="134"/>
      <c r="M1" s="134" t="s">
        <v>114</v>
      </c>
      <c r="N1" s="134"/>
      <c r="Q1" s="134" t="s">
        <v>114</v>
      </c>
      <c r="R1" s="134"/>
    </row>
    <row r="2" spans="1:18" ht="18" x14ac:dyDescent="0.35">
      <c r="A2" s="61" t="s">
        <v>94</v>
      </c>
      <c r="B2" s="9">
        <f>(25*'Caratteristiche trave V185'!B5/1000^2)+ (25*1.8*2.5*0.4*2)/'Caratteristiche trave V185'!B2</f>
        <v>24.72</v>
      </c>
      <c r="C2" s="61" t="s">
        <v>1</v>
      </c>
      <c r="I2" s="1" t="s">
        <v>112</v>
      </c>
      <c r="J2" s="1" t="s">
        <v>111</v>
      </c>
      <c r="M2" s="1" t="s">
        <v>112</v>
      </c>
      <c r="N2" s="1" t="s">
        <v>111</v>
      </c>
      <c r="Q2" s="1" t="s">
        <v>112</v>
      </c>
      <c r="R2" s="1" t="s">
        <v>111</v>
      </c>
    </row>
    <row r="3" spans="1:18" x14ac:dyDescent="0.25">
      <c r="A3" s="61" t="s">
        <v>37</v>
      </c>
      <c r="B3" s="61">
        <f>32/2</f>
        <v>16</v>
      </c>
      <c r="C3" s="61" t="s">
        <v>3</v>
      </c>
      <c r="D3" t="s">
        <v>472</v>
      </c>
      <c r="I3" s="1">
        <v>0</v>
      </c>
      <c r="J3" s="1">
        <f>'Caratteristiche trave V185'!B19</f>
        <v>779</v>
      </c>
      <c r="M3" s="1">
        <v>0</v>
      </c>
      <c r="N3" s="1">
        <f>J3</f>
        <v>779</v>
      </c>
      <c r="Q3" s="1">
        <f>I3+M3</f>
        <v>0</v>
      </c>
      <c r="R3" s="1">
        <f>N3</f>
        <v>779</v>
      </c>
    </row>
    <row r="4" spans="1:18" ht="17.25" x14ac:dyDescent="0.25">
      <c r="A4" s="4" t="s">
        <v>104</v>
      </c>
      <c r="B4" s="9">
        <f>B2*0.5*(B3*'Caratteristiche trave V185'!$B$2-B3^2)</f>
        <v>3164.16</v>
      </c>
      <c r="C4" s="4" t="s">
        <v>4</v>
      </c>
      <c r="D4" t="s">
        <v>473</v>
      </c>
      <c r="I4" s="20">
        <f xml:space="preserve">  'fase 0 '!B4*1000^2/'Caratteristiche trave V185'!B23</f>
        <v>6.8998217625568623</v>
      </c>
      <c r="J4" s="20">
        <f>'Caratteristiche trave V185'!B19</f>
        <v>779</v>
      </c>
      <c r="K4" s="20"/>
      <c r="L4" s="20"/>
      <c r="M4" s="20">
        <f xml:space="preserve"> (B13*1000/'Caratteristiche trave V185'!B17) - B13*1000*'Caratteristiche trave V185'!B25/('Caratteristiche trave V185'!B23)</f>
        <v>-3.7949078300288246</v>
      </c>
      <c r="N4" s="20">
        <f t="shared" ref="N4:N6" si="0">J4</f>
        <v>779</v>
      </c>
      <c r="O4" s="20"/>
      <c r="P4" s="20"/>
      <c r="Q4" s="20">
        <f t="shared" ref="Q4:Q6" si="1">I4+M4</f>
        <v>3.1049139325280377</v>
      </c>
      <c r="R4" s="1">
        <f t="shared" ref="R4:R6" si="2">N4</f>
        <v>779</v>
      </c>
    </row>
    <row r="5" spans="1:18" x14ac:dyDescent="0.25">
      <c r="A5" s="131" t="s">
        <v>93</v>
      </c>
      <c r="B5" s="131"/>
      <c r="C5" s="131"/>
      <c r="I5" s="20">
        <f xml:space="preserve"> - 'fase 0 '!B4*1000^2/'Caratteristiche trave V185'!B22</f>
        <v>-9.4861477634125784</v>
      </c>
      <c r="J5" s="20">
        <f>-'Caratteristiche trave V185'!B18</f>
        <v>-1071</v>
      </c>
      <c r="K5" s="20"/>
      <c r="L5" s="20"/>
      <c r="M5" s="20">
        <f>(B13*1000/'Caratteristiche trave V185'!B17) + B13*1000*'Caratteristiche trave V185'!B25/('Caratteristiche trave V185'!B22)</f>
        <v>31.438644086897568</v>
      </c>
      <c r="N5" s="20">
        <f t="shared" si="0"/>
        <v>-1071</v>
      </c>
      <c r="O5" s="20"/>
      <c r="P5" s="20"/>
      <c r="Q5" s="20">
        <f t="shared" si="1"/>
        <v>21.95249632348499</v>
      </c>
      <c r="R5" s="1">
        <f t="shared" si="2"/>
        <v>-1071</v>
      </c>
    </row>
    <row r="6" spans="1:18" ht="18.75" x14ac:dyDescent="0.35">
      <c r="A6" s="24" t="s">
        <v>95</v>
      </c>
      <c r="B6" s="25">
        <f>12000*'Caratteristiche trave V185'!B13/(SUM('Caratteristiche trave V185'!B51:B53))</f>
        <v>12000</v>
      </c>
      <c r="C6" s="24" t="s">
        <v>7</v>
      </c>
      <c r="I6" s="31">
        <v>0</v>
      </c>
      <c r="J6" s="1">
        <f>-'Caratteristiche trave V185'!B18</f>
        <v>-1071</v>
      </c>
      <c r="M6">
        <v>0</v>
      </c>
      <c r="N6" s="1">
        <f t="shared" si="0"/>
        <v>-1071</v>
      </c>
      <c r="Q6" s="1">
        <f t="shared" si="1"/>
        <v>0</v>
      </c>
      <c r="R6" s="1">
        <f t="shared" si="2"/>
        <v>-1071</v>
      </c>
    </row>
    <row r="7" spans="1:18" ht="17.25" x14ac:dyDescent="0.25">
      <c r="A7" s="6" t="s">
        <v>96</v>
      </c>
      <c r="B7" s="9">
        <f>B6*1000/'Caratteristiche trave V185'!B14</f>
        <v>1199.0407673860911</v>
      </c>
      <c r="C7" s="11" t="s">
        <v>5</v>
      </c>
      <c r="D7" s="22" t="s">
        <v>97</v>
      </c>
      <c r="E7" s="6" t="s">
        <v>116</v>
      </c>
      <c r="F7" s="4" t="str">
        <f>IF(B7&lt;MIN(Materiali!B32:B33),"VERIFICA", " NON VERIFICA")</f>
        <v>VERIFICA</v>
      </c>
    </row>
    <row r="8" spans="1:18" x14ac:dyDescent="0.25">
      <c r="A8" s="132" t="s">
        <v>98</v>
      </c>
      <c r="B8" s="132"/>
      <c r="C8" s="132"/>
    </row>
    <row r="9" spans="1:18" ht="17.25" x14ac:dyDescent="0.25">
      <c r="A9" s="6" t="s">
        <v>99</v>
      </c>
      <c r="B9" s="23">
        <f>B6*1000/'Caratteristiche trave V185'!B17 + B6*1000*'Caratteristiche trave V185'!B25/'Caratteristiche trave V185'!B20*'Caratteristiche trave V185'!B25</f>
        <v>27.513533701665644</v>
      </c>
      <c r="C9" s="11" t="s">
        <v>5</v>
      </c>
    </row>
    <row r="10" spans="1:18" x14ac:dyDescent="0.25">
      <c r="A10" s="131" t="s">
        <v>100</v>
      </c>
      <c r="B10" s="131"/>
      <c r="C10" s="131"/>
    </row>
    <row r="11" spans="1:18" x14ac:dyDescent="0.25">
      <c r="A11" s="17" t="s">
        <v>101</v>
      </c>
      <c r="B11" s="23">
        <f>'Perdite di tiro '!B90</f>
        <v>1698.3585814304008</v>
      </c>
      <c r="C11" s="11" t="s">
        <v>7</v>
      </c>
    </row>
    <row r="12" spans="1:18" ht="41.25" customHeight="1" x14ac:dyDescent="0.25">
      <c r="A12" s="133" t="s">
        <v>103</v>
      </c>
      <c r="B12" s="133"/>
      <c r="C12" s="133"/>
    </row>
    <row r="13" spans="1:18" ht="18.75" x14ac:dyDescent="0.35">
      <c r="A13" s="6" t="s">
        <v>102</v>
      </c>
      <c r="B13" s="9">
        <f>B6-B11</f>
        <v>10301.641418569599</v>
      </c>
      <c r="C13" s="11" t="s">
        <v>7</v>
      </c>
    </row>
    <row r="14" spans="1:18" x14ac:dyDescent="0.25">
      <c r="A14" s="131" t="s">
        <v>105</v>
      </c>
      <c r="B14" s="131"/>
      <c r="C14" s="131"/>
      <c r="D14" s="131"/>
      <c r="E14" s="131"/>
      <c r="F14" s="131"/>
      <c r="G14" s="30" t="s">
        <v>230</v>
      </c>
    </row>
    <row r="15" spans="1:18" ht="17.25" x14ac:dyDescent="0.25">
      <c r="A15" s="6" t="s">
        <v>110</v>
      </c>
      <c r="B15" s="21">
        <f>(B13*1000/'Caratteristiche trave V185'!B17) - B13*1000*'Caratteristiche trave V185'!B25/('Caratteristiche trave V185'!B23) + 'fase 0 '!B4*1000^2/'Caratteristiche trave V185'!B23</f>
        <v>3.1049139325280377</v>
      </c>
      <c r="C15" s="11" t="s">
        <v>5</v>
      </c>
      <c r="D15" s="22" t="str">
        <f>IF(B15 &lt; 0,"Trazione","Compressione")</f>
        <v>Compressione</v>
      </c>
      <c r="E15" s="6" t="str">
        <f xml:space="preserve"> IF(D15="Trazione","ϭ &gt; fctm(t)/1.2", "ϭ &lt; 0.7fck(t)")</f>
        <v>ϭ &lt; 0.7fck(t)</v>
      </c>
      <c r="F15" s="4" t="str">
        <f>IF(D15 = "Trazione", IF(ABS(B15) &lt; Materiali!$B$22/1.2,"VERIFICA", " NON VERIFICA"), IF(B15 &lt; 0.7*Materiali!$B$16,"VERIFICA", " NON VERIFICA"))</f>
        <v>VERIFICA</v>
      </c>
      <c r="G15" s="23">
        <f>ABS(B15/IF(D15 = "Trazione",  Materiali!$B$22/1.2,  0.7*Materiali!$B$16))</f>
        <v>0.11320263618642323</v>
      </c>
    </row>
    <row r="16" spans="1:18" x14ac:dyDescent="0.25">
      <c r="A16" s="131" t="s">
        <v>108</v>
      </c>
      <c r="B16" s="131"/>
      <c r="C16" s="131"/>
      <c r="D16" s="131"/>
      <c r="E16" s="131"/>
      <c r="F16" s="131"/>
      <c r="G16" s="23"/>
    </row>
    <row r="17" spans="1:7" ht="17.25" x14ac:dyDescent="0.25">
      <c r="A17" s="6" t="s">
        <v>109</v>
      </c>
      <c r="B17" s="9">
        <f>(B13*1000/'Caratteristiche trave V185'!B17) + B13*1000*'Caratteristiche trave V185'!B25/('Caratteristiche trave V185'!B22) - 'fase 0 '!B4*1000^2/'Caratteristiche trave V185'!B22</f>
        <v>21.95249632348499</v>
      </c>
      <c r="C17" s="11" t="s">
        <v>5</v>
      </c>
      <c r="D17" s="22" t="str">
        <f t="shared" ref="D17" si="3">IF(B17 &lt; 0,"Trazione","Compressione")</f>
        <v>Compressione</v>
      </c>
      <c r="E17" s="6" t="s">
        <v>115</v>
      </c>
      <c r="F17" s="30" t="str">
        <f>IF(D17 = "Trazione", IF(ABS(B17) &lt; Materiali!$B$22/1.2,"VERIFICA", " NON VERIFICA"), IF(B17 &lt; 0.7*Materiali!$B$16,"VERIFICA", " NON VERIFICA"))</f>
        <v>VERIFICA</v>
      </c>
      <c r="G17" s="23">
        <f>ABS(B17/IF(D17 = "Trazione",  Materiali!$B$22/1.2,  0.7*Materiali!$B$16))</f>
        <v>0.80037015797983779</v>
      </c>
    </row>
    <row r="18" spans="1:7" x14ac:dyDescent="0.25">
      <c r="A18" s="131" t="s">
        <v>117</v>
      </c>
      <c r="B18" s="131"/>
      <c r="C18" s="131"/>
      <c r="D18" s="131"/>
      <c r="E18" s="131"/>
      <c r="F18" s="131"/>
      <c r="G18" s="23"/>
    </row>
    <row r="19" spans="1:7" ht="17.25" x14ac:dyDescent="0.25">
      <c r="A19" s="6" t="s">
        <v>120</v>
      </c>
      <c r="B19" s="9">
        <f>B13*1000/'Caratteristiche trave V185'!B17 + ('fase 0 '!B13*1000*'Caratteristiche trave V185'!B25- 'fase 0 '!B4)/'Caratteristiche trave V185'!B20*'Caratteristiche trave V185'!B25</f>
        <v>23.619540679615532</v>
      </c>
      <c r="C19" s="11" t="s">
        <v>5</v>
      </c>
      <c r="D19" s="22" t="str">
        <f t="shared" ref="D19" si="4">IF(B19 &lt; 0,"Trazione","Compressione")</f>
        <v>Compressione</v>
      </c>
      <c r="E19" s="6" t="s">
        <v>115</v>
      </c>
      <c r="F19" s="30" t="str">
        <f>IF(D19 = "Trazione", IF(ABS(B19) &lt; Materiali!$B$22/1.2,"VERIFICA", " NON VERIFICA"), IF(B19 &lt; 0.7*Materiali!$B$16,"VERIFICA", " NON VERIFICA"))</f>
        <v>VERIFICA</v>
      </c>
      <c r="G19" s="23">
        <f>ABS(B19/IF(D19 = "Trazione",  Materiali!$B$22/1.2,  0.7*Materiali!$B$16))</f>
        <v>0.86114923909273167</v>
      </c>
    </row>
    <row r="20" spans="1:7" x14ac:dyDescent="0.25">
      <c r="A20" s="131" t="s">
        <v>118</v>
      </c>
      <c r="B20" s="131"/>
      <c r="C20" s="131"/>
      <c r="D20" s="131"/>
      <c r="E20" s="131"/>
      <c r="F20" s="131"/>
      <c r="G20" s="30"/>
    </row>
    <row r="21" spans="1:7" x14ac:dyDescent="0.25">
      <c r="A21" s="130" t="s">
        <v>119</v>
      </c>
      <c r="B21" s="130"/>
      <c r="C21" s="130"/>
      <c r="D21" s="130"/>
      <c r="E21" s="130"/>
      <c r="F21" s="130"/>
      <c r="G21" s="22"/>
    </row>
    <row r="22" spans="1:7" ht="17.25" x14ac:dyDescent="0.25">
      <c r="A22" s="6" t="s">
        <v>121</v>
      </c>
      <c r="B22" s="9">
        <f>B13*1000/'Caratteristiche trave V185'!B14 + 'Caratteristiche trave V185'!B16*'fase 0 '!B4*1000^2/'Caratteristiche trave V185'!B20*'Caratteristiche trave V185'!B25</f>
        <v>1064.4391208034353</v>
      </c>
      <c r="C22" s="11" t="s">
        <v>5</v>
      </c>
      <c r="D22" s="22" t="s">
        <v>97</v>
      </c>
      <c r="E22" s="6" t="s">
        <v>116</v>
      </c>
      <c r="F22" s="4" t="str">
        <f>IF(B22&lt;MIN(Materiali!B32:B33),"VERIFICA", " NON VERIFICA")</f>
        <v>VERIFICA</v>
      </c>
      <c r="G22" s="9">
        <f>B22/MIN(Materiali!B32:B33)</f>
        <v>0.715348871507685</v>
      </c>
    </row>
  </sheetData>
  <mergeCells count="13">
    <mergeCell ref="A1:C1"/>
    <mergeCell ref="A5:C5"/>
    <mergeCell ref="I1:J1"/>
    <mergeCell ref="M1:N1"/>
    <mergeCell ref="Q1:R1"/>
    <mergeCell ref="A18:F18"/>
    <mergeCell ref="A20:F20"/>
    <mergeCell ref="A21:F21"/>
    <mergeCell ref="A8:C8"/>
    <mergeCell ref="A10:C10"/>
    <mergeCell ref="A12:C12"/>
    <mergeCell ref="A14:F14"/>
    <mergeCell ref="A16:F16"/>
  </mergeCells>
  <phoneticPr fontId="3" type="noConversion"/>
  <conditionalFormatting sqref="F22">
    <cfRule type="containsText" dxfId="203" priority="15" operator="containsText" text="NON ">
      <formula>NOT(ISERROR(SEARCH("NON ",F22)))</formula>
    </cfRule>
    <cfRule type="containsText" dxfId="202" priority="16" operator="containsText" text="VERIFICA">
      <formula>NOT(ISERROR(SEARCH("VERIFICA",F22)))</formula>
    </cfRule>
    <cfRule type="containsText" dxfId="201" priority="17" operator="containsText" text="N">
      <formula>NOT(ISERROR(SEARCH("N",F22)))</formula>
    </cfRule>
    <cfRule type="containsText" dxfId="200" priority="18" operator="containsText" text="NON VERIFICA ">
      <formula>NOT(ISERROR(SEARCH("NON VERIFICA ",F22)))</formula>
    </cfRule>
    <cfRule type="cellIs" dxfId="199" priority="19" operator="equal">
      <formula>"NON VERIFICA"</formula>
    </cfRule>
    <cfRule type="cellIs" dxfId="198" priority="20" operator="equal">
      <formula>"NON VERIFICA"</formula>
    </cfRule>
    <cfRule type="cellIs" dxfId="197" priority="21" operator="equal">
      <formula>"VERIFICA"</formula>
    </cfRule>
  </conditionalFormatting>
  <conditionalFormatting sqref="F7">
    <cfRule type="containsText" dxfId="196" priority="50" operator="containsText" text="NON ">
      <formula>NOT(ISERROR(SEARCH("NON ",F7)))</formula>
    </cfRule>
    <cfRule type="containsText" dxfId="195" priority="51" operator="containsText" text="VERIFICA">
      <formula>NOT(ISERROR(SEARCH("VERIFICA",F7)))</formula>
    </cfRule>
    <cfRule type="containsText" dxfId="194" priority="52" operator="containsText" text="N">
      <formula>NOT(ISERROR(SEARCH("N",F7)))</formula>
    </cfRule>
    <cfRule type="containsText" dxfId="193" priority="53" operator="containsText" text="NON VERIFICA ">
      <formula>NOT(ISERROR(SEARCH("NON VERIFICA ",F7)))</formula>
    </cfRule>
    <cfRule type="cellIs" dxfId="192" priority="54" operator="equal">
      <formula>"NON VERIFICA"</formula>
    </cfRule>
    <cfRule type="cellIs" dxfId="191" priority="55" operator="equal">
      <formula>"NON VERIFICA"</formula>
    </cfRule>
    <cfRule type="cellIs" dxfId="190" priority="56" operator="equal">
      <formula>"VERIFICA"</formula>
    </cfRule>
  </conditionalFormatting>
  <conditionalFormatting sqref="F15">
    <cfRule type="containsText" dxfId="189" priority="43" operator="containsText" text="NON ">
      <formula>NOT(ISERROR(SEARCH("NON ",F15)))</formula>
    </cfRule>
    <cfRule type="containsText" dxfId="188" priority="44" operator="containsText" text="VERIFICA">
      <formula>NOT(ISERROR(SEARCH("VERIFICA",F15)))</formula>
    </cfRule>
    <cfRule type="containsText" dxfId="187" priority="45" operator="containsText" text="N">
      <formula>NOT(ISERROR(SEARCH("N",F15)))</formula>
    </cfRule>
    <cfRule type="containsText" dxfId="186" priority="46" operator="containsText" text="NON VERIFICA ">
      <formula>NOT(ISERROR(SEARCH("NON VERIFICA ",F15)))</formula>
    </cfRule>
    <cfRule type="cellIs" dxfId="185" priority="47" operator="equal">
      <formula>"NON VERIFICA"</formula>
    </cfRule>
    <cfRule type="cellIs" dxfId="184" priority="48" operator="equal">
      <formula>"NON VERIFICA"</formula>
    </cfRule>
    <cfRule type="cellIs" dxfId="183" priority="49" operator="equal">
      <formula>"VERIFICA"</formula>
    </cfRule>
  </conditionalFormatting>
  <conditionalFormatting sqref="F17">
    <cfRule type="containsText" dxfId="182" priority="8" operator="containsText" text="NON ">
      <formula>NOT(ISERROR(SEARCH("NON ",F17)))</formula>
    </cfRule>
    <cfRule type="containsText" dxfId="181" priority="9" operator="containsText" text="VERIFICA">
      <formula>NOT(ISERROR(SEARCH("VERIFICA",F17)))</formula>
    </cfRule>
    <cfRule type="containsText" dxfId="180" priority="10" operator="containsText" text="N">
      <formula>NOT(ISERROR(SEARCH("N",F17)))</formula>
    </cfRule>
    <cfRule type="containsText" dxfId="179" priority="11" operator="containsText" text="NON VERIFICA ">
      <formula>NOT(ISERROR(SEARCH("NON VERIFICA ",F17)))</formula>
    </cfRule>
    <cfRule type="cellIs" dxfId="178" priority="12" operator="equal">
      <formula>"NON VERIFICA"</formula>
    </cfRule>
    <cfRule type="cellIs" dxfId="177" priority="13" operator="equal">
      <formula>"NON VERIFICA"</formula>
    </cfRule>
    <cfRule type="cellIs" dxfId="176" priority="14" operator="equal">
      <formula>"VERIFICA"</formula>
    </cfRule>
  </conditionalFormatting>
  <conditionalFormatting sqref="F19">
    <cfRule type="containsText" dxfId="175" priority="1" operator="containsText" text="NON ">
      <formula>NOT(ISERROR(SEARCH("NON ",F19)))</formula>
    </cfRule>
    <cfRule type="containsText" dxfId="174" priority="2" operator="containsText" text="VERIFICA">
      <formula>NOT(ISERROR(SEARCH("VERIFICA",F19)))</formula>
    </cfRule>
    <cfRule type="containsText" dxfId="173" priority="3" operator="containsText" text="N">
      <formula>NOT(ISERROR(SEARCH("N",F19)))</formula>
    </cfRule>
    <cfRule type="containsText" dxfId="172" priority="4" operator="containsText" text="NON VERIFICA ">
      <formula>NOT(ISERROR(SEARCH("NON VERIFICA ",F19)))</formula>
    </cfRule>
    <cfRule type="cellIs" dxfId="171" priority="5" operator="equal">
      <formula>"NON VERIFICA"</formula>
    </cfRule>
    <cfRule type="cellIs" dxfId="170" priority="6" operator="equal">
      <formula>"NON VERIFICA"</formula>
    </cfRule>
    <cfRule type="cellIs" dxfId="169" priority="7" operator="equal">
      <formula>"VERIFICA"</formula>
    </cfRule>
  </conditionalFormatting>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P34"/>
  <sheetViews>
    <sheetView showGridLines="0" topLeftCell="A34" zoomScale="70" zoomScaleNormal="70" workbookViewId="0">
      <selection activeCell="P35" sqref="A35:P58"/>
    </sheetView>
  </sheetViews>
  <sheetFormatPr defaultRowHeight="15" x14ac:dyDescent="0.25"/>
  <cols>
    <col min="2" max="2" width="12" bestFit="1" customWidth="1"/>
    <col min="3" max="3" width="13.85546875" customWidth="1"/>
    <col min="4" max="4" width="17.85546875" customWidth="1"/>
    <col min="5" max="5" width="29.85546875" customWidth="1"/>
    <col min="6" max="6" width="28.5703125" customWidth="1"/>
  </cols>
  <sheetData>
    <row r="1" spans="1:15" x14ac:dyDescent="0.25">
      <c r="A1" s="32" t="s">
        <v>122</v>
      </c>
      <c r="B1" s="32"/>
      <c r="C1" s="32"/>
      <c r="D1" s="32"/>
    </row>
    <row r="2" spans="1:15" x14ac:dyDescent="0.25">
      <c r="A2" t="s">
        <v>123</v>
      </c>
    </row>
    <row r="3" spans="1:15" x14ac:dyDescent="0.25">
      <c r="A3" s="28" t="s">
        <v>124</v>
      </c>
      <c r="B3" s="28"/>
      <c r="C3" s="28"/>
    </row>
    <row r="4" spans="1:15" ht="18" x14ac:dyDescent="0.35">
      <c r="A4" s="22" t="s">
        <v>126</v>
      </c>
      <c r="B4" s="12">
        <f xml:space="preserve"> 25*10*0.25/4</f>
        <v>15.625</v>
      </c>
      <c r="C4" s="22" t="s">
        <v>1</v>
      </c>
    </row>
    <row r="5" spans="1:15" x14ac:dyDescent="0.25">
      <c r="A5" s="61" t="s">
        <v>37</v>
      </c>
      <c r="B5" s="61">
        <f>'fase 0 '!B3</f>
        <v>16</v>
      </c>
      <c r="C5" s="61" t="s">
        <v>3</v>
      </c>
      <c r="D5" t="s">
        <v>472</v>
      </c>
    </row>
    <row r="6" spans="1:15" ht="17.25" x14ac:dyDescent="0.25">
      <c r="A6" s="61" t="s">
        <v>104</v>
      </c>
      <c r="B6" s="9">
        <f>B4*0.5*(B5*'Caratteristiche trave V185'!$B$2-B5^2)</f>
        <v>2000</v>
      </c>
      <c r="C6" s="61" t="s">
        <v>4</v>
      </c>
      <c r="D6" t="s">
        <v>530</v>
      </c>
    </row>
    <row r="7" spans="1:15" ht="18" x14ac:dyDescent="0.35">
      <c r="A7" s="28" t="s">
        <v>127</v>
      </c>
      <c r="B7" s="28"/>
      <c r="C7" s="28"/>
    </row>
    <row r="8" spans="1:15" ht="17.25" x14ac:dyDescent="0.25">
      <c r="A8" s="29" t="s">
        <v>138</v>
      </c>
      <c r="B8" s="22">
        <f>B6*1000^2/'Caratteristiche trave V185'!B23</f>
        <v>4.3612344271824828</v>
      </c>
      <c r="C8" s="11" t="s">
        <v>5</v>
      </c>
      <c r="D8" t="s">
        <v>128</v>
      </c>
    </row>
    <row r="9" spans="1:15" ht="17.25" x14ac:dyDescent="0.25">
      <c r="A9" s="29" t="s">
        <v>139</v>
      </c>
      <c r="B9" s="22">
        <f>-B6*1000^2/'Caratteristiche trave V185'!B22</f>
        <v>-5.9959975244062109</v>
      </c>
      <c r="C9" s="11" t="s">
        <v>5</v>
      </c>
      <c r="D9" t="s">
        <v>129</v>
      </c>
    </row>
    <row r="10" spans="1:15" ht="17.25" x14ac:dyDescent="0.25">
      <c r="A10" s="29" t="s">
        <v>132</v>
      </c>
      <c r="B10" s="22">
        <f>-B6*1000^2*'Caratteristiche trave V185'!B25/'Caratteristiche trave V185'!B20</f>
        <v>-3.6975007039185104</v>
      </c>
      <c r="C10" s="11" t="s">
        <v>5</v>
      </c>
      <c r="D10" t="s">
        <v>130</v>
      </c>
    </row>
    <row r="11" spans="1:15" ht="46.5" customHeight="1" x14ac:dyDescent="0.25">
      <c r="A11" s="135" t="s">
        <v>131</v>
      </c>
      <c r="B11" s="135"/>
      <c r="C11" s="135"/>
      <c r="D11" s="135"/>
      <c r="E11" s="135"/>
      <c r="F11" s="135"/>
    </row>
    <row r="12" spans="1:15" x14ac:dyDescent="0.25">
      <c r="A12" s="28" t="s">
        <v>134</v>
      </c>
      <c r="B12" s="28"/>
      <c r="C12" s="28"/>
      <c r="D12" s="28"/>
      <c r="E12" s="28"/>
      <c r="F12" s="39"/>
    </row>
    <row r="13" spans="1:15" x14ac:dyDescent="0.25">
      <c r="A13" s="46" t="s">
        <v>135</v>
      </c>
      <c r="B13" s="47">
        <f>'Perdite di tiro '!B94</f>
        <v>2600.5560404920857</v>
      </c>
      <c r="C13" s="47" t="s">
        <v>7</v>
      </c>
      <c r="D13" s="39" t="s">
        <v>136</v>
      </c>
      <c r="E13" s="39"/>
      <c r="F13" s="39"/>
    </row>
    <row r="14" spans="1:15" ht="17.25" x14ac:dyDescent="0.25">
      <c r="A14" s="29" t="s">
        <v>138</v>
      </c>
      <c r="B14" s="9">
        <f>-B13*1000/'Caratteristiche trave V185'!B17 + B13*1000*'Caratteristiche trave V185'!B25/'Caratteristiche trave V185'!B23</f>
        <v>0.95799009881111585</v>
      </c>
      <c r="C14" s="11" t="s">
        <v>5</v>
      </c>
      <c r="D14" s="30" t="str">
        <f>IF(B14 &lt; 0,"Trazione","Compressione")</f>
        <v>Compressione</v>
      </c>
      <c r="E14" s="39" t="s">
        <v>128</v>
      </c>
      <c r="F14" s="39"/>
    </row>
    <row r="15" spans="1:15" ht="17.25" x14ac:dyDescent="0.25">
      <c r="A15" s="29" t="s">
        <v>133</v>
      </c>
      <c r="B15" s="9">
        <f>-B13*1000/'Caratteristiche trave V185'!B17 - B13*1000*'Caratteristiche trave V185'!B25/'Caratteristiche trave V185'!B22</f>
        <v>-7.9364008572154789</v>
      </c>
      <c r="C15" s="11" t="s">
        <v>5</v>
      </c>
      <c r="D15" s="30" t="str">
        <f t="shared" ref="D15:D16" si="0">IF(B15 &lt; 0,"Trazione","Compressione")</f>
        <v>Trazione</v>
      </c>
      <c r="E15" s="39" t="s">
        <v>129</v>
      </c>
      <c r="F15" s="39"/>
      <c r="O15" s="30"/>
    </row>
    <row r="16" spans="1:15" ht="17.25" x14ac:dyDescent="0.25">
      <c r="A16" s="29" t="s">
        <v>132</v>
      </c>
      <c r="B16" s="9">
        <f>-B13*1000/'Caratteristiche trave V185'!B17 - B13*1000*'Caratteristiche trave V185'!B25^2/'Caratteristiche trave V185'!B20</f>
        <v>-5.9625405219290979</v>
      </c>
      <c r="C16" s="11" t="s">
        <v>5</v>
      </c>
      <c r="D16" s="30" t="str">
        <f t="shared" si="0"/>
        <v>Trazione</v>
      </c>
      <c r="E16" s="39" t="s">
        <v>130</v>
      </c>
      <c r="F16" s="39"/>
      <c r="O16" s="9"/>
    </row>
    <row r="18" spans="1:16" x14ac:dyDescent="0.25">
      <c r="A18" s="120" t="s">
        <v>137</v>
      </c>
      <c r="B18" s="120"/>
      <c r="C18" s="120"/>
      <c r="D18" s="120"/>
      <c r="E18" s="120"/>
      <c r="F18" s="120"/>
      <c r="G18" s="30" t="s">
        <v>230</v>
      </c>
    </row>
    <row r="19" spans="1:16" ht="17.25" x14ac:dyDescent="0.25">
      <c r="A19" s="29" t="s">
        <v>142</v>
      </c>
      <c r="B19" s="9">
        <f>'fase 0 '!B15 +'fase 1 '!B8+'fase 1 '!B14</f>
        <v>8.4241384585216359</v>
      </c>
      <c r="C19" s="11" t="s">
        <v>5</v>
      </c>
      <c r="D19" s="4" t="str">
        <f>IF(B19 &lt; 0,"Trazione","Compressione")</f>
        <v>Compressione</v>
      </c>
      <c r="E19" s="30" t="str">
        <f>IF(D19 = "Trazione", IF(ABS(B19) &lt; Materiali!$B$22/1.2,"VERIFICA", " NON VERIFICA"), IF(B19 &lt; 0.7*Materiali!$B$16,"VERIFICA", " NON VERIFICA"))</f>
        <v>VERIFICA</v>
      </c>
      <c r="F19" s="6" t="str">
        <f xml:space="preserve"> IF(D19="Trazione","ϭ &gt; fctm(t)/1.2", "ϭ &lt; 0.6fck(t)")</f>
        <v>ϭ &lt; 0.6fck(t)</v>
      </c>
      <c r="G19" s="30">
        <f>ABS(B19/IF(D19 = "Trazione",  Materiali!$B$22/1.2,  0.7*Materiali!$B$16))</f>
        <v>0.30713723530739756</v>
      </c>
    </row>
    <row r="20" spans="1:16" x14ac:dyDescent="0.25">
      <c r="A20" s="120" t="s">
        <v>140</v>
      </c>
      <c r="B20" s="120"/>
      <c r="C20" s="120"/>
      <c r="D20" s="120"/>
      <c r="E20" s="120"/>
      <c r="F20" s="120"/>
      <c r="G20" s="30"/>
    </row>
    <row r="21" spans="1:16" ht="17.25" x14ac:dyDescent="0.25">
      <c r="A21" s="29" t="s">
        <v>141</v>
      </c>
      <c r="B21" s="26">
        <f>'fase 0 '!B17 +'fase 1 '!B9+'fase 1 '!B15</f>
        <v>8.0200979418633018</v>
      </c>
      <c r="C21" s="11" t="s">
        <v>5</v>
      </c>
      <c r="D21" s="4" t="str">
        <f t="shared" ref="D21" si="1">IF(B21 &lt; 0,"Trazione","Compressione")</f>
        <v>Compressione</v>
      </c>
      <c r="E21" s="30" t="str">
        <f>IF(D21 = "Trazione", IF(ABS(B21) &lt; Materiali!$B$22/1.2,"VERIFICA", " NON VERIFICA"), IF(B21 &lt; 0.7*Materiali!$B$16,"VERIFICA", " NON VERIFICA"))</f>
        <v>VERIFICA</v>
      </c>
      <c r="F21" s="6" t="str">
        <f t="shared" ref="F21:F23" si="2" xml:space="preserve"> IF(D21="Trazione","ϭ &gt; fctm(t)/1.2", "ϭ &lt; 0.6fck(t)")</f>
        <v>ϭ &lt; 0.6fck(t)</v>
      </c>
      <c r="G21" s="30">
        <f>ABS(B21/IF(D21 = "Trazione",  Materiali!$B$22/1.2,  0.7*Materiali!$B$16))</f>
        <v>0.29240624674997645</v>
      </c>
    </row>
    <row r="22" spans="1:16" x14ac:dyDescent="0.25">
      <c r="A22" s="120" t="s">
        <v>143</v>
      </c>
      <c r="B22" s="120"/>
      <c r="C22" s="120"/>
      <c r="D22" s="120"/>
      <c r="E22" s="120"/>
      <c r="F22" s="120"/>
      <c r="G22" s="30"/>
    </row>
    <row r="23" spans="1:16" ht="17.25" x14ac:dyDescent="0.25">
      <c r="A23" s="29" t="s">
        <v>144</v>
      </c>
      <c r="B23" s="26">
        <f>'fase 0 '!B19+B10+B16</f>
        <v>13.959499453767924</v>
      </c>
      <c r="C23" s="11" t="s">
        <v>5</v>
      </c>
      <c r="D23" s="4" t="str">
        <f t="shared" ref="D23" si="3">IF(B23 &lt; 0,"Trazione","Compressione")</f>
        <v>Compressione</v>
      </c>
      <c r="E23" s="30" t="str">
        <f>IF(D23 = "Trazione", IF(ABS(B23) &lt; Materiali!$B$22/1.2,"VERIFICA", " NON VERIFICA"), IF(B23 &lt; 0.7*Materiali!$B$16,"VERIFICA", " NON VERIFICA"))</f>
        <v>VERIFICA</v>
      </c>
      <c r="F23" s="6" t="str">
        <f t="shared" si="2"/>
        <v>ϭ &lt; 0.6fck(t)</v>
      </c>
      <c r="G23" s="30">
        <f>ABS(B23/IF(D23 = "Trazione",  Materiali!$B$22/1.2,  0.7*Materiali!$B$16))</f>
        <v>0.50895199427406168</v>
      </c>
    </row>
    <row r="24" spans="1:16" x14ac:dyDescent="0.25">
      <c r="A24" s="120" t="s">
        <v>145</v>
      </c>
      <c r="B24" s="120"/>
      <c r="C24" s="120"/>
      <c r="D24" s="120"/>
      <c r="E24" s="120"/>
      <c r="F24" s="120"/>
      <c r="G24" s="30"/>
    </row>
    <row r="25" spans="1:16" x14ac:dyDescent="0.25">
      <c r="A25" s="29" t="s">
        <v>146</v>
      </c>
      <c r="B25" s="22"/>
      <c r="C25" s="22"/>
      <c r="D25" s="22"/>
      <c r="E25" s="22"/>
      <c r="F25" s="22"/>
      <c r="G25" s="30"/>
    </row>
    <row r="26" spans="1:16" ht="17.25" x14ac:dyDescent="0.25">
      <c r="A26" s="29" t="s">
        <v>147</v>
      </c>
      <c r="B26" s="22">
        <f>'fase 0 '!B22-'Caratteristiche trave V185'!B16*'fase 1 '!B16 + 'Caratteristiche trave V185'!B16*'fase 1 '!B10</f>
        <v>1078.029359711499</v>
      </c>
      <c r="C26" s="11" t="s">
        <v>5</v>
      </c>
      <c r="D26" s="22" t="s">
        <v>97</v>
      </c>
      <c r="E26" s="4" t="str">
        <f>IF(B26&lt;MIN(Materiali!B32:B33),"VERIFICA", " NON VERIFICA")</f>
        <v>VERIFICA</v>
      </c>
      <c r="F26" s="6" t="s">
        <v>116</v>
      </c>
      <c r="G26" s="30">
        <f>B26/MIN(Materiali!B32:B33)</f>
        <v>0.72448209658030849</v>
      </c>
    </row>
    <row r="29" spans="1:16" x14ac:dyDescent="0.25">
      <c r="B29" s="134" t="s">
        <v>148</v>
      </c>
      <c r="C29" s="134"/>
      <c r="F29" s="134" t="s">
        <v>149</v>
      </c>
      <c r="G29" s="134"/>
      <c r="J29" s="134" t="s">
        <v>150</v>
      </c>
      <c r="K29" s="134"/>
      <c r="O29" s="134" t="s">
        <v>150</v>
      </c>
      <c r="P29" s="134"/>
    </row>
    <row r="30" spans="1:16" x14ac:dyDescent="0.25">
      <c r="B30" s="1" t="s">
        <v>112</v>
      </c>
      <c r="C30" s="1" t="s">
        <v>111</v>
      </c>
      <c r="F30" s="1" t="s">
        <v>112</v>
      </c>
      <c r="G30" s="1" t="s">
        <v>111</v>
      </c>
      <c r="J30" s="1" t="s">
        <v>112</v>
      </c>
      <c r="K30" s="1" t="s">
        <v>111</v>
      </c>
      <c r="O30" s="1" t="s">
        <v>112</v>
      </c>
      <c r="P30" s="1" t="s">
        <v>111</v>
      </c>
    </row>
    <row r="31" spans="1:16" x14ac:dyDescent="0.25">
      <c r="B31" s="1">
        <f>'fase 0 '!Q3</f>
        <v>0</v>
      </c>
      <c r="C31" s="1">
        <f>'fase 0 '!R3</f>
        <v>779</v>
      </c>
      <c r="F31" s="1">
        <v>0</v>
      </c>
      <c r="G31" s="1">
        <f>C31</f>
        <v>779</v>
      </c>
      <c r="J31" s="1">
        <f>B31+F31</f>
        <v>0</v>
      </c>
      <c r="K31" s="1">
        <f>G31</f>
        <v>779</v>
      </c>
      <c r="O31" s="1">
        <f>B31+F31+J31</f>
        <v>0</v>
      </c>
      <c r="P31" s="1">
        <f>G31</f>
        <v>779</v>
      </c>
    </row>
    <row r="32" spans="1:16" x14ac:dyDescent="0.25">
      <c r="B32" s="2">
        <f>'fase 0 '!Q4</f>
        <v>3.1049139325280377</v>
      </c>
      <c r="C32" s="1">
        <f>'fase 0 '!R4</f>
        <v>779</v>
      </c>
      <c r="D32" s="20"/>
      <c r="E32" s="20"/>
      <c r="F32" s="20">
        <f>B14</f>
        <v>0.95799009881111585</v>
      </c>
      <c r="G32" s="20">
        <f t="shared" ref="G32:G34" si="4">C32</f>
        <v>779</v>
      </c>
      <c r="H32" s="20"/>
      <c r="I32" s="20"/>
      <c r="J32" s="20">
        <f>B8</f>
        <v>4.3612344271824828</v>
      </c>
      <c r="K32" s="1">
        <f t="shared" ref="K32:K34" si="5">G32</f>
        <v>779</v>
      </c>
      <c r="O32" s="2">
        <f t="shared" ref="O32:O34" si="6">B32+F32+J32</f>
        <v>8.4241384585216359</v>
      </c>
      <c r="P32" s="1">
        <f t="shared" ref="P32:P34" si="7">G32</f>
        <v>779</v>
      </c>
    </row>
    <row r="33" spans="2:16" x14ac:dyDescent="0.25">
      <c r="B33" s="2">
        <f>'fase 0 '!Q5</f>
        <v>21.95249632348499</v>
      </c>
      <c r="C33" s="1">
        <f>'fase 0 '!R5</f>
        <v>-1071</v>
      </c>
      <c r="D33" s="20"/>
      <c r="E33" s="20"/>
      <c r="F33" s="20">
        <f>B15</f>
        <v>-7.9364008572154789</v>
      </c>
      <c r="G33" s="20">
        <f t="shared" si="4"/>
        <v>-1071</v>
      </c>
      <c r="H33" s="20"/>
      <c r="I33" s="20"/>
      <c r="J33" s="20">
        <f>B9</f>
        <v>-5.9959975244062109</v>
      </c>
      <c r="K33" s="1">
        <f t="shared" si="5"/>
        <v>-1071</v>
      </c>
      <c r="O33" s="2">
        <f t="shared" si="6"/>
        <v>8.0200979418633018</v>
      </c>
      <c r="P33" s="1">
        <f t="shared" si="7"/>
        <v>-1071</v>
      </c>
    </row>
    <row r="34" spans="2:16" x14ac:dyDescent="0.25">
      <c r="B34" s="1">
        <f>'fase 0 '!Q6</f>
        <v>0</v>
      </c>
      <c r="C34" s="1">
        <f>'fase 0 '!R6</f>
        <v>-1071</v>
      </c>
      <c r="F34">
        <v>0</v>
      </c>
      <c r="G34" s="1">
        <f t="shared" si="4"/>
        <v>-1071</v>
      </c>
      <c r="J34" s="1">
        <f t="shared" ref="J34" si="8">B34+F34</f>
        <v>0</v>
      </c>
      <c r="K34" s="1">
        <f t="shared" si="5"/>
        <v>-1071</v>
      </c>
      <c r="O34" s="1">
        <f t="shared" si="6"/>
        <v>0</v>
      </c>
      <c r="P34" s="1">
        <f t="shared" si="7"/>
        <v>-1071</v>
      </c>
    </row>
  </sheetData>
  <mergeCells count="9">
    <mergeCell ref="O29:P29"/>
    <mergeCell ref="A11:F11"/>
    <mergeCell ref="B29:C29"/>
    <mergeCell ref="F29:G29"/>
    <mergeCell ref="J29:K29"/>
    <mergeCell ref="A18:F18"/>
    <mergeCell ref="A20:F20"/>
    <mergeCell ref="A22:F22"/>
    <mergeCell ref="A24:F24"/>
  </mergeCells>
  <phoneticPr fontId="3" type="noConversion"/>
  <conditionalFormatting sqref="E26">
    <cfRule type="containsText" dxfId="168" priority="36" operator="containsText" text="NON ">
      <formula>NOT(ISERROR(SEARCH("NON ",E26)))</formula>
    </cfRule>
    <cfRule type="containsText" dxfId="167" priority="37" operator="containsText" text="VERIFICA">
      <formula>NOT(ISERROR(SEARCH("VERIFICA",E26)))</formula>
    </cfRule>
    <cfRule type="containsText" dxfId="166" priority="38" operator="containsText" text="N">
      <formula>NOT(ISERROR(SEARCH("N",E26)))</formula>
    </cfRule>
    <cfRule type="containsText" dxfId="165" priority="39" operator="containsText" text="NON VERIFICA ">
      <formula>NOT(ISERROR(SEARCH("NON VERIFICA ",E26)))</formula>
    </cfRule>
    <cfRule type="cellIs" dxfId="164" priority="40" operator="equal">
      <formula>"NON VERIFICA"</formula>
    </cfRule>
    <cfRule type="cellIs" dxfId="163" priority="41" operator="equal">
      <formula>"NON VERIFICA"</formula>
    </cfRule>
    <cfRule type="cellIs" dxfId="162" priority="42" operator="equal">
      <formula>"VERIFICA"</formula>
    </cfRule>
  </conditionalFormatting>
  <conditionalFormatting sqref="E19">
    <cfRule type="containsText" dxfId="161" priority="29" operator="containsText" text="NON ">
      <formula>NOT(ISERROR(SEARCH("NON ",E19)))</formula>
    </cfRule>
    <cfRule type="containsText" dxfId="160" priority="30" operator="containsText" text="VERIFICA">
      <formula>NOT(ISERROR(SEARCH("VERIFICA",E19)))</formula>
    </cfRule>
    <cfRule type="containsText" dxfId="159" priority="31" operator="containsText" text="N">
      <formula>NOT(ISERROR(SEARCH("N",E19)))</formula>
    </cfRule>
    <cfRule type="containsText" dxfId="158" priority="32" operator="containsText" text="NON VERIFICA ">
      <formula>NOT(ISERROR(SEARCH("NON VERIFICA ",E19)))</formula>
    </cfRule>
    <cfRule type="cellIs" dxfId="157" priority="33" operator="equal">
      <formula>"NON VERIFICA"</formula>
    </cfRule>
    <cfRule type="cellIs" dxfId="156" priority="34" operator="equal">
      <formula>"NON VERIFICA"</formula>
    </cfRule>
    <cfRule type="cellIs" dxfId="155" priority="35" operator="equal">
      <formula>"VERIFICA"</formula>
    </cfRule>
  </conditionalFormatting>
  <conditionalFormatting sqref="E21">
    <cfRule type="containsText" dxfId="154" priority="8" operator="containsText" text="NON ">
      <formula>NOT(ISERROR(SEARCH("NON ",E21)))</formula>
    </cfRule>
    <cfRule type="containsText" dxfId="153" priority="9" operator="containsText" text="VERIFICA">
      <formula>NOT(ISERROR(SEARCH("VERIFICA",E21)))</formula>
    </cfRule>
    <cfRule type="containsText" dxfId="152" priority="10" operator="containsText" text="N">
      <formula>NOT(ISERROR(SEARCH("N",E21)))</formula>
    </cfRule>
    <cfRule type="containsText" dxfId="151" priority="11" operator="containsText" text="NON VERIFICA ">
      <formula>NOT(ISERROR(SEARCH("NON VERIFICA ",E21)))</formula>
    </cfRule>
    <cfRule type="cellIs" dxfId="150" priority="12" operator="equal">
      <formula>"NON VERIFICA"</formula>
    </cfRule>
    <cfRule type="cellIs" dxfId="149" priority="13" operator="equal">
      <formula>"NON VERIFICA"</formula>
    </cfRule>
    <cfRule type="cellIs" dxfId="148" priority="14" operator="equal">
      <formula>"VERIFICA"</formula>
    </cfRule>
  </conditionalFormatting>
  <conditionalFormatting sqref="E23">
    <cfRule type="containsText" dxfId="147" priority="1" operator="containsText" text="NON ">
      <formula>NOT(ISERROR(SEARCH("NON ",E23)))</formula>
    </cfRule>
    <cfRule type="containsText" dxfId="146" priority="2" operator="containsText" text="VERIFICA">
      <formula>NOT(ISERROR(SEARCH("VERIFICA",E23)))</formula>
    </cfRule>
    <cfRule type="containsText" dxfId="145" priority="3" operator="containsText" text="N">
      <formula>NOT(ISERROR(SEARCH("N",E23)))</formula>
    </cfRule>
    <cfRule type="containsText" dxfId="144" priority="4" operator="containsText" text="NON VERIFICA ">
      <formula>NOT(ISERROR(SEARCH("NON VERIFICA ",E23)))</formula>
    </cfRule>
    <cfRule type="cellIs" dxfId="143" priority="5" operator="equal">
      <formula>"NON VERIFICA"</formula>
    </cfRule>
    <cfRule type="cellIs" dxfId="142" priority="6" operator="equal">
      <formula>"NON VERIFICA"</formula>
    </cfRule>
    <cfRule type="cellIs" dxfId="141" priority="7" operator="equal">
      <formula>"VERIFICA"</formula>
    </cfRule>
  </conditionalFormatting>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56"/>
  <sheetViews>
    <sheetView showGridLines="0" topLeftCell="A49" zoomScale="70" zoomScaleNormal="70" workbookViewId="0">
      <selection activeCell="G41" sqref="A2:G41"/>
    </sheetView>
  </sheetViews>
  <sheetFormatPr defaultRowHeight="15" x14ac:dyDescent="0.25"/>
  <cols>
    <col min="1" max="1" width="23.7109375" customWidth="1"/>
    <col min="2" max="2" width="20.140625" customWidth="1"/>
    <col min="3" max="3" width="13.5703125" customWidth="1"/>
    <col min="4" max="4" width="21.85546875" customWidth="1"/>
    <col min="5" max="5" width="22.140625" customWidth="1"/>
    <col min="6" max="6" width="26.42578125" customWidth="1"/>
  </cols>
  <sheetData>
    <row r="1" spans="1:10" x14ac:dyDescent="0.25">
      <c r="A1" s="32" t="s">
        <v>152</v>
      </c>
      <c r="B1" s="32"/>
      <c r="C1" s="32"/>
      <c r="D1" s="32"/>
    </row>
    <row r="2" spans="1:10" x14ac:dyDescent="0.25">
      <c r="A2" s="136" t="s">
        <v>190</v>
      </c>
      <c r="B2" s="136"/>
      <c r="C2" s="136"/>
    </row>
    <row r="3" spans="1:10" ht="18" x14ac:dyDescent="0.35">
      <c r="A3" s="11" t="s">
        <v>188</v>
      </c>
      <c r="B3" s="27">
        <f>(2.7+3.14)*2.5/2 + 0.7*2.5</f>
        <v>9.0500000000000007</v>
      </c>
      <c r="C3" s="11" t="s">
        <v>1</v>
      </c>
      <c r="D3" t="s">
        <v>187</v>
      </c>
    </row>
    <row r="4" spans="1:10" ht="18" x14ac:dyDescent="0.35">
      <c r="A4" s="11" t="s">
        <v>189</v>
      </c>
      <c r="B4" s="27">
        <f>(1.01+2.7)*2.5/2 +0.7*(2.5-0.7) +3.8*0.7</f>
        <v>8.5574999999999992</v>
      </c>
      <c r="C4" s="11" t="s">
        <v>1</v>
      </c>
      <c r="D4" t="s">
        <v>186</v>
      </c>
    </row>
    <row r="5" spans="1:10" x14ac:dyDescent="0.25">
      <c r="A5" s="77" t="s">
        <v>37</v>
      </c>
      <c r="B5" s="77">
        <f>'fase 0 '!B3</f>
        <v>16</v>
      </c>
      <c r="C5" s="77" t="s">
        <v>3</v>
      </c>
      <c r="D5" t="s">
        <v>472</v>
      </c>
    </row>
    <row r="6" spans="1:10" ht="18" x14ac:dyDescent="0.35">
      <c r="A6" s="11" t="s">
        <v>125</v>
      </c>
      <c r="B6" s="9">
        <f>MAX(B3:B4)*0.5*(B5*'Caratteristiche trave V185'!B2-'fase 2 '!B5^2)</f>
        <v>1158.4000000000001</v>
      </c>
      <c r="C6" s="11" t="s">
        <v>4</v>
      </c>
      <c r="D6" t="s">
        <v>191</v>
      </c>
    </row>
    <row r="7" spans="1:10" x14ac:dyDescent="0.25">
      <c r="A7" s="136" t="s">
        <v>192</v>
      </c>
      <c r="B7" s="136"/>
      <c r="C7" s="136"/>
    </row>
    <row r="8" spans="1:10" ht="17.25" x14ac:dyDescent="0.25">
      <c r="A8" s="8" t="s">
        <v>193</v>
      </c>
      <c r="B8" s="9">
        <f>B6*1000^2/('Caratteristiche trave V185'!B38*'Caratteristiche trave V185'!B46)*'Caratteristiche trave V185'!B44</f>
        <v>1.0359693937165164</v>
      </c>
      <c r="C8" s="11" t="s">
        <v>5</v>
      </c>
      <c r="D8" t="s">
        <v>195</v>
      </c>
    </row>
    <row r="9" spans="1:10" ht="17.25" x14ac:dyDescent="0.25">
      <c r="A9" s="8" t="s">
        <v>194</v>
      </c>
      <c r="B9" s="9">
        <f>B6*1000^2/('Caratteristiche trave V185'!B38*'Caratteristiche trave V185'!B46)*'Caratteristiche trave V185'!B45</f>
        <v>0.72874240862858142</v>
      </c>
      <c r="C9" s="11" t="s">
        <v>5</v>
      </c>
      <c r="D9" t="s">
        <v>197</v>
      </c>
    </row>
    <row r="10" spans="1:10" ht="17.25" x14ac:dyDescent="0.25">
      <c r="A10" s="8" t="s">
        <v>196</v>
      </c>
      <c r="B10" s="9">
        <f>B6*1000^2/('Caratteristiche trave V185'!B46)*'Caratteristiche trave V185'!B45</f>
        <v>0.76642872653794947</v>
      </c>
      <c r="C10" s="11" t="s">
        <v>5</v>
      </c>
      <c r="D10" t="s">
        <v>198</v>
      </c>
    </row>
    <row r="11" spans="1:10" ht="17.25" x14ac:dyDescent="0.25">
      <c r="A11" s="8" t="s">
        <v>199</v>
      </c>
      <c r="B11" s="9">
        <f>-B6*1000^2/('Caratteristiche trave V185'!B46)*'Caratteristiche trave V185'!B43</f>
        <v>-1.6246221066748778</v>
      </c>
      <c r="C11" s="11" t="s">
        <v>5</v>
      </c>
      <c r="D11" t="s">
        <v>200</v>
      </c>
    </row>
    <row r="12" spans="1:10" ht="17.25" x14ac:dyDescent="0.25">
      <c r="A12" s="8" t="s">
        <v>201</v>
      </c>
      <c r="B12" s="9">
        <f>-B6*1000^2/('Caratteristiche trave V185'!B46)*'Caratteristiche trave V185'!B48</f>
        <v>-1.0939955103552743</v>
      </c>
      <c r="C12" s="11" t="s">
        <v>5</v>
      </c>
      <c r="D12" t="s">
        <v>202</v>
      </c>
    </row>
    <row r="13" spans="1:10" x14ac:dyDescent="0.25">
      <c r="A13" s="34"/>
      <c r="B13" s="36"/>
      <c r="C13" s="33"/>
    </row>
    <row r="14" spans="1:10" x14ac:dyDescent="0.25">
      <c r="A14" s="123" t="s">
        <v>208</v>
      </c>
      <c r="B14" s="124"/>
      <c r="C14" s="125"/>
      <c r="H14" s="41"/>
      <c r="I14" s="41"/>
      <c r="J14" s="41"/>
    </row>
    <row r="15" spans="1:10" ht="17.25" x14ac:dyDescent="0.25">
      <c r="A15" s="8" t="s">
        <v>207</v>
      </c>
      <c r="B15" s="27">
        <f>'Perdite di tiro '!B98</f>
        <v>-6.9996133990704585</v>
      </c>
      <c r="C15" s="11" t="s">
        <v>5</v>
      </c>
      <c r="H15" s="41"/>
      <c r="I15" s="41"/>
      <c r="J15" s="41"/>
    </row>
    <row r="16" spans="1:10" x14ac:dyDescent="0.25">
      <c r="A16" s="17" t="s">
        <v>209</v>
      </c>
      <c r="B16" s="9">
        <f>-B15*'Caratteristiche trave V185'!B32/1000</f>
        <v>4374.758374419036</v>
      </c>
      <c r="C16" s="27" t="s">
        <v>7</v>
      </c>
      <c r="H16" s="41"/>
      <c r="I16" s="41"/>
      <c r="J16" s="41"/>
    </row>
    <row r="17" spans="1:7" x14ac:dyDescent="0.25">
      <c r="A17" s="8" t="s">
        <v>210</v>
      </c>
      <c r="B17" s="9">
        <f>B16*('Caratteristiche trave V185'!B44-250)/1000</f>
        <v>2594.2317160304883</v>
      </c>
      <c r="C17" s="11" t="s">
        <v>4</v>
      </c>
      <c r="D17" s="39"/>
      <c r="E17" s="39"/>
      <c r="F17" s="39"/>
    </row>
    <row r="18" spans="1:7" ht="17.25" x14ac:dyDescent="0.25">
      <c r="A18" s="8" t="s">
        <v>193</v>
      </c>
      <c r="B18" s="9">
        <f>B16*1000/('Caratteristiche trave V185'!B38*'Caratteristiche trave V185'!B41) +B17*1000^2/('Caratteristiche trave V185'!B38*'Caratteristiche trave V185'!B46)*'Caratteristiche trave V185'!B44 + B15</f>
        <v>-2.03326658300643</v>
      </c>
      <c r="C18" s="11" t="s">
        <v>5</v>
      </c>
      <c r="D18" s="40" t="str">
        <f>IF(B18 &lt; 0,"Trazione","Compressione")</f>
        <v>Trazione</v>
      </c>
      <c r="E18" t="s">
        <v>195</v>
      </c>
      <c r="F18" s="39"/>
    </row>
    <row r="19" spans="1:7" ht="17.25" x14ac:dyDescent="0.25">
      <c r="A19" s="8" t="s">
        <v>194</v>
      </c>
      <c r="B19" s="38">
        <f>B16*1000/('Caratteristiche trave V185'!B38*'Caratteristiche trave V185'!B41) +B17*1000^2/('Caratteristiche trave V185'!B38*'Caratteristiche trave V185'!B46)*'Caratteristiche trave V185'!B45 + B15</f>
        <v>-2.7213000677574204</v>
      </c>
      <c r="C19" s="11" t="s">
        <v>5</v>
      </c>
      <c r="D19" s="40" t="str">
        <f t="shared" ref="D19:D22" si="0">IF(B19 &lt; 0,"Trazione","Compressione")</f>
        <v>Trazione</v>
      </c>
      <c r="E19" t="s">
        <v>197</v>
      </c>
      <c r="F19" s="39"/>
    </row>
    <row r="20" spans="1:7" ht="17.25" x14ac:dyDescent="0.25">
      <c r="A20" s="8" t="s">
        <v>196</v>
      </c>
      <c r="B20" s="9">
        <f>B16*1000/('Caratteristiche trave V185'!B41) +B17*1000^2/('Caratteristiche trave V185'!B46)*'Caratteristiche trave V185'!B45</f>
        <v>4.4995628076858711</v>
      </c>
      <c r="C20" s="11" t="s">
        <v>5</v>
      </c>
      <c r="D20" s="40" t="str">
        <f t="shared" si="0"/>
        <v>Compressione</v>
      </c>
      <c r="E20" t="s">
        <v>198</v>
      </c>
      <c r="F20" s="39"/>
    </row>
    <row r="21" spans="1:7" ht="17.25" x14ac:dyDescent="0.25">
      <c r="A21" s="8" t="s">
        <v>199</v>
      </c>
      <c r="B21" s="9">
        <f>B16*1000/('Caratteristiche trave V185'!B41) -B17*1000^2/('Caratteristiche trave V185'!B46)*'Caratteristiche trave V185'!B43</f>
        <v>-0.85518503948422753</v>
      </c>
      <c r="C21" s="11" t="s">
        <v>5</v>
      </c>
      <c r="D21" s="40" t="str">
        <f t="shared" si="0"/>
        <v>Trazione</v>
      </c>
      <c r="E21" t="s">
        <v>200</v>
      </c>
      <c r="F21" s="39"/>
    </row>
    <row r="22" spans="1:7" ht="17.25" x14ac:dyDescent="0.25">
      <c r="A22" s="8" t="s">
        <v>214</v>
      </c>
      <c r="B22" s="9">
        <f>B16*1000/('Caratteristiche trave V185'!B41) -B17*1000^2/('Caratteristiche trave V185'!B46)*('Caratteristiche trave V185'!B43-'Caratteristiche trave V185'!B24)</f>
        <v>0.33315089416703447</v>
      </c>
      <c r="C22" s="11" t="s">
        <v>5</v>
      </c>
      <c r="D22" s="40" t="str">
        <f t="shared" si="0"/>
        <v>Compressione</v>
      </c>
      <c r="E22" t="s">
        <v>202</v>
      </c>
      <c r="F22" s="39"/>
    </row>
    <row r="23" spans="1:7" x14ac:dyDescent="0.25">
      <c r="D23" s="41"/>
      <c r="E23" s="41"/>
      <c r="F23" s="41"/>
    </row>
    <row r="24" spans="1:7" x14ac:dyDescent="0.25">
      <c r="A24" s="28" t="s">
        <v>134</v>
      </c>
      <c r="B24" s="28"/>
      <c r="C24" s="42"/>
      <c r="D24" s="41"/>
      <c r="E24" s="41"/>
      <c r="F24" s="41"/>
    </row>
    <row r="25" spans="1:7" x14ac:dyDescent="0.25">
      <c r="A25" s="17" t="s">
        <v>135</v>
      </c>
      <c r="B25" s="27">
        <f>'Perdite di tiro '!B112</f>
        <v>198.28532802408725</v>
      </c>
      <c r="C25" s="27" t="s">
        <v>7</v>
      </c>
      <c r="D25" s="41" t="s">
        <v>136</v>
      </c>
      <c r="E25" s="41"/>
      <c r="F25" s="41"/>
    </row>
    <row r="26" spans="1:7" ht="17.25" x14ac:dyDescent="0.25">
      <c r="A26" s="8" t="s">
        <v>193</v>
      </c>
      <c r="B26" s="9">
        <f>-B25*1000/('Caratteristiche trave V185'!B38*'Caratteristiche trave V185'!B41) +B25*1000*'Caratteristiche trave V185'!B48/('Caratteristiche trave V185'!B38*'Caratteristiche trave V185'!B46)*'Caratteristiche trave V185'!B44</f>
        <v>3.015577489313824E-2</v>
      </c>
      <c r="C26" s="11" t="s">
        <v>5</v>
      </c>
      <c r="D26" s="33" t="str">
        <f>IF(B26 &lt; 0,"Trazione","Compressione")</f>
        <v>Compressione</v>
      </c>
      <c r="E26" t="s">
        <v>215</v>
      </c>
      <c r="F26" s="41"/>
    </row>
    <row r="27" spans="1:7" ht="17.25" x14ac:dyDescent="0.25">
      <c r="A27" s="8" t="s">
        <v>194</v>
      </c>
      <c r="B27" s="38">
        <f>-B25*1000/('Caratteristiche trave V185'!B38*'Caratteristiche trave V185'!B41) +B25*1000*'Caratteristiche trave V185'!B48/('Caratteristiche trave V185'!B38*'Caratteristiche trave V185'!B46)*'Caratteristiche trave V185'!B45</f>
        <v>-1.4357530967913729E-2</v>
      </c>
      <c r="C27" s="11" t="s">
        <v>5</v>
      </c>
      <c r="D27" s="33" t="str">
        <f t="shared" ref="D27:D30" si="1">IF(B27 &lt; 0,"Trazione","Compressione")</f>
        <v>Trazione</v>
      </c>
      <c r="E27" t="s">
        <v>197</v>
      </c>
      <c r="F27" s="41"/>
    </row>
    <row r="28" spans="1:7" ht="17.25" x14ac:dyDescent="0.25">
      <c r="A28" s="8" t="s">
        <v>196</v>
      </c>
      <c r="B28" s="37">
        <f>-B25*1000/('Caratteristiche trave V185'!B41) +B25*1000*'Caratteristiche trave V185'!B48/('Caratteristiche trave V185'!B46)*'Caratteristiche trave V185'!B45</f>
        <v>-1.5100018944520788E-2</v>
      </c>
      <c r="C28" s="11" t="s">
        <v>5</v>
      </c>
      <c r="D28" s="33" t="str">
        <f t="shared" si="1"/>
        <v>Trazione</v>
      </c>
      <c r="E28" t="s">
        <v>216</v>
      </c>
      <c r="F28" s="41"/>
    </row>
    <row r="29" spans="1:7" ht="17.25" x14ac:dyDescent="0.25">
      <c r="A29" s="8" t="s">
        <v>199</v>
      </c>
      <c r="B29" s="9">
        <f>-B25*1000/('Caratteristiche trave V185'!B41) -B25*1000*'Caratteristiche trave V185'!B48/('Caratteristiche trave V185'!B46)*'Caratteristiche trave V185'!B43</f>
        <v>-0.36153305456364848</v>
      </c>
      <c r="C29" s="11" t="s">
        <v>5</v>
      </c>
      <c r="D29" s="33" t="str">
        <f t="shared" si="1"/>
        <v>Trazione</v>
      </c>
      <c r="E29" t="s">
        <v>217</v>
      </c>
      <c r="F29" s="41"/>
    </row>
    <row r="30" spans="1:7" ht="17.25" x14ac:dyDescent="0.25">
      <c r="A30" s="8" t="s">
        <v>201</v>
      </c>
      <c r="B30" s="9">
        <f>-B25*1000/('Caratteristiche trave V185'!B41) -B25*1000*'Caratteristiche trave V185'!B48/('Caratteristiche trave V185'!B46)*('Caratteristiche trave V185'!B43-'Caratteristiche trave V185'!B24)</f>
        <v>-0.28465196948180599</v>
      </c>
      <c r="C30" s="11" t="s">
        <v>5</v>
      </c>
      <c r="D30" s="33" t="str">
        <f t="shared" si="1"/>
        <v>Trazione</v>
      </c>
      <c r="E30" t="s">
        <v>218</v>
      </c>
    </row>
    <row r="31" spans="1:7" x14ac:dyDescent="0.25">
      <c r="A31" s="120" t="s">
        <v>221</v>
      </c>
      <c r="B31" s="120"/>
      <c r="C31" s="120"/>
      <c r="D31" s="120"/>
      <c r="E31" s="120"/>
      <c r="F31" s="120"/>
      <c r="G31" s="30" t="s">
        <v>230</v>
      </c>
    </row>
    <row r="32" spans="1:7" ht="17.25" x14ac:dyDescent="0.25">
      <c r="A32" s="17" t="s">
        <v>225</v>
      </c>
      <c r="B32" s="9">
        <f>G50</f>
        <v>-0.96714141439677537</v>
      </c>
      <c r="C32" s="11" t="s">
        <v>5</v>
      </c>
      <c r="D32" s="30" t="str">
        <f>IF(B32 &lt; 0,"Trazione","Compressione")</f>
        <v>Trazione</v>
      </c>
      <c r="E32" s="30" t="str">
        <f>IF(D32 = "Trazione", IF(ABS(B32) &lt; Materiali!$B$22/1.2,"VERIFICA", " NON VERIFICA"), IF(B32 &lt; 0.7*Materiali!$B$16,"VERIFICA", " NON VERIFICA"))</f>
        <v>VERIFICA</v>
      </c>
      <c r="F32" s="6" t="str">
        <f xml:space="preserve"> IF(D32="Trazione","ϭ &gt; fctm(t)/1.2", "ϭ &lt; 0.6fck(t)")</f>
        <v>ϭ &gt; fctm(t)/1.2</v>
      </c>
      <c r="G32" s="30">
        <f>ABS(B32/IF(D32 = "Trazione",  Materiali!$B$22/1.2,  0.7*Materiali!$B$16))</f>
        <v>0.35285958078730323</v>
      </c>
    </row>
    <row r="33" spans="1:7" x14ac:dyDescent="0.25">
      <c r="A33" s="120" t="s">
        <v>220</v>
      </c>
      <c r="B33" s="120"/>
      <c r="C33" s="120"/>
      <c r="D33" s="120"/>
      <c r="E33" s="120"/>
      <c r="F33" s="120"/>
      <c r="G33" s="30"/>
    </row>
    <row r="34" spans="1:7" ht="17.25" x14ac:dyDescent="0.25">
      <c r="A34" s="17" t="s">
        <v>226</v>
      </c>
      <c r="B34" s="9">
        <f>G51</f>
        <v>-2.0069151900967528</v>
      </c>
      <c r="C34" s="11" t="s">
        <v>5</v>
      </c>
      <c r="D34" s="30" t="str">
        <f t="shared" ref="D34" si="2">IF(B34 &lt; 0,"Trazione","Compressione")</f>
        <v>Trazione</v>
      </c>
      <c r="E34" s="30" t="str">
        <f>IF(D34 = "Trazione", IF(ABS(B34) &lt; Materiali!$B$22/1.2,"VERIFICA", " NON VERIFICA"), IF(B34 &lt; 0.7*Materiali!$B$16,"VERIFICA", " NON VERIFICA"))</f>
        <v>VERIFICA</v>
      </c>
      <c r="F34" s="6" t="str">
        <f t="shared" ref="F34:F38" si="3" xml:space="preserve"> IF(D34="Trazione","ϭ &gt; fctm(t)/1.2", "ϭ &lt; 0.6fck(t)")</f>
        <v>ϭ &gt; fctm(t)/1.2</v>
      </c>
      <c r="G34" s="30">
        <f>ABS(B34/IF(D34 = "Trazione",  Materiali!$B$22/1.2,  0.7*Materiali!$B$16))</f>
        <v>0.7322189310804188</v>
      </c>
    </row>
    <row r="35" spans="1:7" x14ac:dyDescent="0.25">
      <c r="A35" s="120" t="s">
        <v>222</v>
      </c>
      <c r="B35" s="120"/>
      <c r="C35" s="120"/>
      <c r="D35" s="120"/>
      <c r="E35" s="120"/>
      <c r="F35" s="120"/>
      <c r="G35" s="30"/>
    </row>
    <row r="36" spans="1:7" ht="17.25" x14ac:dyDescent="0.25">
      <c r="A36" s="17" t="s">
        <v>227</v>
      </c>
      <c r="B36" s="9">
        <f>G54</f>
        <v>13.675029973800935</v>
      </c>
      <c r="C36" s="11" t="s">
        <v>5</v>
      </c>
      <c r="D36" s="30" t="str">
        <f t="shared" ref="D36:D38" si="4">IF(B36 &lt; 0,"Trazione","Compressione")</f>
        <v>Compressione</v>
      </c>
      <c r="E36" s="30" t="str">
        <f>IF(D36 = "Trazione", IF(ABS(B36) &lt; Materiali!$B$22/1.2,"VERIFICA", " NON VERIFICA"), IF(B36 &lt; 0.7*Materiali!$B$16,"VERIFICA", " NON VERIFICA"))</f>
        <v>VERIFICA</v>
      </c>
      <c r="F36" s="6" t="str">
        <f t="shared" si="3"/>
        <v>ϭ &lt; 0.6fck(t)</v>
      </c>
      <c r="G36" s="30">
        <f>ABS(B36/IF(D36 = "Trazione",  Materiali!$B$22/1.2,  0.7*Materiali!$B$16))</f>
        <v>0.49858046844544573</v>
      </c>
    </row>
    <row r="37" spans="1:7" x14ac:dyDescent="0.25">
      <c r="A37" s="120" t="s">
        <v>223</v>
      </c>
      <c r="B37" s="120"/>
      <c r="C37" s="120"/>
      <c r="D37" s="120"/>
      <c r="E37" s="120"/>
      <c r="F37" s="120"/>
      <c r="G37" s="30"/>
    </row>
    <row r="38" spans="1:7" ht="17.25" x14ac:dyDescent="0.25">
      <c r="A38" s="17" t="s">
        <v>228</v>
      </c>
      <c r="B38" s="9">
        <f>G55</f>
        <v>5.1787577411405481</v>
      </c>
      <c r="C38" s="11" t="s">
        <v>5</v>
      </c>
      <c r="D38" s="30" t="str">
        <f t="shared" si="4"/>
        <v>Compressione</v>
      </c>
      <c r="E38" s="30" t="str">
        <f>IF(D38 = "Trazione", IF(ABS(B38) &lt; Materiali!$B$22/1.2,"VERIFICA", " NON VERIFICA"), IF(B38 &lt; 0.7*Materiali!$B$16,"VERIFICA", " NON VERIFICA"))</f>
        <v>VERIFICA</v>
      </c>
      <c r="F38" s="6" t="str">
        <f t="shared" si="3"/>
        <v>ϭ &lt; 0.6fck(t)</v>
      </c>
      <c r="G38" s="30">
        <f>ABS(B38/IF(D38 = "Trazione",  Materiali!$B$22/1.2,  0.7*Materiali!$B$16))</f>
        <v>0.18881329441252157</v>
      </c>
    </row>
    <row r="39" spans="1:7" x14ac:dyDescent="0.25">
      <c r="A39" s="120" t="s">
        <v>237</v>
      </c>
      <c r="B39" s="120"/>
      <c r="C39" s="120"/>
      <c r="D39" s="120"/>
      <c r="E39" s="120"/>
      <c r="F39" s="120"/>
      <c r="G39" s="30"/>
    </row>
    <row r="40" spans="1:7" x14ac:dyDescent="0.25">
      <c r="A40" s="137" t="s">
        <v>231</v>
      </c>
      <c r="B40" s="138"/>
      <c r="C40" s="138"/>
      <c r="D40" s="138"/>
      <c r="E40" s="138"/>
      <c r="F40" s="139"/>
      <c r="G40" s="30"/>
    </row>
    <row r="41" spans="1:7" ht="17.25" x14ac:dyDescent="0.25">
      <c r="A41" s="17" t="s">
        <v>229</v>
      </c>
      <c r="B41" s="9">
        <f>ABS(B30+B22+B12)*'Caratteristiche trave V185'!B37 +'fase 1 '!B26</f>
        <v>1084.3023392255193</v>
      </c>
      <c r="C41" s="11" t="s">
        <v>5</v>
      </c>
      <c r="D41" s="30" t="s">
        <v>97</v>
      </c>
      <c r="E41" s="30" t="str">
        <f>IF(B41&lt;MIN(Materiali!B32:B33),"VERIFICA", " NON VERIFICA")</f>
        <v>VERIFICA</v>
      </c>
      <c r="F41" s="6" t="s">
        <v>116</v>
      </c>
      <c r="G41" s="9">
        <f>B41/MIN(Materiali!B32:B33)</f>
        <v>0.72869780861930056</v>
      </c>
    </row>
    <row r="42" spans="1:7" x14ac:dyDescent="0.25">
      <c r="G42" s="36"/>
    </row>
    <row r="43" spans="1:7" x14ac:dyDescent="0.25">
      <c r="A43" s="52"/>
      <c r="B43" s="36"/>
      <c r="C43" s="33"/>
      <c r="D43" s="40"/>
      <c r="E43" s="40"/>
      <c r="F43" s="45"/>
      <c r="G43" s="36"/>
    </row>
    <row r="44" spans="1:7" x14ac:dyDescent="0.25">
      <c r="A44" s="52"/>
      <c r="B44" s="36"/>
      <c r="C44" s="33"/>
      <c r="D44" s="40"/>
      <c r="E44" s="40"/>
      <c r="F44" s="45"/>
      <c r="G44" s="36"/>
    </row>
    <row r="45" spans="1:7" x14ac:dyDescent="0.25">
      <c r="A45" s="44"/>
      <c r="B45" s="39"/>
      <c r="C45" s="33"/>
      <c r="D45" s="39"/>
      <c r="E45" s="40"/>
      <c r="F45" s="45"/>
    </row>
    <row r="47" spans="1:7" x14ac:dyDescent="0.25">
      <c r="C47" s="27" t="s">
        <v>205</v>
      </c>
      <c r="D47" s="27" t="s">
        <v>212</v>
      </c>
      <c r="E47" s="27" t="s">
        <v>211</v>
      </c>
      <c r="F47" s="27" t="s">
        <v>213</v>
      </c>
    </row>
    <row r="48" spans="1:7" x14ac:dyDescent="0.25">
      <c r="A48" s="27" t="s">
        <v>203</v>
      </c>
      <c r="B48" s="27" t="s">
        <v>204</v>
      </c>
      <c r="C48" s="35" t="s">
        <v>206</v>
      </c>
      <c r="D48" s="35" t="s">
        <v>206</v>
      </c>
      <c r="E48" s="35" t="s">
        <v>206</v>
      </c>
      <c r="F48" s="35" t="s">
        <v>206</v>
      </c>
      <c r="G48" s="35" t="s">
        <v>219</v>
      </c>
    </row>
    <row r="49" spans="1:7" x14ac:dyDescent="0.25">
      <c r="A49" s="27">
        <v>1</v>
      </c>
      <c r="B49" s="27">
        <f>B51+250</f>
        <v>1029</v>
      </c>
      <c r="C49" s="9">
        <v>0</v>
      </c>
      <c r="D49" s="27">
        <v>0</v>
      </c>
      <c r="E49" s="27">
        <v>0</v>
      </c>
      <c r="F49" s="27">
        <v>0</v>
      </c>
      <c r="G49" s="9">
        <f>SUM(C49:F49)</f>
        <v>0</v>
      </c>
    </row>
    <row r="50" spans="1:7" x14ac:dyDescent="0.25">
      <c r="A50" s="27">
        <v>2</v>
      </c>
      <c r="B50" s="27">
        <f>B51+250</f>
        <v>1029</v>
      </c>
      <c r="C50" s="9">
        <v>0</v>
      </c>
      <c r="D50" s="9">
        <f>B8</f>
        <v>1.0359693937165164</v>
      </c>
      <c r="E50" s="13">
        <f>B18</f>
        <v>-2.03326658300643</v>
      </c>
      <c r="F50" s="9">
        <f>B26</f>
        <v>3.015577489313824E-2</v>
      </c>
      <c r="G50" s="9">
        <f t="shared" ref="G50:G56" si="5">SUM(C50:F50)</f>
        <v>-0.96714141439677537</v>
      </c>
    </row>
    <row r="51" spans="1:7" x14ac:dyDescent="0.25">
      <c r="A51" s="27">
        <v>3</v>
      </c>
      <c r="B51" s="27">
        <f>B53</f>
        <v>779</v>
      </c>
      <c r="C51" s="9">
        <v>0</v>
      </c>
      <c r="D51" s="9">
        <f>B9</f>
        <v>0.72874240862858142</v>
      </c>
      <c r="E51" s="13">
        <f>B19</f>
        <v>-2.7213000677574204</v>
      </c>
      <c r="F51" s="38">
        <f>B27</f>
        <v>-1.4357530967913729E-2</v>
      </c>
      <c r="G51" s="9">
        <f t="shared" si="5"/>
        <v>-2.0069151900967528</v>
      </c>
    </row>
    <row r="52" spans="1:7" x14ac:dyDescent="0.25">
      <c r="A52" s="27">
        <v>4</v>
      </c>
      <c r="B52" s="27">
        <f>B53</f>
        <v>779</v>
      </c>
      <c r="C52" s="9">
        <v>0</v>
      </c>
      <c r="D52" s="9">
        <f>B10</f>
        <v>0.76642872653794947</v>
      </c>
      <c r="E52" s="13">
        <v>0</v>
      </c>
      <c r="F52" s="27">
        <v>0</v>
      </c>
      <c r="G52" s="9">
        <f t="shared" si="5"/>
        <v>0.76642872653794947</v>
      </c>
    </row>
    <row r="53" spans="1:7" x14ac:dyDescent="0.25">
      <c r="A53" s="27">
        <v>5</v>
      </c>
      <c r="B53" s="27">
        <f>'fase 1 '!P31</f>
        <v>779</v>
      </c>
      <c r="C53" s="9">
        <f>'fase 1 '!O31</f>
        <v>0</v>
      </c>
      <c r="D53" s="9">
        <f>D52</f>
        <v>0.76642872653794947</v>
      </c>
      <c r="E53" s="13">
        <v>0</v>
      </c>
      <c r="F53" s="27">
        <v>0</v>
      </c>
      <c r="G53" s="9">
        <f t="shared" si="5"/>
        <v>0.76642872653794947</v>
      </c>
    </row>
    <row r="54" spans="1:7" x14ac:dyDescent="0.25">
      <c r="A54" s="27">
        <v>6</v>
      </c>
      <c r="B54" s="27">
        <f>'fase 1 '!P32</f>
        <v>779</v>
      </c>
      <c r="C54" s="9">
        <f>'fase 1 '!O32</f>
        <v>8.4241384585216359</v>
      </c>
      <c r="D54" s="9">
        <f>D53</f>
        <v>0.76642872653794947</v>
      </c>
      <c r="E54" s="13">
        <f>B20</f>
        <v>4.4995628076858711</v>
      </c>
      <c r="F54" s="37">
        <f>B28</f>
        <v>-1.5100018944520788E-2</v>
      </c>
      <c r="G54" s="9">
        <f t="shared" si="5"/>
        <v>13.675029973800935</v>
      </c>
    </row>
    <row r="55" spans="1:7" x14ac:dyDescent="0.25">
      <c r="A55" s="27">
        <v>7</v>
      </c>
      <c r="B55" s="27">
        <f>'fase 1 '!P33</f>
        <v>-1071</v>
      </c>
      <c r="C55" s="9">
        <f>'fase 1 '!O33</f>
        <v>8.0200979418633018</v>
      </c>
      <c r="D55" s="9">
        <f>B11</f>
        <v>-1.6246221066748778</v>
      </c>
      <c r="E55" s="13">
        <f>B21</f>
        <v>-0.85518503948422753</v>
      </c>
      <c r="F55" s="9">
        <f>B29</f>
        <v>-0.36153305456364848</v>
      </c>
      <c r="G55" s="9">
        <f t="shared" si="5"/>
        <v>5.1787577411405481</v>
      </c>
    </row>
    <row r="56" spans="1:7" x14ac:dyDescent="0.25">
      <c r="A56" s="27">
        <v>8</v>
      </c>
      <c r="B56" s="27">
        <f>'fase 1 '!P34</f>
        <v>-1071</v>
      </c>
      <c r="C56" s="9">
        <f>'fase 1 '!O34</f>
        <v>0</v>
      </c>
      <c r="D56" s="9">
        <v>0</v>
      </c>
      <c r="E56" s="27">
        <v>0</v>
      </c>
      <c r="F56" s="27">
        <v>0</v>
      </c>
      <c r="G56" s="9">
        <f t="shared" si="5"/>
        <v>0</v>
      </c>
    </row>
  </sheetData>
  <mergeCells count="9">
    <mergeCell ref="A2:C2"/>
    <mergeCell ref="A7:C7"/>
    <mergeCell ref="A14:C14"/>
    <mergeCell ref="A40:F40"/>
    <mergeCell ref="A31:F31"/>
    <mergeCell ref="A33:F33"/>
    <mergeCell ref="A35:F35"/>
    <mergeCell ref="A37:F37"/>
    <mergeCell ref="A39:F39"/>
  </mergeCells>
  <phoneticPr fontId="3" type="noConversion"/>
  <conditionalFormatting sqref="E41 E43:E44">
    <cfRule type="containsText" dxfId="140" priority="36" operator="containsText" text="NON ">
      <formula>NOT(ISERROR(SEARCH("NON ",E41)))</formula>
    </cfRule>
    <cfRule type="containsText" dxfId="139" priority="37" operator="containsText" text="VERIFICA">
      <formula>NOT(ISERROR(SEARCH("VERIFICA",E41)))</formula>
    </cfRule>
    <cfRule type="containsText" dxfId="138" priority="38" operator="containsText" text="N">
      <formula>NOT(ISERROR(SEARCH("N",E41)))</formula>
    </cfRule>
    <cfRule type="containsText" dxfId="137" priority="39" operator="containsText" text="NON VERIFICA ">
      <formula>NOT(ISERROR(SEARCH("NON VERIFICA ",E41)))</formula>
    </cfRule>
    <cfRule type="cellIs" dxfId="136" priority="40" operator="equal">
      <formula>"NON VERIFICA"</formula>
    </cfRule>
    <cfRule type="cellIs" dxfId="135" priority="41" operator="equal">
      <formula>"NON VERIFICA"</formula>
    </cfRule>
    <cfRule type="cellIs" dxfId="134" priority="42" operator="equal">
      <formula>"VERIFICA"</formula>
    </cfRule>
  </conditionalFormatting>
  <conditionalFormatting sqref="E45">
    <cfRule type="containsText" dxfId="133" priority="43" operator="containsText" text="NON ">
      <formula>NOT(ISERROR(SEARCH("NON ",E45)))</formula>
    </cfRule>
    <cfRule type="containsText" dxfId="132" priority="44" operator="containsText" text="VERIFICA">
      <formula>NOT(ISERROR(SEARCH("VERIFICA",E45)))</formula>
    </cfRule>
    <cfRule type="containsText" dxfId="131" priority="45" operator="containsText" text="N">
      <formula>NOT(ISERROR(SEARCH("N",E45)))</formula>
    </cfRule>
    <cfRule type="containsText" dxfId="130" priority="46" operator="containsText" text="NON VERIFICA ">
      <formula>NOT(ISERROR(SEARCH("NON VERIFICA ",E45)))</formula>
    </cfRule>
    <cfRule type="cellIs" dxfId="129" priority="47" operator="equal">
      <formula>"NON VERIFICA"</formula>
    </cfRule>
    <cfRule type="cellIs" dxfId="128" priority="48" operator="equal">
      <formula>"NON VERIFICA"</formula>
    </cfRule>
    <cfRule type="cellIs" dxfId="127" priority="49" operator="equal">
      <formula>"VERIFICA"</formula>
    </cfRule>
  </conditionalFormatting>
  <conditionalFormatting sqref="E32">
    <cfRule type="containsText" dxfId="126" priority="22" operator="containsText" text="NON ">
      <formula>NOT(ISERROR(SEARCH("NON ",E32)))</formula>
    </cfRule>
    <cfRule type="containsText" dxfId="125" priority="23" operator="containsText" text="VERIFICA">
      <formula>NOT(ISERROR(SEARCH("VERIFICA",E32)))</formula>
    </cfRule>
    <cfRule type="containsText" dxfId="124" priority="24" operator="containsText" text="N">
      <formula>NOT(ISERROR(SEARCH("N",E32)))</formula>
    </cfRule>
    <cfRule type="containsText" dxfId="123" priority="25" operator="containsText" text="NON VERIFICA ">
      <formula>NOT(ISERROR(SEARCH("NON VERIFICA ",E32)))</formula>
    </cfRule>
    <cfRule type="cellIs" dxfId="122" priority="26" operator="equal">
      <formula>"NON VERIFICA"</formula>
    </cfRule>
    <cfRule type="cellIs" dxfId="121" priority="27" operator="equal">
      <formula>"NON VERIFICA"</formula>
    </cfRule>
    <cfRule type="cellIs" dxfId="120" priority="28" operator="equal">
      <formula>"VERIFICA"</formula>
    </cfRule>
  </conditionalFormatting>
  <conditionalFormatting sqref="E34">
    <cfRule type="containsText" dxfId="119" priority="15" operator="containsText" text="NON ">
      <formula>NOT(ISERROR(SEARCH("NON ",E34)))</formula>
    </cfRule>
    <cfRule type="containsText" dxfId="118" priority="16" operator="containsText" text="VERIFICA">
      <formula>NOT(ISERROR(SEARCH("VERIFICA",E34)))</formula>
    </cfRule>
    <cfRule type="containsText" dxfId="117" priority="17" operator="containsText" text="N">
      <formula>NOT(ISERROR(SEARCH("N",E34)))</formula>
    </cfRule>
    <cfRule type="containsText" dxfId="116" priority="18" operator="containsText" text="NON VERIFICA ">
      <formula>NOT(ISERROR(SEARCH("NON VERIFICA ",E34)))</formula>
    </cfRule>
    <cfRule type="cellIs" dxfId="115" priority="19" operator="equal">
      <formula>"NON VERIFICA"</formula>
    </cfRule>
    <cfRule type="cellIs" dxfId="114" priority="20" operator="equal">
      <formula>"NON VERIFICA"</formula>
    </cfRule>
    <cfRule type="cellIs" dxfId="113" priority="21" operator="equal">
      <formula>"VERIFICA"</formula>
    </cfRule>
  </conditionalFormatting>
  <conditionalFormatting sqref="E36">
    <cfRule type="containsText" dxfId="112" priority="8" operator="containsText" text="NON ">
      <formula>NOT(ISERROR(SEARCH("NON ",E36)))</formula>
    </cfRule>
    <cfRule type="containsText" dxfId="111" priority="9" operator="containsText" text="VERIFICA">
      <formula>NOT(ISERROR(SEARCH("VERIFICA",E36)))</formula>
    </cfRule>
    <cfRule type="containsText" dxfId="110" priority="10" operator="containsText" text="N">
      <formula>NOT(ISERROR(SEARCH("N",E36)))</formula>
    </cfRule>
    <cfRule type="containsText" dxfId="109" priority="11" operator="containsText" text="NON VERIFICA ">
      <formula>NOT(ISERROR(SEARCH("NON VERIFICA ",E36)))</formula>
    </cfRule>
    <cfRule type="cellIs" dxfId="108" priority="12" operator="equal">
      <formula>"NON VERIFICA"</formula>
    </cfRule>
    <cfRule type="cellIs" dxfId="107" priority="13" operator="equal">
      <formula>"NON VERIFICA"</formula>
    </cfRule>
    <cfRule type="cellIs" dxfId="106" priority="14" operator="equal">
      <formula>"VERIFICA"</formula>
    </cfRule>
  </conditionalFormatting>
  <conditionalFormatting sqref="E38">
    <cfRule type="containsText" dxfId="105" priority="1" operator="containsText" text="NON ">
      <formula>NOT(ISERROR(SEARCH("NON ",E38)))</formula>
    </cfRule>
    <cfRule type="containsText" dxfId="104" priority="2" operator="containsText" text="VERIFICA">
      <formula>NOT(ISERROR(SEARCH("VERIFICA",E38)))</formula>
    </cfRule>
    <cfRule type="containsText" dxfId="103" priority="3" operator="containsText" text="N">
      <formula>NOT(ISERROR(SEARCH("N",E38)))</formula>
    </cfRule>
    <cfRule type="containsText" dxfId="102" priority="4" operator="containsText" text="NON VERIFICA ">
      <formula>NOT(ISERROR(SEARCH("NON VERIFICA ",E38)))</formula>
    </cfRule>
    <cfRule type="cellIs" dxfId="101" priority="5" operator="equal">
      <formula>"NON VERIFICA"</formula>
    </cfRule>
    <cfRule type="cellIs" dxfId="100" priority="6" operator="equal">
      <formula>"NON VERIFICA"</formula>
    </cfRule>
    <cfRule type="cellIs" dxfId="99" priority="7" operator="equal">
      <formula>"VERIFICA"</formula>
    </cfRule>
  </conditionalFormatting>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37"/>
  <sheetViews>
    <sheetView showGridLines="0" topLeftCell="A37" zoomScale="70" zoomScaleNormal="70" workbookViewId="0">
      <selection activeCell="J39" sqref="A39:J62"/>
    </sheetView>
  </sheetViews>
  <sheetFormatPr defaultRowHeight="15" x14ac:dyDescent="0.25"/>
  <cols>
    <col min="1" max="1" width="13.5703125" customWidth="1"/>
    <col min="2" max="2" width="13.85546875" customWidth="1"/>
    <col min="3" max="3" width="11.28515625" customWidth="1"/>
    <col min="4" max="4" width="38.5703125" customWidth="1"/>
    <col min="5" max="5" width="19.7109375" customWidth="1"/>
    <col min="6" max="6" width="28.140625" customWidth="1"/>
    <col min="7" max="7" width="9.5703125" customWidth="1"/>
  </cols>
  <sheetData>
    <row r="1" spans="1:7" x14ac:dyDescent="0.25">
      <c r="A1" s="32" t="s">
        <v>232</v>
      </c>
    </row>
    <row r="2" spans="1:7" ht="18" x14ac:dyDescent="0.35">
      <c r="A2" s="11" t="s">
        <v>481</v>
      </c>
      <c r="B2" s="79">
        <v>9400</v>
      </c>
      <c r="C2" s="11" t="s">
        <v>1</v>
      </c>
      <c r="D2" t="s">
        <v>186</v>
      </c>
    </row>
    <row r="3" spans="1:7" x14ac:dyDescent="0.25">
      <c r="A3" s="79" t="s">
        <v>37</v>
      </c>
      <c r="B3" s="79">
        <f>'fase 0 '!B3</f>
        <v>16</v>
      </c>
      <c r="C3" s="79" t="s">
        <v>3</v>
      </c>
      <c r="D3" t="s">
        <v>472</v>
      </c>
    </row>
    <row r="4" spans="1:7" ht="18" x14ac:dyDescent="0.35">
      <c r="A4" s="11" t="s">
        <v>125</v>
      </c>
      <c r="B4" s="9">
        <f>B2-'fase 0 '!B4-'fase 1 '!B6-'fase 2 '!B6</f>
        <v>3077.44</v>
      </c>
      <c r="C4" s="11" t="s">
        <v>4</v>
      </c>
      <c r="D4" t="s">
        <v>483</v>
      </c>
    </row>
    <row r="5" spans="1:7" x14ac:dyDescent="0.25">
      <c r="A5" s="136" t="s">
        <v>192</v>
      </c>
      <c r="B5" s="136"/>
      <c r="C5" s="136"/>
    </row>
    <row r="6" spans="1:7" ht="17.25" x14ac:dyDescent="0.25">
      <c r="A6" s="8" t="s">
        <v>193</v>
      </c>
      <c r="B6" s="9">
        <f>B4*1000^2/('Caratteristiche trave V185'!B38*'Caratteristiche trave V185'!B46)*'Caratteristiche trave V185'!B44</f>
        <v>2.7521871987214745</v>
      </c>
      <c r="C6" s="11" t="s">
        <v>5</v>
      </c>
      <c r="D6" t="s">
        <v>195</v>
      </c>
    </row>
    <row r="7" spans="1:7" ht="17.25" x14ac:dyDescent="0.25">
      <c r="A7" s="8" t="s">
        <v>194</v>
      </c>
      <c r="B7" s="9">
        <f>B4*1000^2/('Caratteristiche trave V185'!B38*'Caratteristiche trave V185'!B46)*'Caratteristiche trave V185'!B45</f>
        <v>1.9359988242489139</v>
      </c>
      <c r="C7" s="11" t="s">
        <v>5</v>
      </c>
      <c r="D7" t="s">
        <v>197</v>
      </c>
    </row>
    <row r="8" spans="1:7" ht="17.25" x14ac:dyDescent="0.25">
      <c r="A8" s="8" t="s">
        <v>196</v>
      </c>
      <c r="B8" s="9">
        <f>B4*1000^2/('Caratteristiche trave V185'!B46)*'Caratteristiche trave V185'!B45</f>
        <v>2.0361174207501271</v>
      </c>
      <c r="C8" s="11" t="s">
        <v>5</v>
      </c>
      <c r="D8" t="s">
        <v>198</v>
      </c>
    </row>
    <row r="9" spans="1:7" ht="17.25" x14ac:dyDescent="0.25">
      <c r="A9" s="8" t="s">
        <v>199</v>
      </c>
      <c r="B9" s="9">
        <f>-B4*1000^2/('Caratteristiche trave V185'!B46)*'Caratteristiche trave V185'!B43</f>
        <v>-4.3160195579812983</v>
      </c>
      <c r="C9" s="11" t="s">
        <v>5</v>
      </c>
      <c r="D9" t="s">
        <v>200</v>
      </c>
    </row>
    <row r="10" spans="1:7" ht="17.25" x14ac:dyDescent="0.25">
      <c r="A10" s="8" t="s">
        <v>201</v>
      </c>
      <c r="B10" s="9">
        <f>-B4*1000^2/('Caratteristiche trave V185'!B46)*('Caratteristiche trave V185'!B43-'Caratteristiche trave V185'!B24)</f>
        <v>-2.90634111134991</v>
      </c>
      <c r="C10" s="11" t="s">
        <v>5</v>
      </c>
      <c r="D10" t="s">
        <v>202</v>
      </c>
    </row>
    <row r="11" spans="1:7" ht="17.25" x14ac:dyDescent="0.25">
      <c r="A11" s="8" t="s">
        <v>233</v>
      </c>
      <c r="B11" s="9">
        <f>-B4*1000^2/('Caratteristiche trave V185'!B16*'Caratteristiche trave V185'!B46)*('Caratteristiche trave V185'!B43-'Caratteristiche trave V185'!B24)</f>
        <v>-0.484390185224985</v>
      </c>
      <c r="C11" s="11" t="s">
        <v>5</v>
      </c>
      <c r="D11" t="s">
        <v>202</v>
      </c>
    </row>
    <row r="12" spans="1:7" x14ac:dyDescent="0.25">
      <c r="A12" s="120" t="s">
        <v>221</v>
      </c>
      <c r="B12" s="120"/>
      <c r="C12" s="120"/>
      <c r="D12" s="120"/>
      <c r="E12" s="120"/>
      <c r="F12" s="120"/>
      <c r="G12" s="48" t="s">
        <v>230</v>
      </c>
    </row>
    <row r="13" spans="1:7" ht="17.25" x14ac:dyDescent="0.25">
      <c r="A13" s="17" t="s">
        <v>241</v>
      </c>
      <c r="B13" s="9">
        <f>E31</f>
        <v>1.7850457843246992</v>
      </c>
      <c r="C13" s="11" t="s">
        <v>5</v>
      </c>
      <c r="D13" s="48" t="str">
        <f>IF(B13 &lt; 0,"Trazione","Compressione")</f>
        <v>Compressione</v>
      </c>
      <c r="E13" s="48" t="str">
        <f>IF(D13 = "Trazione", IF(ABS(B13) &lt; Materiali!$B$22/1.2,"VERIFICA", " NON VERIFICA"), IF(B13 &lt; 0.7*Materiali!$B$16,"VERIFICA", " NON VERIFICA"))</f>
        <v>VERIFICA</v>
      </c>
      <c r="F13" s="6" t="str">
        <f xml:space="preserve"> IF(D13="Trazione","ϭ &gt; fctm(t)/1.2", "ϭ &lt; 0.6fck(t)")</f>
        <v>ϭ &lt; 0.6fck(t)</v>
      </c>
      <c r="G13" s="9">
        <f>ABS(B13/IF(D13 = "Trazione",  Materiali!$B$22/1.2,  0.7*Materiali!$B$16))</f>
        <v>6.5081317192740809E-2</v>
      </c>
    </row>
    <row r="14" spans="1:7" x14ac:dyDescent="0.25">
      <c r="A14" s="120" t="s">
        <v>220</v>
      </c>
      <c r="B14" s="120"/>
      <c r="C14" s="120"/>
      <c r="D14" s="120"/>
      <c r="E14" s="120"/>
      <c r="F14" s="120"/>
      <c r="G14" s="9"/>
    </row>
    <row r="15" spans="1:7" ht="17.25" x14ac:dyDescent="0.25">
      <c r="A15" s="17" t="s">
        <v>226</v>
      </c>
      <c r="B15" s="9">
        <f>E32</f>
        <v>-7.0916365847838891E-2</v>
      </c>
      <c r="C15" s="11" t="s">
        <v>5</v>
      </c>
      <c r="D15" s="48" t="str">
        <f t="shared" ref="D15" si="0">IF(B15 &lt; 0,"Trazione","Compressione")</f>
        <v>Trazione</v>
      </c>
      <c r="E15" s="48" t="str">
        <f>IF(D15 = "Trazione", IF(ABS(B15) &lt; Materiali!$B$22/1.2,"VERIFICA", " NON VERIFICA"), IF(B15 &lt; 0.7*Materiali!$B$16,"VERIFICA", " NON VERIFICA"))</f>
        <v>VERIFICA</v>
      </c>
      <c r="F15" s="6" t="str">
        <f t="shared" ref="F15:F19" si="1" xml:space="preserve"> IF(D15="Trazione","ϭ &gt; fctm(t)/1.2", "ϭ &lt; 0.6fck(t)")</f>
        <v>ϭ &gt; fctm(t)/1.2</v>
      </c>
      <c r="G15" s="9">
        <f>ABS(B15/IF(D15 = "Trazione",  Materiali!$B$22/1.2,  0.7*Materiali!$B$16))</f>
        <v>2.587369204909409E-2</v>
      </c>
    </row>
    <row r="16" spans="1:7" x14ac:dyDescent="0.25">
      <c r="A16" s="120" t="s">
        <v>222</v>
      </c>
      <c r="B16" s="120"/>
      <c r="C16" s="120"/>
      <c r="D16" s="120"/>
      <c r="E16" s="120"/>
      <c r="F16" s="120"/>
      <c r="G16" s="9"/>
    </row>
    <row r="17" spans="1:7" ht="17.25" x14ac:dyDescent="0.25">
      <c r="A17" s="17" t="s">
        <v>240</v>
      </c>
      <c r="B17" s="9">
        <f>E35</f>
        <v>15.711147394551062</v>
      </c>
      <c r="C17" s="11" t="s">
        <v>5</v>
      </c>
      <c r="D17" s="48" t="str">
        <f t="shared" ref="D17:D19" si="2">IF(B17 &lt; 0,"Trazione","Compressione")</f>
        <v>Compressione</v>
      </c>
      <c r="E17" s="48" t="str">
        <f>IF(D17 = "Trazione", IF(ABS(B17) &lt; Materiali!$B$22/1.2,"VERIFICA", " NON VERIFICA"), IF(B17 &lt; 0.7*Materiali!$B$16,"VERIFICA", " NON VERIFICA"))</f>
        <v>VERIFICA</v>
      </c>
      <c r="F17" s="6" t="str">
        <f t="shared" si="1"/>
        <v>ϭ &lt; 0.6fck(t)</v>
      </c>
      <c r="G17" s="9">
        <f>ABS(B17/IF(D17 = "Trazione",  Materiali!$B$22/1.2,  0.7*Materiali!$B$16))</f>
        <v>0.57281565325984274</v>
      </c>
    </row>
    <row r="18" spans="1:7" x14ac:dyDescent="0.25">
      <c r="A18" s="120" t="s">
        <v>223</v>
      </c>
      <c r="B18" s="120"/>
      <c r="C18" s="120"/>
      <c r="D18" s="120"/>
      <c r="E18" s="120"/>
      <c r="F18" s="120"/>
      <c r="G18" s="9"/>
    </row>
    <row r="19" spans="1:7" ht="17.25" x14ac:dyDescent="0.25">
      <c r="A19" s="17" t="s">
        <v>239</v>
      </c>
      <c r="B19" s="9">
        <f>E36</f>
        <v>0.86273818315924977</v>
      </c>
      <c r="C19" s="11" t="s">
        <v>5</v>
      </c>
      <c r="D19" s="48" t="str">
        <f t="shared" si="2"/>
        <v>Compressione</v>
      </c>
      <c r="E19" s="48" t="str">
        <f>IF(D19 = "Trazione", IF(ABS(B19) &lt; Materiali!$B$22/1.2,"VERIFICA", " NON VERIFICA"), IF(B19 &lt; 0.7*Materiali!$B$16,"VERIFICA", " NON VERIFICA"))</f>
        <v>VERIFICA</v>
      </c>
      <c r="F19" s="6" t="str">
        <f t="shared" si="1"/>
        <v>ϭ &lt; 0.6fck(t)</v>
      </c>
      <c r="G19" s="9">
        <f>ABS(B19/IF(D19 = "Trazione",  Materiali!$B$22/1.2,  0.7*Materiali!$B$16))</f>
        <v>3.1454732335460769E-2</v>
      </c>
    </row>
    <row r="20" spans="1:7" x14ac:dyDescent="0.25">
      <c r="A20" s="120" t="s">
        <v>224</v>
      </c>
      <c r="B20" s="120"/>
      <c r="C20" s="120"/>
      <c r="D20" s="120"/>
      <c r="E20" s="120"/>
      <c r="F20" s="120"/>
      <c r="G20" s="48"/>
    </row>
    <row r="21" spans="1:7" x14ac:dyDescent="0.25">
      <c r="A21" s="137" t="s">
        <v>231</v>
      </c>
      <c r="B21" s="138"/>
      <c r="C21" s="138"/>
      <c r="D21" s="138"/>
      <c r="E21" s="138"/>
      <c r="F21" s="139"/>
      <c r="G21" s="48"/>
    </row>
    <row r="22" spans="1:7" ht="17.25" x14ac:dyDescent="0.25">
      <c r="A22" s="17" t="s">
        <v>238</v>
      </c>
      <c r="B22" s="9">
        <f>'fase 2 '!B41+ABS('fase 3'!B11)</f>
        <v>1084.7867294107443</v>
      </c>
      <c r="C22" s="11" t="s">
        <v>5</v>
      </c>
      <c r="D22" s="48" t="s">
        <v>97</v>
      </c>
      <c r="E22" s="48" t="str">
        <f>IF(B22&lt;MIN(Materiali!B32:B33),"VERIFICA", " NON VERIFICA")</f>
        <v>VERIFICA</v>
      </c>
      <c r="F22" s="6" t="s">
        <v>116</v>
      </c>
      <c r="G22" s="9">
        <f>B22/MIN(Materiali!B32:B33)</f>
        <v>0.72902333965775834</v>
      </c>
    </row>
    <row r="23" spans="1:7" x14ac:dyDescent="0.25">
      <c r="A23" s="120" t="s">
        <v>236</v>
      </c>
      <c r="B23" s="120"/>
      <c r="C23" s="120"/>
      <c r="D23" s="120"/>
      <c r="E23" s="120"/>
      <c r="F23" s="120"/>
    </row>
    <row r="24" spans="1:7" ht="17.25" x14ac:dyDescent="0.25">
      <c r="A24" s="8" t="s">
        <v>242</v>
      </c>
      <c r="B24" s="48">
        <v>37.31</v>
      </c>
      <c r="C24" s="11" t="s">
        <v>5</v>
      </c>
    </row>
    <row r="25" spans="1:7" ht="17.25" x14ac:dyDescent="0.25">
      <c r="A25" s="17" t="s">
        <v>238</v>
      </c>
      <c r="B25" s="9">
        <f>B22+B24</f>
        <v>1122.0967294107443</v>
      </c>
      <c r="C25" s="11" t="s">
        <v>5</v>
      </c>
      <c r="D25" s="48" t="s">
        <v>97</v>
      </c>
      <c r="E25" s="48" t="str">
        <f>IF(B25&lt;MIN(Materiali!B32:B33),"VERIFICA", " NON VERIFICA")</f>
        <v>VERIFICA</v>
      </c>
      <c r="F25" s="6" t="s">
        <v>116</v>
      </c>
      <c r="G25" s="9">
        <f>B25/MIN(Materiali!B32:B33)</f>
        <v>0.75409726438894109</v>
      </c>
    </row>
    <row r="28" spans="1:7" x14ac:dyDescent="0.25">
      <c r="C28" s="43" t="s">
        <v>234</v>
      </c>
      <c r="D28" s="43" t="s">
        <v>235</v>
      </c>
    </row>
    <row r="29" spans="1:7" x14ac:dyDescent="0.25">
      <c r="A29" s="43" t="s">
        <v>203</v>
      </c>
      <c r="B29" s="43" t="s">
        <v>204</v>
      </c>
      <c r="C29" s="35" t="s">
        <v>206</v>
      </c>
      <c r="D29" s="35" t="s">
        <v>206</v>
      </c>
      <c r="E29" s="35" t="s">
        <v>219</v>
      </c>
    </row>
    <row r="30" spans="1:7" x14ac:dyDescent="0.25">
      <c r="A30" s="43">
        <v>1</v>
      </c>
      <c r="B30" s="43">
        <f>'fase 2 '!B49</f>
        <v>1029</v>
      </c>
      <c r="C30" s="9">
        <f>'fase 2 '!G49</f>
        <v>0</v>
      </c>
      <c r="D30" s="43">
        <v>0</v>
      </c>
      <c r="E30" s="9">
        <f>SUM(C30:D30)</f>
        <v>0</v>
      </c>
    </row>
    <row r="31" spans="1:7" x14ac:dyDescent="0.25">
      <c r="A31" s="43">
        <v>2</v>
      </c>
      <c r="B31" s="43">
        <f>'fase 2 '!B50</f>
        <v>1029</v>
      </c>
      <c r="C31" s="9">
        <f>'fase 2 '!G50</f>
        <v>-0.96714141439677537</v>
      </c>
      <c r="D31" s="9">
        <f>B6</f>
        <v>2.7521871987214745</v>
      </c>
      <c r="E31" s="9">
        <f t="shared" ref="E31:E37" si="3">SUM(C31:D31)</f>
        <v>1.7850457843246992</v>
      </c>
    </row>
    <row r="32" spans="1:7" x14ac:dyDescent="0.25">
      <c r="A32" s="43">
        <v>3</v>
      </c>
      <c r="B32" s="43">
        <f>'fase 2 '!B51</f>
        <v>779</v>
      </c>
      <c r="C32" s="9">
        <f>'fase 2 '!G51</f>
        <v>-2.0069151900967528</v>
      </c>
      <c r="D32" s="9">
        <f>B7</f>
        <v>1.9359988242489139</v>
      </c>
      <c r="E32" s="9">
        <f t="shared" si="3"/>
        <v>-7.0916365847838891E-2</v>
      </c>
    </row>
    <row r="33" spans="1:5" x14ac:dyDescent="0.25">
      <c r="A33" s="43">
        <v>4</v>
      </c>
      <c r="B33" s="43">
        <f>'fase 2 '!B52</f>
        <v>779</v>
      </c>
      <c r="C33" s="9">
        <f>'fase 2 '!G52</f>
        <v>0.76642872653794947</v>
      </c>
      <c r="D33" s="9">
        <v>0</v>
      </c>
      <c r="E33" s="9">
        <f t="shared" si="3"/>
        <v>0.76642872653794947</v>
      </c>
    </row>
    <row r="34" spans="1:5" x14ac:dyDescent="0.25">
      <c r="A34" s="43">
        <v>5</v>
      </c>
      <c r="B34" s="43">
        <f>'fase 2 '!B53</f>
        <v>779</v>
      </c>
      <c r="C34" s="9">
        <f>'fase 2 '!G53</f>
        <v>0.76642872653794947</v>
      </c>
      <c r="D34" s="9">
        <f>B8</f>
        <v>2.0361174207501271</v>
      </c>
      <c r="E34" s="9">
        <f t="shared" si="3"/>
        <v>2.8025461472880764</v>
      </c>
    </row>
    <row r="35" spans="1:5" x14ac:dyDescent="0.25">
      <c r="A35" s="43">
        <v>6</v>
      </c>
      <c r="B35" s="43">
        <f>'fase 2 '!B54</f>
        <v>779</v>
      </c>
      <c r="C35" s="9">
        <f>'fase 2 '!G54</f>
        <v>13.675029973800935</v>
      </c>
      <c r="D35" s="9">
        <f>D34</f>
        <v>2.0361174207501271</v>
      </c>
      <c r="E35" s="9">
        <f t="shared" si="3"/>
        <v>15.711147394551062</v>
      </c>
    </row>
    <row r="36" spans="1:5" x14ac:dyDescent="0.25">
      <c r="A36" s="43">
        <v>7</v>
      </c>
      <c r="B36" s="43">
        <f>'fase 2 '!B55</f>
        <v>-1071</v>
      </c>
      <c r="C36" s="9">
        <f>'fase 2 '!G55</f>
        <v>5.1787577411405481</v>
      </c>
      <c r="D36" s="9">
        <f>B9</f>
        <v>-4.3160195579812983</v>
      </c>
      <c r="E36" s="9">
        <f t="shared" si="3"/>
        <v>0.86273818315924977</v>
      </c>
    </row>
    <row r="37" spans="1:5" x14ac:dyDescent="0.25">
      <c r="A37" s="43">
        <v>8</v>
      </c>
      <c r="B37" s="43">
        <f>'fase 2 '!B56</f>
        <v>-1071</v>
      </c>
      <c r="C37" s="9">
        <f>'fase 2 '!G56</f>
        <v>0</v>
      </c>
      <c r="D37" s="9">
        <v>0</v>
      </c>
      <c r="E37" s="9">
        <f t="shared" si="3"/>
        <v>0</v>
      </c>
    </row>
  </sheetData>
  <mergeCells count="8">
    <mergeCell ref="A20:F20"/>
    <mergeCell ref="A21:F21"/>
    <mergeCell ref="A23:F23"/>
    <mergeCell ref="A5:C5"/>
    <mergeCell ref="A12:F12"/>
    <mergeCell ref="A14:F14"/>
    <mergeCell ref="A16:F16"/>
    <mergeCell ref="A18:F18"/>
  </mergeCells>
  <conditionalFormatting sqref="E22">
    <cfRule type="containsText" dxfId="98" priority="36" operator="containsText" text="NON ">
      <formula>NOT(ISERROR(SEARCH("NON ",E22)))</formula>
    </cfRule>
    <cfRule type="containsText" dxfId="97" priority="37" operator="containsText" text="VERIFICA">
      <formula>NOT(ISERROR(SEARCH("VERIFICA",E22)))</formula>
    </cfRule>
    <cfRule type="containsText" dxfId="96" priority="38" operator="containsText" text="N">
      <formula>NOT(ISERROR(SEARCH("N",E22)))</formula>
    </cfRule>
    <cfRule type="containsText" dxfId="95" priority="39" operator="containsText" text="NON VERIFICA ">
      <formula>NOT(ISERROR(SEARCH("NON VERIFICA ",E22)))</formula>
    </cfRule>
    <cfRule type="cellIs" dxfId="94" priority="40" operator="equal">
      <formula>"NON VERIFICA"</formula>
    </cfRule>
    <cfRule type="cellIs" dxfId="93" priority="41" operator="equal">
      <formula>"NON VERIFICA"</formula>
    </cfRule>
    <cfRule type="cellIs" dxfId="92" priority="42" operator="equal">
      <formula>"VERIFICA"</formula>
    </cfRule>
  </conditionalFormatting>
  <conditionalFormatting sqref="E13">
    <cfRule type="containsText" dxfId="91" priority="29" operator="containsText" text="NON ">
      <formula>NOT(ISERROR(SEARCH("NON ",E13)))</formula>
    </cfRule>
    <cfRule type="containsText" dxfId="90" priority="30" operator="containsText" text="VERIFICA">
      <formula>NOT(ISERROR(SEARCH("VERIFICA",E13)))</formula>
    </cfRule>
    <cfRule type="containsText" dxfId="89" priority="31" operator="containsText" text="N">
      <formula>NOT(ISERROR(SEARCH("N",E13)))</formula>
    </cfRule>
    <cfRule type="containsText" dxfId="88" priority="32" operator="containsText" text="NON VERIFICA ">
      <formula>NOT(ISERROR(SEARCH("NON VERIFICA ",E13)))</formula>
    </cfRule>
    <cfRule type="cellIs" dxfId="87" priority="33" operator="equal">
      <formula>"NON VERIFICA"</formula>
    </cfRule>
    <cfRule type="cellIs" dxfId="86" priority="34" operator="equal">
      <formula>"NON VERIFICA"</formula>
    </cfRule>
    <cfRule type="cellIs" dxfId="85" priority="35" operator="equal">
      <formula>"VERIFICA"</formula>
    </cfRule>
  </conditionalFormatting>
  <conditionalFormatting sqref="E15">
    <cfRule type="containsText" dxfId="84" priority="22" operator="containsText" text="NON ">
      <formula>NOT(ISERROR(SEARCH("NON ",E15)))</formula>
    </cfRule>
    <cfRule type="containsText" dxfId="83" priority="23" operator="containsText" text="VERIFICA">
      <formula>NOT(ISERROR(SEARCH("VERIFICA",E15)))</formula>
    </cfRule>
    <cfRule type="containsText" dxfId="82" priority="24" operator="containsText" text="N">
      <formula>NOT(ISERROR(SEARCH("N",E15)))</formula>
    </cfRule>
    <cfRule type="containsText" dxfId="81" priority="25" operator="containsText" text="NON VERIFICA ">
      <formula>NOT(ISERROR(SEARCH("NON VERIFICA ",E15)))</formula>
    </cfRule>
    <cfRule type="cellIs" dxfId="80" priority="26" operator="equal">
      <formula>"NON VERIFICA"</formula>
    </cfRule>
    <cfRule type="cellIs" dxfId="79" priority="27" operator="equal">
      <formula>"NON VERIFICA"</formula>
    </cfRule>
    <cfRule type="cellIs" dxfId="78" priority="28" operator="equal">
      <formula>"VERIFICA"</formula>
    </cfRule>
  </conditionalFormatting>
  <conditionalFormatting sqref="E17">
    <cfRule type="containsText" dxfId="77" priority="15" operator="containsText" text="NON ">
      <formula>NOT(ISERROR(SEARCH("NON ",E17)))</formula>
    </cfRule>
    <cfRule type="containsText" dxfId="76" priority="16" operator="containsText" text="VERIFICA">
      <formula>NOT(ISERROR(SEARCH("VERIFICA",E17)))</formula>
    </cfRule>
    <cfRule type="containsText" dxfId="75" priority="17" operator="containsText" text="N">
      <formula>NOT(ISERROR(SEARCH("N",E17)))</formula>
    </cfRule>
    <cfRule type="containsText" dxfId="74" priority="18" operator="containsText" text="NON VERIFICA ">
      <formula>NOT(ISERROR(SEARCH("NON VERIFICA ",E17)))</formula>
    </cfRule>
    <cfRule type="cellIs" dxfId="73" priority="19" operator="equal">
      <formula>"NON VERIFICA"</formula>
    </cfRule>
    <cfRule type="cellIs" dxfId="72" priority="20" operator="equal">
      <formula>"NON VERIFICA"</formula>
    </cfRule>
    <cfRule type="cellIs" dxfId="71" priority="21" operator="equal">
      <formula>"VERIFICA"</formula>
    </cfRule>
  </conditionalFormatting>
  <conditionalFormatting sqref="E19">
    <cfRule type="containsText" dxfId="70" priority="8" operator="containsText" text="NON ">
      <formula>NOT(ISERROR(SEARCH("NON ",E19)))</formula>
    </cfRule>
    <cfRule type="containsText" dxfId="69" priority="9" operator="containsText" text="VERIFICA">
      <formula>NOT(ISERROR(SEARCH("VERIFICA",E19)))</formula>
    </cfRule>
    <cfRule type="containsText" dxfId="68" priority="10" operator="containsText" text="N">
      <formula>NOT(ISERROR(SEARCH("N",E19)))</formula>
    </cfRule>
    <cfRule type="containsText" dxfId="67" priority="11" operator="containsText" text="NON VERIFICA ">
      <formula>NOT(ISERROR(SEARCH("NON VERIFICA ",E19)))</formula>
    </cfRule>
    <cfRule type="cellIs" dxfId="66" priority="12" operator="equal">
      <formula>"NON VERIFICA"</formula>
    </cfRule>
    <cfRule type="cellIs" dxfId="65" priority="13" operator="equal">
      <formula>"NON VERIFICA"</formula>
    </cfRule>
    <cfRule type="cellIs" dxfId="64" priority="14" operator="equal">
      <formula>"VERIFICA"</formula>
    </cfRule>
  </conditionalFormatting>
  <conditionalFormatting sqref="E25">
    <cfRule type="containsText" dxfId="63" priority="1" operator="containsText" text="NON ">
      <formula>NOT(ISERROR(SEARCH("NON ",E25)))</formula>
    </cfRule>
    <cfRule type="containsText" dxfId="62" priority="2" operator="containsText" text="VERIFICA">
      <formula>NOT(ISERROR(SEARCH("VERIFICA",E25)))</formula>
    </cfRule>
    <cfRule type="containsText" dxfId="61" priority="3" operator="containsText" text="N">
      <formula>NOT(ISERROR(SEARCH("N",E25)))</formula>
    </cfRule>
    <cfRule type="containsText" dxfId="60" priority="4" operator="containsText" text="NON VERIFICA ">
      <formula>NOT(ISERROR(SEARCH("NON VERIFICA ",E25)))</formula>
    </cfRule>
    <cfRule type="cellIs" dxfId="59" priority="5" operator="equal">
      <formula>"NON VERIFICA"</formula>
    </cfRule>
    <cfRule type="cellIs" dxfId="58" priority="6" operator="equal">
      <formula>"NON VERIFICA"</formula>
    </cfRule>
    <cfRule type="cellIs" dxfId="57" priority="7" operator="equal">
      <formula>"VERIFICA"</formula>
    </cfRule>
  </conditionalFormatting>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V118"/>
  <sheetViews>
    <sheetView topLeftCell="A49" workbookViewId="0">
      <selection activeCell="B105" sqref="B105"/>
    </sheetView>
  </sheetViews>
  <sheetFormatPr defaultRowHeight="15" x14ac:dyDescent="0.25"/>
  <cols>
    <col min="2" max="2" width="16" style="60" customWidth="1"/>
    <col min="3" max="3" width="15.42578125" customWidth="1"/>
    <col min="17" max="17" width="10.7109375" bestFit="1" customWidth="1"/>
  </cols>
  <sheetData>
    <row r="1" spans="1:22" x14ac:dyDescent="0.25">
      <c r="A1" s="136" t="s">
        <v>243</v>
      </c>
      <c r="B1" s="136"/>
      <c r="C1" s="136"/>
      <c r="D1" s="10"/>
      <c r="E1" s="10"/>
      <c r="F1" s="10"/>
      <c r="P1" s="130" t="s">
        <v>399</v>
      </c>
      <c r="Q1" s="130"/>
      <c r="R1" s="130"/>
      <c r="S1" s="16" t="s">
        <v>401</v>
      </c>
    </row>
    <row r="2" spans="1:22" x14ac:dyDescent="0.25">
      <c r="A2" s="22" t="s">
        <v>244</v>
      </c>
      <c r="B2" s="61">
        <f>'Caratteristiche trave V185'!B5/1000^2</f>
        <v>0.87629999999999997</v>
      </c>
      <c r="C2" s="49" t="s">
        <v>3</v>
      </c>
      <c r="D2" t="s">
        <v>278</v>
      </c>
      <c r="P2" s="51" t="s">
        <v>400</v>
      </c>
      <c r="Q2" s="51">
        <v>0.63</v>
      </c>
      <c r="R2" s="51" t="s">
        <v>3</v>
      </c>
      <c r="S2" s="16" t="s">
        <v>403</v>
      </c>
    </row>
    <row r="3" spans="1:22" x14ac:dyDescent="0.25">
      <c r="A3" s="22" t="s">
        <v>245</v>
      </c>
      <c r="B3" s="61">
        <f>9119.7685/1000</f>
        <v>9.1197684999999993</v>
      </c>
      <c r="C3" s="22" t="s">
        <v>3</v>
      </c>
      <c r="D3" t="s">
        <v>279</v>
      </c>
      <c r="P3" s="51" t="s">
        <v>402</v>
      </c>
      <c r="Q3" s="51">
        <v>1.24</v>
      </c>
      <c r="R3" s="51" t="s">
        <v>3</v>
      </c>
      <c r="S3" s="16" t="s">
        <v>405</v>
      </c>
      <c r="T3" s="10"/>
      <c r="U3" s="10"/>
      <c r="V3" s="10"/>
    </row>
    <row r="4" spans="1:22" ht="18" x14ac:dyDescent="0.35">
      <c r="A4" s="53" t="s">
        <v>246</v>
      </c>
      <c r="B4" s="61">
        <f>'Caratteristiche trave V185'!B7/1000</f>
        <v>1.0489999999999999</v>
      </c>
      <c r="C4" s="53" t="s">
        <v>3</v>
      </c>
      <c r="D4" s="10" t="s">
        <v>280</v>
      </c>
      <c r="P4" s="51" t="s">
        <v>404</v>
      </c>
      <c r="Q4" s="51">
        <f>'Caratteristiche trave V185'!B30*4</f>
        <v>10</v>
      </c>
      <c r="R4" s="51" t="s">
        <v>3</v>
      </c>
      <c r="S4" s="16" t="s">
        <v>407</v>
      </c>
      <c r="T4" s="16"/>
      <c r="U4" s="50"/>
      <c r="V4" s="50"/>
    </row>
    <row r="5" spans="1:22" ht="17.25" x14ac:dyDescent="0.25">
      <c r="A5" s="53" t="s">
        <v>247</v>
      </c>
      <c r="B5" s="61">
        <f>'Caratteristiche trave V185'!B9/1000^4</f>
        <v>0.33158361440700002</v>
      </c>
      <c r="C5" s="22" t="s">
        <v>248</v>
      </c>
      <c r="D5" s="10" t="s">
        <v>281</v>
      </c>
      <c r="P5" s="51" t="s">
        <v>406</v>
      </c>
      <c r="Q5" s="76">
        <f>'Caratteristiche trave V185'!B31</f>
        <v>0.25</v>
      </c>
      <c r="R5" s="51" t="s">
        <v>3</v>
      </c>
      <c r="S5" s="16" t="s">
        <v>409</v>
      </c>
      <c r="T5" s="16"/>
      <c r="U5" s="50"/>
      <c r="V5" s="50"/>
    </row>
    <row r="6" spans="1:22" ht="18" x14ac:dyDescent="0.35">
      <c r="A6" s="53" t="s">
        <v>2</v>
      </c>
      <c r="B6" s="61">
        <f>'Caratteristiche trave V185'!B2</f>
        <v>32</v>
      </c>
      <c r="C6" s="22" t="s">
        <v>3</v>
      </c>
      <c r="D6" s="10" t="s">
        <v>92</v>
      </c>
      <c r="P6" s="51" t="s">
        <v>408</v>
      </c>
      <c r="Q6" s="51">
        <v>0.22</v>
      </c>
      <c r="R6" s="51" t="s">
        <v>3</v>
      </c>
      <c r="S6" s="16" t="s">
        <v>411</v>
      </c>
      <c r="T6" s="16"/>
      <c r="U6" s="50"/>
      <c r="V6" s="50"/>
    </row>
    <row r="7" spans="1:22" ht="18" x14ac:dyDescent="0.35">
      <c r="A7" s="136" t="s">
        <v>249</v>
      </c>
      <c r="B7" s="136"/>
      <c r="C7" s="136"/>
      <c r="D7" s="10"/>
      <c r="E7" s="10"/>
      <c r="F7" s="10"/>
      <c r="P7" s="51" t="s">
        <v>410</v>
      </c>
      <c r="Q7" s="9">
        <f>(2.3+0.8+1.15)*0.025</f>
        <v>0.10625000000000001</v>
      </c>
      <c r="R7" s="51" t="s">
        <v>3</v>
      </c>
      <c r="S7" s="50"/>
      <c r="T7" s="16"/>
      <c r="U7" s="50"/>
      <c r="V7" s="50"/>
    </row>
    <row r="8" spans="1:22" ht="17.25" x14ac:dyDescent="0.25">
      <c r="A8" s="22" t="s">
        <v>250</v>
      </c>
      <c r="B8" s="61">
        <f>Materiali!B4</f>
        <v>45.65</v>
      </c>
      <c r="C8" s="22" t="s">
        <v>5</v>
      </c>
      <c r="D8" t="s">
        <v>282</v>
      </c>
      <c r="P8" s="130" t="s">
        <v>394</v>
      </c>
      <c r="Q8" s="130"/>
      <c r="R8" s="130"/>
      <c r="S8" s="50"/>
      <c r="T8" s="16"/>
      <c r="U8" s="50"/>
      <c r="V8" s="50"/>
    </row>
    <row r="9" spans="1:22" ht="17.25" x14ac:dyDescent="0.25">
      <c r="A9" s="22" t="s">
        <v>251</v>
      </c>
      <c r="B9" s="61">
        <f>Materiali!B3</f>
        <v>55</v>
      </c>
      <c r="C9" s="22" t="s">
        <v>5</v>
      </c>
      <c r="D9" t="s">
        <v>283</v>
      </c>
      <c r="P9" s="130" t="s">
        <v>395</v>
      </c>
      <c r="Q9" s="130"/>
      <c r="R9" s="130"/>
      <c r="S9" t="s">
        <v>282</v>
      </c>
      <c r="T9" s="16"/>
      <c r="U9" s="50"/>
      <c r="V9" s="50"/>
    </row>
    <row r="10" spans="1:22" ht="17.25" x14ac:dyDescent="0.25">
      <c r="A10" s="136" t="s">
        <v>252</v>
      </c>
      <c r="B10" s="136"/>
      <c r="C10" s="136"/>
      <c r="D10" s="10"/>
      <c r="E10" s="10"/>
      <c r="F10" s="10"/>
      <c r="P10" s="22" t="s">
        <v>250</v>
      </c>
      <c r="Q10" s="22">
        <f>Materiali!K4</f>
        <v>37.35</v>
      </c>
      <c r="R10" s="22" t="s">
        <v>5</v>
      </c>
      <c r="S10" t="s">
        <v>283</v>
      </c>
      <c r="T10" s="50"/>
      <c r="U10" s="50"/>
      <c r="V10" s="50"/>
    </row>
    <row r="11" spans="1:22" ht="17.25" x14ac:dyDescent="0.25">
      <c r="A11" s="22" t="s">
        <v>244</v>
      </c>
      <c r="B11" s="61">
        <f>B2</f>
        <v>0.87629999999999997</v>
      </c>
      <c r="C11" s="22" t="s">
        <v>253</v>
      </c>
      <c r="D11" t="s">
        <v>284</v>
      </c>
      <c r="P11" s="22" t="s">
        <v>251</v>
      </c>
      <c r="Q11" s="22">
        <f>Materiali!K3</f>
        <v>45</v>
      </c>
      <c r="R11" s="22" t="s">
        <v>5</v>
      </c>
      <c r="S11" t="s">
        <v>398</v>
      </c>
      <c r="T11" s="50"/>
      <c r="U11" s="50"/>
      <c r="V11" s="50"/>
    </row>
    <row r="12" spans="1:22" x14ac:dyDescent="0.25">
      <c r="A12" s="22" t="s">
        <v>254</v>
      </c>
      <c r="B12" s="61">
        <f>B3</f>
        <v>9.1197684999999993</v>
      </c>
      <c r="C12" s="22" t="s">
        <v>3</v>
      </c>
      <c r="D12" t="s">
        <v>279</v>
      </c>
      <c r="P12" s="22" t="s">
        <v>396</v>
      </c>
      <c r="Q12" s="22" t="s">
        <v>397</v>
      </c>
      <c r="R12" s="22" t="s">
        <v>259</v>
      </c>
    </row>
    <row r="13" spans="1:22" ht="18" x14ac:dyDescent="0.35">
      <c r="A13" s="22" t="s">
        <v>255</v>
      </c>
      <c r="B13" s="61">
        <f>B11*2/B12*1000</f>
        <v>192.17593078157631</v>
      </c>
      <c r="C13" s="22" t="s">
        <v>6</v>
      </c>
      <c r="D13" t="s">
        <v>305</v>
      </c>
    </row>
    <row r="14" spans="1:22" x14ac:dyDescent="0.25">
      <c r="A14" s="22" t="s">
        <v>256</v>
      </c>
      <c r="B14" s="61">
        <v>80</v>
      </c>
      <c r="C14" s="22" t="s">
        <v>257</v>
      </c>
      <c r="D14" t="s">
        <v>286</v>
      </c>
    </row>
    <row r="15" spans="1:22" ht="18" x14ac:dyDescent="0.35">
      <c r="A15" s="29" t="s">
        <v>258</v>
      </c>
      <c r="B15" s="61">
        <f>1+(1-B14/100)/(0.1*(B13)^(1/3))</f>
        <v>1.3465748132796862</v>
      </c>
      <c r="C15" s="22" t="s">
        <v>259</v>
      </c>
      <c r="D15" t="s">
        <v>287</v>
      </c>
    </row>
    <row r="16" spans="1:22" ht="18" x14ac:dyDescent="0.35">
      <c r="A16" s="29" t="s">
        <v>260</v>
      </c>
      <c r="B16" s="61">
        <f>16.8/SQRT(35+8)</f>
        <v>2.5619759815877585</v>
      </c>
      <c r="C16" s="22" t="s">
        <v>259</v>
      </c>
    </row>
    <row r="17" spans="1:21" ht="18" x14ac:dyDescent="0.35">
      <c r="A17" s="22" t="s">
        <v>261</v>
      </c>
      <c r="B17" s="61">
        <f>1/(0.1+7^0.2)</f>
        <v>0.63460910768913126</v>
      </c>
      <c r="C17" s="22" t="s">
        <v>259</v>
      </c>
      <c r="H17" s="10"/>
      <c r="I17" s="10"/>
      <c r="J17" s="10"/>
    </row>
    <row r="18" spans="1:21" x14ac:dyDescent="0.25">
      <c r="A18" s="22" t="s">
        <v>262</v>
      </c>
      <c r="B18" s="61">
        <f>50*365-7</f>
        <v>18243</v>
      </c>
      <c r="C18" s="22" t="s">
        <v>30</v>
      </c>
    </row>
    <row r="19" spans="1:21" ht="18" x14ac:dyDescent="0.35">
      <c r="A19" s="29" t="s">
        <v>263</v>
      </c>
      <c r="B19" s="61">
        <f>MIN(1.5*(1+(0.012*B14)^18)*B13+250,1500)</f>
        <v>676.51622224413745</v>
      </c>
      <c r="C19" s="22" t="s">
        <v>259</v>
      </c>
      <c r="P19" s="134" t="s">
        <v>393</v>
      </c>
      <c r="Q19" s="134"/>
      <c r="R19" s="134"/>
      <c r="S19" s="134"/>
      <c r="T19" s="134"/>
      <c r="U19" s="134"/>
    </row>
    <row r="20" spans="1:21" ht="17.25" x14ac:dyDescent="0.25">
      <c r="A20" s="22" t="s">
        <v>264</v>
      </c>
      <c r="B20" s="61">
        <f>(B18/(B19+B18))^0.3</f>
        <v>0.98913568300354437</v>
      </c>
      <c r="C20" s="22" t="s">
        <v>259</v>
      </c>
      <c r="P20" s="22" t="s">
        <v>244</v>
      </c>
      <c r="Q20" s="22">
        <f>Q4*Q5</f>
        <v>2.5</v>
      </c>
      <c r="R20" s="22" t="s">
        <v>253</v>
      </c>
      <c r="S20" t="s">
        <v>284</v>
      </c>
    </row>
    <row r="21" spans="1:21" ht="18" x14ac:dyDescent="0.35">
      <c r="A21" s="22" t="s">
        <v>265</v>
      </c>
      <c r="B21" s="61">
        <f>B15*B16*B17</f>
        <v>2.189333092551577</v>
      </c>
      <c r="C21" s="22" t="s">
        <v>259</v>
      </c>
      <c r="P21" s="22" t="s">
        <v>254</v>
      </c>
      <c r="Q21" s="22">
        <f>2*(Q4+Q5)</f>
        <v>20.5</v>
      </c>
      <c r="R21" s="22" t="s">
        <v>3</v>
      </c>
      <c r="S21" t="s">
        <v>279</v>
      </c>
    </row>
    <row r="22" spans="1:21" ht="18" x14ac:dyDescent="0.35">
      <c r="A22" s="22" t="s">
        <v>266</v>
      </c>
      <c r="B22" s="61">
        <f>B21*B20</f>
        <v>2.165547483823266</v>
      </c>
      <c r="C22" s="22" t="s">
        <v>259</v>
      </c>
      <c r="D22" t="s">
        <v>306</v>
      </c>
      <c r="P22" s="22" t="s">
        <v>255</v>
      </c>
      <c r="Q22" s="22">
        <f>Q20*2/Q21*1000</f>
        <v>243.90243902439025</v>
      </c>
      <c r="R22" s="22" t="s">
        <v>6</v>
      </c>
      <c r="S22" t="s">
        <v>285</v>
      </c>
    </row>
    <row r="23" spans="1:21" ht="18" x14ac:dyDescent="0.35">
      <c r="A23" s="29" t="s">
        <v>267</v>
      </c>
      <c r="B23" s="61">
        <v>0.55000000000000004</v>
      </c>
      <c r="C23" s="22" t="s">
        <v>259</v>
      </c>
      <c r="D23" t="s">
        <v>307</v>
      </c>
      <c r="P23" s="22" t="s">
        <v>256</v>
      </c>
      <c r="Q23" s="22">
        <v>80</v>
      </c>
      <c r="R23" s="22" t="s">
        <v>257</v>
      </c>
      <c r="S23" t="s">
        <v>286</v>
      </c>
    </row>
    <row r="24" spans="1:21" ht="18" x14ac:dyDescent="0.35">
      <c r="A24" s="29" t="s">
        <v>268</v>
      </c>
      <c r="B24" s="61">
        <v>1.1000000000000001</v>
      </c>
      <c r="C24" s="22" t="s">
        <v>259</v>
      </c>
      <c r="D24" t="s">
        <v>307</v>
      </c>
      <c r="P24" s="29" t="s">
        <v>258</v>
      </c>
      <c r="Q24" s="22">
        <f>1+(1-Q23/100)/(0.1*(Q22)^(1/3))</f>
        <v>1.320104132776631</v>
      </c>
      <c r="R24" s="22" t="s">
        <v>259</v>
      </c>
      <c r="S24" t="s">
        <v>287</v>
      </c>
    </row>
    <row r="25" spans="1:21" ht="18.75" x14ac:dyDescent="0.35">
      <c r="A25" s="29" t="s">
        <v>269</v>
      </c>
      <c r="B25" s="61">
        <f>22000*(($B$8+8)/10)^0.3</f>
        <v>36416.113897745636</v>
      </c>
      <c r="C25" s="22" t="s">
        <v>5</v>
      </c>
      <c r="D25" t="s">
        <v>288</v>
      </c>
      <c r="P25" s="29" t="s">
        <v>260</v>
      </c>
      <c r="Q25" s="22">
        <f>16.8/SQRT(35+8)</f>
        <v>2.5619759815877585</v>
      </c>
      <c r="R25" s="22" t="s">
        <v>259</v>
      </c>
    </row>
    <row r="26" spans="1:21" ht="18.75" x14ac:dyDescent="0.35">
      <c r="A26" s="29" t="s">
        <v>270</v>
      </c>
      <c r="B26" s="61">
        <f>B25/(1+B23+B15)</f>
        <v>12572.129582426698</v>
      </c>
      <c r="C26" s="22" t="s">
        <v>5</v>
      </c>
      <c r="D26" t="s">
        <v>289</v>
      </c>
      <c r="P26" s="22" t="s">
        <v>261</v>
      </c>
      <c r="Q26" s="22">
        <f>1/(0.1+7^0.2)</f>
        <v>0.63460910768913126</v>
      </c>
      <c r="R26" s="22" t="s">
        <v>259</v>
      </c>
    </row>
    <row r="27" spans="1:21" ht="18.75" x14ac:dyDescent="0.35">
      <c r="A27" s="29" t="s">
        <v>271</v>
      </c>
      <c r="B27" s="61">
        <f>B25/(1+B24*B22)</f>
        <v>10767.301340266511</v>
      </c>
      <c r="C27" s="22" t="s">
        <v>5</v>
      </c>
      <c r="D27" t="s">
        <v>290</v>
      </c>
      <c r="P27" s="22" t="s">
        <v>262</v>
      </c>
      <c r="Q27" s="22">
        <f>50*365-7</f>
        <v>18243</v>
      </c>
      <c r="R27" s="22" t="s">
        <v>30</v>
      </c>
    </row>
    <row r="28" spans="1:21" ht="18.75" x14ac:dyDescent="0.35">
      <c r="A28" s="29" t="s">
        <v>272</v>
      </c>
      <c r="B28" s="61">
        <f>B25/2</f>
        <v>18208.056948872818</v>
      </c>
      <c r="C28" s="22" t="s">
        <v>273</v>
      </c>
      <c r="D28" t="s">
        <v>291</v>
      </c>
      <c r="P28" s="29" t="s">
        <v>263</v>
      </c>
      <c r="Q28" s="22">
        <f>MIN(1.5*(1+(0.012*Q23)^18)*Q22+250,1500)</f>
        <v>791.31829342900778</v>
      </c>
      <c r="R28" s="22" t="s">
        <v>259</v>
      </c>
    </row>
    <row r="29" spans="1:21" ht="18" x14ac:dyDescent="0.35">
      <c r="A29" s="29" t="s">
        <v>274</v>
      </c>
      <c r="B29" s="61">
        <f>210000/B25</f>
        <v>5.7666779214736641</v>
      </c>
      <c r="C29" s="22" t="s">
        <v>259</v>
      </c>
      <c r="P29" s="22" t="s">
        <v>264</v>
      </c>
      <c r="Q29" s="22">
        <f>(Q27/(Q28+Q27))^0.3</f>
        <v>0.98734215371780354</v>
      </c>
      <c r="R29" s="22" t="s">
        <v>259</v>
      </c>
    </row>
    <row r="30" spans="1:21" ht="18" x14ac:dyDescent="0.35">
      <c r="A30" s="29" t="s">
        <v>275</v>
      </c>
      <c r="B30" s="61">
        <f>210000/B26</f>
        <v>16.703614023636668</v>
      </c>
      <c r="C30" s="22" t="s">
        <v>259</v>
      </c>
      <c r="H30" s="134"/>
      <c r="I30" s="134"/>
      <c r="P30" s="22" t="s">
        <v>265</v>
      </c>
      <c r="Q30" s="22">
        <f>Q24*Q25*Q26</f>
        <v>2.1462956495248879</v>
      </c>
      <c r="R30" s="22" t="s">
        <v>259</v>
      </c>
    </row>
    <row r="31" spans="1:21" ht="18" x14ac:dyDescent="0.35">
      <c r="A31" s="29" t="s">
        <v>276</v>
      </c>
      <c r="B31" s="61">
        <f>210000/B27</f>
        <v>19.503494270626785</v>
      </c>
      <c r="C31" s="22" t="s">
        <v>259</v>
      </c>
      <c r="H31" t="s">
        <v>250</v>
      </c>
      <c r="I31" s="56" t="s">
        <v>296</v>
      </c>
      <c r="P31" s="22" t="s">
        <v>266</v>
      </c>
      <c r="Q31" s="22">
        <f>Q30*Q29</f>
        <v>2.1191281691170549</v>
      </c>
      <c r="R31" s="22" t="s">
        <v>259</v>
      </c>
    </row>
    <row r="32" spans="1:21" ht="18" x14ac:dyDescent="0.35">
      <c r="A32" s="29" t="s">
        <v>277</v>
      </c>
      <c r="B32" s="61">
        <f>210000/B28</f>
        <v>11.533355842947328</v>
      </c>
      <c r="C32" s="22" t="s">
        <v>259</v>
      </c>
      <c r="H32">
        <v>20</v>
      </c>
      <c r="I32">
        <v>0.3</v>
      </c>
      <c r="P32" s="29" t="s">
        <v>267</v>
      </c>
      <c r="Q32" s="22">
        <v>0.55000000000000004</v>
      </c>
      <c r="R32" s="22" t="s">
        <v>259</v>
      </c>
    </row>
    <row r="33" spans="1:21" ht="18" x14ac:dyDescent="0.35">
      <c r="A33" s="136" t="s">
        <v>292</v>
      </c>
      <c r="B33" s="136"/>
      <c r="C33" s="136"/>
      <c r="D33" s="50"/>
      <c r="H33">
        <v>40</v>
      </c>
      <c r="I33">
        <v>0.24</v>
      </c>
      <c r="P33" s="29" t="s">
        <v>268</v>
      </c>
      <c r="Q33" s="22">
        <v>1.1000000000000001</v>
      </c>
      <c r="R33" s="22" t="s">
        <v>259</v>
      </c>
    </row>
    <row r="34" spans="1:21" ht="18.75" x14ac:dyDescent="0.35">
      <c r="A34" s="54" t="s">
        <v>293</v>
      </c>
      <c r="B34" s="61">
        <f>-2.5*($B$8-10)*10^-6</f>
        <v>-8.9124999999999998E-5</v>
      </c>
      <c r="C34" s="22" t="s">
        <v>259</v>
      </c>
      <c r="D34" t="s">
        <v>294</v>
      </c>
      <c r="H34">
        <v>60</v>
      </c>
      <c r="I34">
        <v>0.19</v>
      </c>
      <c r="P34" s="29" t="s">
        <v>269</v>
      </c>
      <c r="Q34" s="22">
        <f>22000*((Q10+8)/10)^0.3</f>
        <v>34625.485235412678</v>
      </c>
      <c r="R34" s="22" t="s">
        <v>5</v>
      </c>
      <c r="S34" t="s">
        <v>288</v>
      </c>
    </row>
    <row r="35" spans="1:21" ht="18.75" x14ac:dyDescent="0.35">
      <c r="A35" s="22" t="s">
        <v>295</v>
      </c>
      <c r="B35" s="61">
        <f>B18/(B18+0.04*B13^(3/2))</f>
        <v>0.99419258658572152</v>
      </c>
      <c r="C35" s="22" t="s">
        <v>259</v>
      </c>
      <c r="H35">
        <v>80</v>
      </c>
      <c r="I35">
        <v>0.15</v>
      </c>
      <c r="P35" s="29" t="s">
        <v>270</v>
      </c>
      <c r="Q35" s="22">
        <f>Q34/(1+Q32+Q24)</f>
        <v>12064.191274452078</v>
      </c>
      <c r="R35" s="22" t="s">
        <v>5</v>
      </c>
      <c r="S35" t="s">
        <v>289</v>
      </c>
    </row>
    <row r="36" spans="1:21" ht="18.75" x14ac:dyDescent="0.35">
      <c r="A36" s="54" t="s">
        <v>296</v>
      </c>
      <c r="B36" s="61">
        <f>-40/$B$8*0.24</f>
        <v>-0.21029572836801752</v>
      </c>
      <c r="C36" s="22" t="s">
        <v>259</v>
      </c>
      <c r="P36" s="29" t="s">
        <v>271</v>
      </c>
      <c r="Q36" s="22">
        <f>Q34/(1+Q33*Q31)</f>
        <v>10394.794114104519</v>
      </c>
      <c r="R36" s="22" t="s">
        <v>5</v>
      </c>
      <c r="S36" t="s">
        <v>290</v>
      </c>
    </row>
    <row r="37" spans="1:21" ht="18.75" x14ac:dyDescent="0.35">
      <c r="A37" s="54" t="s">
        <v>297</v>
      </c>
      <c r="B37" s="61">
        <f>3*10^-6*B13^2 - 0.0023*B13 + 1.2</f>
        <v>0.86879012431767011</v>
      </c>
      <c r="C37" s="22" t="s">
        <v>259</v>
      </c>
      <c r="H37" t="s">
        <v>303</v>
      </c>
      <c r="I37" t="s">
        <v>304</v>
      </c>
      <c r="P37" s="29" t="s">
        <v>272</v>
      </c>
      <c r="Q37" s="22">
        <f>Q34/2</f>
        <v>17312.742617706339</v>
      </c>
      <c r="R37" s="22" t="s">
        <v>273</v>
      </c>
      <c r="S37" t="s">
        <v>291</v>
      </c>
    </row>
    <row r="38" spans="1:21" ht="18" x14ac:dyDescent="0.35">
      <c r="A38" s="54" t="s">
        <v>296</v>
      </c>
      <c r="B38" s="61">
        <f>-0.3795*EXP(-(0.012*B8))</f>
        <v>-0.21943467868979916</v>
      </c>
      <c r="C38" s="22" t="s">
        <v>259</v>
      </c>
      <c r="H38">
        <v>100</v>
      </c>
      <c r="I38">
        <v>1</v>
      </c>
      <c r="P38" s="29" t="s">
        <v>274</v>
      </c>
      <c r="Q38" s="22">
        <f>210000/Q34</f>
        <v>6.0648969558764696</v>
      </c>
      <c r="R38" s="22" t="s">
        <v>259</v>
      </c>
      <c r="S38" t="s">
        <v>412</v>
      </c>
    </row>
    <row r="39" spans="1:21" ht="18" x14ac:dyDescent="0.35">
      <c r="A39" s="54" t="s">
        <v>298</v>
      </c>
      <c r="B39" s="55">
        <f>B38*B37/1000</f>
        <v>-1.9064268177851858E-4</v>
      </c>
      <c r="C39" s="22" t="s">
        <v>259</v>
      </c>
      <c r="H39">
        <v>200</v>
      </c>
      <c r="I39">
        <v>0.85</v>
      </c>
      <c r="P39" s="29" t="s">
        <v>275</v>
      </c>
      <c r="Q39" s="22">
        <f>210000/Q35</f>
        <v>17.406885817925463</v>
      </c>
      <c r="R39" s="22" t="s">
        <v>259</v>
      </c>
      <c r="S39" t="s">
        <v>413</v>
      </c>
    </row>
    <row r="40" spans="1:21" ht="18" x14ac:dyDescent="0.35">
      <c r="A40" s="54" t="s">
        <v>299</v>
      </c>
      <c r="B40" s="61">
        <f>B35*B39</f>
        <v>-1.8953554091102399E-4</v>
      </c>
      <c r="C40" s="22" t="s">
        <v>259</v>
      </c>
      <c r="D40" t="s">
        <v>300</v>
      </c>
      <c r="H40">
        <v>300</v>
      </c>
      <c r="I40">
        <v>0.75</v>
      </c>
      <c r="P40" s="29" t="s">
        <v>276</v>
      </c>
      <c r="Q40" s="22">
        <f>210000/Q36</f>
        <v>20.202420336065586</v>
      </c>
      <c r="R40" s="22" t="s">
        <v>259</v>
      </c>
      <c r="S40" t="s">
        <v>414</v>
      </c>
    </row>
    <row r="41" spans="1:21" ht="18" x14ac:dyDescent="0.35">
      <c r="A41" s="54" t="s">
        <v>301</v>
      </c>
      <c r="B41" s="61">
        <f>B40+B34</f>
        <v>-2.78660540911024E-4</v>
      </c>
      <c r="C41" s="22" t="s">
        <v>259</v>
      </c>
      <c r="D41" t="s">
        <v>302</v>
      </c>
      <c r="H41">
        <v>500</v>
      </c>
      <c r="I41">
        <v>0.7</v>
      </c>
      <c r="P41" s="29" t="s">
        <v>277</v>
      </c>
      <c r="Q41" s="22">
        <f>210000/Q37</f>
        <v>12.129793911752939</v>
      </c>
      <c r="R41" s="22" t="s">
        <v>259</v>
      </c>
      <c r="S41" t="s">
        <v>415</v>
      </c>
    </row>
    <row r="42" spans="1:21" x14ac:dyDescent="0.25">
      <c r="P42" s="130" t="s">
        <v>292</v>
      </c>
      <c r="Q42" s="130"/>
      <c r="R42" s="130"/>
      <c r="S42" s="10"/>
      <c r="T42" s="10"/>
      <c r="U42" s="10"/>
    </row>
    <row r="43" spans="1:21" ht="18" x14ac:dyDescent="0.35">
      <c r="A43" s="10"/>
      <c r="C43" s="10"/>
      <c r="P43" s="54" t="s">
        <v>293</v>
      </c>
      <c r="Q43" s="22">
        <f>-2.5*(Q10-10)*10^-6</f>
        <v>-6.8374999999999995E-5</v>
      </c>
      <c r="R43" s="22" t="s">
        <v>259</v>
      </c>
      <c r="S43" t="s">
        <v>294</v>
      </c>
    </row>
    <row r="44" spans="1:21" ht="18" x14ac:dyDescent="0.35">
      <c r="P44" s="22" t="s">
        <v>295</v>
      </c>
      <c r="Q44" s="22">
        <f>Q27/(Q27+0.04*Q22^(3/2))</f>
        <v>0.99171722612303714</v>
      </c>
      <c r="R44" s="22" t="s">
        <v>259</v>
      </c>
    </row>
    <row r="45" spans="1:21" ht="18" x14ac:dyDescent="0.35">
      <c r="P45" s="54" t="s">
        <v>296</v>
      </c>
      <c r="Q45" s="22">
        <f>-40/Q10*0.24</f>
        <v>-0.25702811244979917</v>
      </c>
      <c r="R45" s="22" t="s">
        <v>259</v>
      </c>
    </row>
    <row r="46" spans="1:21" ht="18" x14ac:dyDescent="0.35">
      <c r="A46" s="136" t="s">
        <v>308</v>
      </c>
      <c r="B46" s="136"/>
      <c r="C46" s="136"/>
      <c r="D46" s="10"/>
      <c r="E46" s="10"/>
      <c r="P46" s="54" t="s">
        <v>297</v>
      </c>
      <c r="Q46" s="22">
        <f>3*10^-6*Q22^2 - 0.0023*Q22 + 1.2</f>
        <v>0.81748958953004169</v>
      </c>
      <c r="R46" s="22" t="s">
        <v>259</v>
      </c>
    </row>
    <row r="47" spans="1:21" ht="18" x14ac:dyDescent="0.35">
      <c r="A47" s="136" t="s">
        <v>309</v>
      </c>
      <c r="B47" s="136"/>
      <c r="C47" s="136"/>
      <c r="D47" s="10"/>
      <c r="P47" s="54" t="s">
        <v>296</v>
      </c>
      <c r="Q47" s="22">
        <f>-0.3795*EXP(-(0.012*35))</f>
        <v>-0.24934926811981403</v>
      </c>
      <c r="R47" s="22" t="s">
        <v>259</v>
      </c>
    </row>
    <row r="48" spans="1:21" ht="18" x14ac:dyDescent="0.35">
      <c r="A48" s="29" t="s">
        <v>159</v>
      </c>
      <c r="B48" s="61">
        <f>Materiali!B25</f>
        <v>15.2</v>
      </c>
      <c r="C48" s="22" t="s">
        <v>6</v>
      </c>
      <c r="D48" t="s">
        <v>310</v>
      </c>
      <c r="P48" s="54" t="s">
        <v>298</v>
      </c>
      <c r="Q48" s="55">
        <f>Q47*Q46/1000</f>
        <v>-2.038404308448831E-4</v>
      </c>
      <c r="R48" s="22" t="s">
        <v>259</v>
      </c>
    </row>
    <row r="49" spans="1:19" ht="18.75" x14ac:dyDescent="0.35">
      <c r="A49" s="22" t="s">
        <v>311</v>
      </c>
      <c r="B49" s="61">
        <f>Materiali!B26</f>
        <v>139</v>
      </c>
      <c r="C49" s="22" t="s">
        <v>8</v>
      </c>
      <c r="D49" t="s">
        <v>312</v>
      </c>
      <c r="P49" s="54" t="s">
        <v>299</v>
      </c>
      <c r="Q49" s="22">
        <f>Q44*Q48</f>
        <v>-2.0215206664921226E-4</v>
      </c>
      <c r="R49" s="22" t="s">
        <v>259</v>
      </c>
      <c r="S49" t="s">
        <v>300</v>
      </c>
    </row>
    <row r="50" spans="1:19" ht="18.75" x14ac:dyDescent="0.35">
      <c r="A50" s="22" t="s">
        <v>53</v>
      </c>
      <c r="B50" s="61">
        <f>Materiali!B28</f>
        <v>1860</v>
      </c>
      <c r="C50" s="22" t="s">
        <v>5</v>
      </c>
      <c r="D50" t="s">
        <v>313</v>
      </c>
      <c r="P50" s="54" t="s">
        <v>301</v>
      </c>
      <c r="Q50" s="22">
        <f>Q49+Q43</f>
        <v>-2.7052706664921225E-4</v>
      </c>
      <c r="R50" s="22" t="s">
        <v>259</v>
      </c>
      <c r="S50" t="s">
        <v>302</v>
      </c>
    </row>
    <row r="51" spans="1:19" ht="18.75" x14ac:dyDescent="0.35">
      <c r="A51" s="22" t="s">
        <v>314</v>
      </c>
      <c r="B51" s="61">
        <f>Materiali!B29</f>
        <v>1670</v>
      </c>
      <c r="C51" s="22" t="s">
        <v>5</v>
      </c>
      <c r="D51" t="s">
        <v>315</v>
      </c>
    </row>
    <row r="52" spans="1:19" ht="18.75" x14ac:dyDescent="0.35">
      <c r="A52" s="22" t="s">
        <v>55</v>
      </c>
      <c r="B52" s="61">
        <f>Materiali!B27</f>
        <v>195000</v>
      </c>
      <c r="C52" s="22" t="s">
        <v>5</v>
      </c>
      <c r="D52" t="s">
        <v>316</v>
      </c>
    </row>
    <row r="53" spans="1:19" ht="18" x14ac:dyDescent="0.35">
      <c r="A53" s="22" t="s">
        <v>317</v>
      </c>
      <c r="B53" s="61">
        <f>'Caratteristiche trave V185'!B13</f>
        <v>72</v>
      </c>
      <c r="C53" s="22" t="s">
        <v>259</v>
      </c>
      <c r="D53" t="s">
        <v>318</v>
      </c>
    </row>
    <row r="54" spans="1:19" x14ac:dyDescent="0.25">
      <c r="A54" s="22" t="s">
        <v>88</v>
      </c>
      <c r="B54" s="61">
        <f>1.4-B4-0.11</f>
        <v>0.24099999999999999</v>
      </c>
      <c r="C54" s="22" t="s">
        <v>3</v>
      </c>
      <c r="D54" t="s">
        <v>319</v>
      </c>
    </row>
    <row r="55" spans="1:19" x14ac:dyDescent="0.25">
      <c r="A55" s="22" t="s">
        <v>320</v>
      </c>
      <c r="B55" s="61" t="s">
        <v>321</v>
      </c>
      <c r="C55" s="22" t="s">
        <v>259</v>
      </c>
    </row>
    <row r="56" spans="1:19" ht="18" x14ac:dyDescent="0.35">
      <c r="A56" s="29" t="s">
        <v>322</v>
      </c>
      <c r="B56" s="61">
        <v>2.5</v>
      </c>
      <c r="C56" s="22" t="s">
        <v>259</v>
      </c>
      <c r="D56" t="s">
        <v>323</v>
      </c>
    </row>
    <row r="57" spans="1:19" ht="18" x14ac:dyDescent="0.35">
      <c r="A57" s="29" t="s">
        <v>324</v>
      </c>
      <c r="B57" s="23">
        <f>B58/B50</f>
        <v>0.64464557386348986</v>
      </c>
      <c r="C57" s="22" t="s">
        <v>325</v>
      </c>
    </row>
    <row r="58" spans="1:19" ht="18.75" x14ac:dyDescent="0.35">
      <c r="A58" s="22" t="s">
        <v>326</v>
      </c>
      <c r="B58" s="9">
        <f>'fase 0 '!B7</f>
        <v>1199.0407673860911</v>
      </c>
      <c r="C58" s="22" t="s">
        <v>5</v>
      </c>
      <c r="D58" t="s">
        <v>327</v>
      </c>
    </row>
    <row r="59" spans="1:19" ht="18.75" x14ac:dyDescent="0.35">
      <c r="A59" s="29" t="s">
        <v>328</v>
      </c>
      <c r="B59" s="9">
        <f>0.66*B56*EXP(9.1*B57)*(B60/1000)^(0.75*(1-B57))*10^(-5)*B58</f>
        <v>36.587003128518134</v>
      </c>
      <c r="C59" s="22" t="s">
        <v>5</v>
      </c>
      <c r="D59" t="s">
        <v>329</v>
      </c>
    </row>
    <row r="60" spans="1:19" x14ac:dyDescent="0.25">
      <c r="A60" s="29" t="s">
        <v>29</v>
      </c>
      <c r="B60" s="61">
        <v>500000</v>
      </c>
      <c r="C60" s="22" t="s">
        <v>330</v>
      </c>
      <c r="D60" t="s">
        <v>331</v>
      </c>
    </row>
    <row r="61" spans="1:19" x14ac:dyDescent="0.25">
      <c r="A61" s="117" t="s">
        <v>332</v>
      </c>
      <c r="B61" s="117"/>
      <c r="C61" s="117"/>
      <c r="D61" s="10"/>
      <c r="E61" s="10"/>
    </row>
    <row r="62" spans="1:19" ht="17.25" x14ac:dyDescent="0.25">
      <c r="A62" s="29" t="s">
        <v>247</v>
      </c>
      <c r="B62" s="9">
        <f>'Caratteristiche trave V185'!B20/1000^4</f>
        <v>0.35723830626699998</v>
      </c>
      <c r="C62" s="22" t="s">
        <v>248</v>
      </c>
    </row>
    <row r="63" spans="1:19" ht="17.25" x14ac:dyDescent="0.25">
      <c r="A63" s="29" t="s">
        <v>244</v>
      </c>
      <c r="B63" s="13">
        <f>'Caratteristiche trave V185'!B17/1000^2</f>
        <v>0.93301199999999995</v>
      </c>
      <c r="C63" s="22" t="s">
        <v>253</v>
      </c>
    </row>
    <row r="64" spans="1:19" x14ac:dyDescent="0.25">
      <c r="A64" s="29" t="s">
        <v>62</v>
      </c>
      <c r="B64" s="13">
        <f>'Caratteristiche trave V185'!B16</f>
        <v>6</v>
      </c>
      <c r="C64" s="22" t="s">
        <v>259</v>
      </c>
    </row>
    <row r="65" spans="1:5" x14ac:dyDescent="0.25">
      <c r="A65" s="29" t="s">
        <v>333</v>
      </c>
      <c r="B65" s="13">
        <f>'Caratteristiche trave V185'!B18/1000</f>
        <v>1.071</v>
      </c>
      <c r="C65" s="22" t="s">
        <v>3</v>
      </c>
    </row>
    <row r="66" spans="1:5" x14ac:dyDescent="0.25">
      <c r="A66" s="117" t="s">
        <v>334</v>
      </c>
      <c r="B66" s="117"/>
      <c r="C66" s="117"/>
      <c r="D66" s="10"/>
      <c r="E66" s="10"/>
    </row>
    <row r="67" spans="1:5" ht="17.25" x14ac:dyDescent="0.25">
      <c r="A67" s="29" t="s">
        <v>247</v>
      </c>
      <c r="B67" s="9">
        <f>'Caratteristiche trave V185'!B46/1000^4</f>
        <v>0.896275382452</v>
      </c>
      <c r="C67" s="22" t="s">
        <v>248</v>
      </c>
    </row>
    <row r="68" spans="1:5" ht="17.25" x14ac:dyDescent="0.25">
      <c r="A68" s="29" t="s">
        <v>244</v>
      </c>
      <c r="B68" s="9">
        <f>'Caratteristiche trave V185'!B39/1000^2</f>
        <v>1.5013000000000001</v>
      </c>
      <c r="C68" s="22" t="s">
        <v>253</v>
      </c>
    </row>
    <row r="69" spans="1:5" x14ac:dyDescent="0.25">
      <c r="A69" s="29" t="s">
        <v>62</v>
      </c>
      <c r="B69" s="9">
        <f>'Caratteristiche trave V185'!B16</f>
        <v>6</v>
      </c>
      <c r="C69" s="22" t="s">
        <v>259</v>
      </c>
    </row>
    <row r="70" spans="1:5" x14ac:dyDescent="0.25">
      <c r="A70" s="29" t="s">
        <v>335</v>
      </c>
      <c r="B70" s="9">
        <f>'Caratteristiche trave V185'!B38</f>
        <v>1.051714182491849</v>
      </c>
      <c r="C70" s="22" t="s">
        <v>259</v>
      </c>
    </row>
    <row r="71" spans="1:5" x14ac:dyDescent="0.25">
      <c r="A71" s="29" t="s">
        <v>333</v>
      </c>
      <c r="B71" s="9">
        <f>'Caratteristiche trave V185'!B43/1000</f>
        <v>1.2569999999999999</v>
      </c>
      <c r="C71" s="22" t="s">
        <v>3</v>
      </c>
    </row>
    <row r="72" spans="1:5" x14ac:dyDescent="0.25">
      <c r="A72" s="116" t="s">
        <v>336</v>
      </c>
      <c r="B72" s="117"/>
      <c r="C72" s="118"/>
      <c r="D72" s="10"/>
      <c r="E72" s="10"/>
    </row>
    <row r="73" spans="1:5" x14ac:dyDescent="0.25">
      <c r="A73" s="116" t="s">
        <v>337</v>
      </c>
      <c r="B73" s="117"/>
      <c r="C73" s="118"/>
      <c r="D73" s="10"/>
      <c r="E73" s="10"/>
    </row>
    <row r="74" spans="1:5" x14ac:dyDescent="0.25">
      <c r="A74" s="116" t="s">
        <v>338</v>
      </c>
      <c r="B74" s="117"/>
      <c r="C74" s="118"/>
    </row>
    <row r="75" spans="1:5" ht="18" x14ac:dyDescent="0.35">
      <c r="A75" s="29" t="s">
        <v>339</v>
      </c>
      <c r="B75" s="23">
        <f>(B58*B49*B53/1000)*(1/B63+(B65)/B62*B65)/(B25*1000)</f>
        <v>1.4112392977573311E-3</v>
      </c>
      <c r="C75" s="22" t="s">
        <v>259</v>
      </c>
      <c r="D75" t="s">
        <v>340</v>
      </c>
    </row>
    <row r="76" spans="1:5" ht="18.75" x14ac:dyDescent="0.35">
      <c r="A76" s="29" t="s">
        <v>341</v>
      </c>
      <c r="B76" s="9">
        <f>B75*('Caratteristiche trave V185'!B25/1000)/(B65)*B52</f>
        <v>169.70009806458839</v>
      </c>
      <c r="C76" s="22" t="s">
        <v>5</v>
      </c>
      <c r="D76" t="s">
        <v>342</v>
      </c>
    </row>
    <row r="77" spans="1:5" x14ac:dyDescent="0.25">
      <c r="A77" s="136" t="s">
        <v>343</v>
      </c>
      <c r="B77" s="136"/>
      <c r="C77" s="136"/>
    </row>
    <row r="78" spans="1:5" ht="18.75" x14ac:dyDescent="0.35">
      <c r="A78" s="29" t="s">
        <v>344</v>
      </c>
      <c r="B78" s="9">
        <f>B59</f>
        <v>36.587003128518134</v>
      </c>
      <c r="C78" s="22" t="s">
        <v>5</v>
      </c>
      <c r="D78" t="s">
        <v>329</v>
      </c>
    </row>
    <row r="79" spans="1:5" x14ac:dyDescent="0.25">
      <c r="A79" s="136" t="s">
        <v>345</v>
      </c>
      <c r="B79" s="136"/>
      <c r="C79" s="136"/>
    </row>
    <row r="80" spans="1:5" ht="18.75" x14ac:dyDescent="0.35">
      <c r="A80" s="29" t="s">
        <v>346</v>
      </c>
      <c r="B80" s="9">
        <f>-B41*B52</f>
        <v>54.338805477649679</v>
      </c>
      <c r="C80" s="22" t="s">
        <v>5</v>
      </c>
      <c r="D80" t="s">
        <v>347</v>
      </c>
    </row>
    <row r="81" spans="1:4" x14ac:dyDescent="0.25">
      <c r="A81" s="136" t="s">
        <v>348</v>
      </c>
      <c r="B81" s="136"/>
      <c r="C81" s="136"/>
    </row>
    <row r="82" spans="1:4" x14ac:dyDescent="0.25">
      <c r="A82" s="22" t="s">
        <v>349</v>
      </c>
      <c r="B82" s="65">
        <f>'fase 0 '!B4</f>
        <v>3164.16</v>
      </c>
      <c r="C82" s="22" t="s">
        <v>350</v>
      </c>
      <c r="D82" t="s">
        <v>351</v>
      </c>
    </row>
    <row r="83" spans="1:4" x14ac:dyDescent="0.25">
      <c r="A83" s="22" t="s">
        <v>349</v>
      </c>
      <c r="B83" s="61">
        <v>0</v>
      </c>
      <c r="C83" s="22" t="s">
        <v>350</v>
      </c>
      <c r="D83" t="s">
        <v>352</v>
      </c>
    </row>
    <row r="84" spans="1:4" ht="18" x14ac:dyDescent="0.35">
      <c r="A84" s="29" t="s">
        <v>353</v>
      </c>
      <c r="B84" s="37">
        <f>(B82/B62+B83/B62)*('Caratteristiche trave V185'!B25/1000)/1000/B27</f>
        <v>5.4328765665534961E-4</v>
      </c>
      <c r="C84" s="22" t="s">
        <v>259</v>
      </c>
      <c r="D84" t="s">
        <v>354</v>
      </c>
    </row>
    <row r="85" spans="1:4" ht="18.75" x14ac:dyDescent="0.35">
      <c r="A85" s="29" t="s">
        <v>355</v>
      </c>
      <c r="B85" s="37">
        <f>B84*B52</f>
        <v>105.94109304779317</v>
      </c>
      <c r="C85" s="22" t="s">
        <v>5</v>
      </c>
      <c r="D85" t="s">
        <v>356</v>
      </c>
    </row>
    <row r="87" spans="1:4" x14ac:dyDescent="0.25">
      <c r="A87" s="142" t="s">
        <v>357</v>
      </c>
      <c r="B87" s="142"/>
      <c r="C87" s="142"/>
    </row>
    <row r="88" spans="1:4" ht="18.75" x14ac:dyDescent="0.35">
      <c r="A88" s="29" t="s">
        <v>358</v>
      </c>
      <c r="B88" s="9">
        <f>B76</f>
        <v>169.70009806458839</v>
      </c>
      <c r="C88" s="22" t="s">
        <v>5</v>
      </c>
      <c r="D88" t="s">
        <v>359</v>
      </c>
    </row>
    <row r="89" spans="1:4" ht="18.75" x14ac:dyDescent="0.35">
      <c r="A89" s="29" t="s">
        <v>360</v>
      </c>
      <c r="B89" s="9">
        <f>B58-B88</f>
        <v>1029.3406693215027</v>
      </c>
      <c r="C89" s="22" t="s">
        <v>5</v>
      </c>
      <c r="D89" t="s">
        <v>361</v>
      </c>
    </row>
    <row r="90" spans="1:4" ht="18" x14ac:dyDescent="0.35">
      <c r="A90" s="57" t="s">
        <v>362</v>
      </c>
      <c r="B90" s="66">
        <f>B88*B53*B49/1000</f>
        <v>1698.3585814304008</v>
      </c>
      <c r="C90" s="58" t="s">
        <v>363</v>
      </c>
    </row>
    <row r="91" spans="1:4" x14ac:dyDescent="0.25">
      <c r="A91" s="142" t="s">
        <v>364</v>
      </c>
      <c r="B91" s="142"/>
      <c r="C91" s="142"/>
    </row>
    <row r="92" spans="1:4" ht="18.75" x14ac:dyDescent="0.35">
      <c r="A92" s="29" t="s">
        <v>365</v>
      </c>
      <c r="B92" s="9">
        <f>(B76+0.8*B78+B80+B85)/(1+(B52*B53*B49)/(B25*B2*1000^2)*(1+B2/B5*('Caratteristiche trave V185'!B25/1000)^2)*(1+0.8*B22*B24))</f>
        <v>259.84772586851375</v>
      </c>
      <c r="C92" s="22" t="s">
        <v>5</v>
      </c>
      <c r="D92" t="s">
        <v>366</v>
      </c>
    </row>
    <row r="93" spans="1:4" ht="18.75" x14ac:dyDescent="0.35">
      <c r="A93" s="29" t="s">
        <v>360</v>
      </c>
      <c r="B93" s="9">
        <f>B58-B92</f>
        <v>939.1930415175774</v>
      </c>
      <c r="C93" s="22" t="s">
        <v>5</v>
      </c>
      <c r="D93" t="s">
        <v>367</v>
      </c>
    </row>
    <row r="94" spans="1:4" ht="18" x14ac:dyDescent="0.35">
      <c r="A94" s="57" t="s">
        <v>368</v>
      </c>
      <c r="B94" s="66">
        <f>B92*B53*B49/1000</f>
        <v>2600.5560404920857</v>
      </c>
      <c r="C94" s="58" t="s">
        <v>363</v>
      </c>
    </row>
    <row r="95" spans="1:4" x14ac:dyDescent="0.25">
      <c r="A95" s="142" t="s">
        <v>369</v>
      </c>
      <c r="B95" s="142"/>
      <c r="C95" s="142"/>
    </row>
    <row r="96" spans="1:4" x14ac:dyDescent="0.25">
      <c r="A96" s="136" t="s">
        <v>370</v>
      </c>
      <c r="B96" s="136"/>
      <c r="C96" s="136"/>
    </row>
    <row r="97" spans="1:4" ht="18" x14ac:dyDescent="0.35">
      <c r="A97" s="54" t="s">
        <v>371</v>
      </c>
      <c r="B97" s="64">
        <f>Q49</f>
        <v>-2.0215206664921226E-4</v>
      </c>
      <c r="C97" s="59" t="s">
        <v>259</v>
      </c>
      <c r="D97" t="s">
        <v>372</v>
      </c>
    </row>
    <row r="98" spans="1:4" ht="18.75" x14ac:dyDescent="0.35">
      <c r="A98" s="57" t="s">
        <v>373</v>
      </c>
      <c r="B98" s="63">
        <f>B97*Q34</f>
        <v>-6.9996133990704585</v>
      </c>
      <c r="C98" s="58" t="s">
        <v>5</v>
      </c>
      <c r="D98" t="s">
        <v>347</v>
      </c>
    </row>
    <row r="99" spans="1:4" x14ac:dyDescent="0.25">
      <c r="A99" s="54" t="s">
        <v>374</v>
      </c>
      <c r="B99" s="9">
        <f>B98*Q4*Q5/4*1000</f>
        <v>-4374.758374419036</v>
      </c>
      <c r="C99" s="59" t="s">
        <v>363</v>
      </c>
      <c r="D99" t="s">
        <v>375</v>
      </c>
    </row>
    <row r="100" spans="1:4" x14ac:dyDescent="0.25">
      <c r="A100" s="54" t="s">
        <v>349</v>
      </c>
      <c r="B100" s="9">
        <f>B99*('Caratteristiche trave V185'!B48/1000)</f>
        <v>-3702.9899218138016</v>
      </c>
      <c r="C100" s="59" t="s">
        <v>350</v>
      </c>
      <c r="D100" t="s">
        <v>376</v>
      </c>
    </row>
    <row r="101" spans="1:4" ht="18.75" x14ac:dyDescent="0.35">
      <c r="A101" s="29" t="s">
        <v>377</v>
      </c>
      <c r="B101" s="9">
        <f>(B99/B68+B100/B67*('Caratteristiche trave V185'!B48/1000))/1000</f>
        <v>-6.4110919682303553</v>
      </c>
      <c r="C101" s="22" t="s">
        <v>5</v>
      </c>
      <c r="D101" t="s">
        <v>378</v>
      </c>
    </row>
    <row r="102" spans="1:4" ht="18.75" x14ac:dyDescent="0.35">
      <c r="A102" s="29" t="s">
        <v>379</v>
      </c>
      <c r="B102" s="9">
        <f>(B99/B68+B100/B67*(B71))/1000</f>
        <v>-8.107315154019247</v>
      </c>
      <c r="C102" s="22" t="s">
        <v>5</v>
      </c>
      <c r="D102" t="s">
        <v>380</v>
      </c>
    </row>
    <row r="103" spans="1:4" ht="18.75" x14ac:dyDescent="0.35">
      <c r="A103" s="29" t="s">
        <v>381</v>
      </c>
      <c r="B103" s="9">
        <f>(B99/B68+B100/B67*('Caratteristiche trave V185'!B48/1000))/1000*B69</f>
        <v>-38.466551809382132</v>
      </c>
      <c r="C103" s="22" t="s">
        <v>5</v>
      </c>
      <c r="D103" t="s">
        <v>382</v>
      </c>
    </row>
    <row r="104" spans="1:4" x14ac:dyDescent="0.25">
      <c r="A104" s="136" t="s">
        <v>348</v>
      </c>
      <c r="B104" s="136"/>
      <c r="C104" s="136"/>
    </row>
    <row r="105" spans="1:4" x14ac:dyDescent="0.25">
      <c r="A105" s="22" t="s">
        <v>349</v>
      </c>
      <c r="B105" s="9">
        <f>'fase 2 '!B6</f>
        <v>1158.4000000000001</v>
      </c>
      <c r="C105" s="22" t="s">
        <v>350</v>
      </c>
      <c r="D105" t="s">
        <v>351</v>
      </c>
    </row>
    <row r="106" spans="1:4" ht="18" x14ac:dyDescent="0.35">
      <c r="A106" s="29" t="s">
        <v>353</v>
      </c>
      <c r="B106" s="9">
        <f>(B105/B67)*('Caratteristiche trave V185'!B48/1000)/1000/B27</f>
        <v>1.0160350080145487E-4</v>
      </c>
      <c r="C106" s="22" t="s">
        <v>259</v>
      </c>
      <c r="D106" t="s">
        <v>354</v>
      </c>
    </row>
    <row r="107" spans="1:4" ht="18.75" x14ac:dyDescent="0.35">
      <c r="A107" s="29" t="s">
        <v>355</v>
      </c>
      <c r="B107" s="9">
        <f>B106*B52</f>
        <v>19.812682656283698</v>
      </c>
      <c r="C107" s="22" t="s">
        <v>5</v>
      </c>
      <c r="D107" t="s">
        <v>383</v>
      </c>
    </row>
    <row r="108" spans="1:4" x14ac:dyDescent="0.25">
      <c r="A108" s="136" t="s">
        <v>343</v>
      </c>
      <c r="B108" s="136"/>
      <c r="C108" s="136"/>
    </row>
    <row r="109" spans="1:4" ht="18.75" x14ac:dyDescent="0.35">
      <c r="A109" s="29" t="s">
        <v>344</v>
      </c>
      <c r="B109" s="61">
        <v>0</v>
      </c>
      <c r="C109" s="22" t="s">
        <v>5</v>
      </c>
      <c r="D109" t="s">
        <v>329</v>
      </c>
    </row>
    <row r="110" spans="1:4" x14ac:dyDescent="0.25">
      <c r="A110" s="140" t="s">
        <v>384</v>
      </c>
      <c r="B110" s="140"/>
      <c r="C110" s="140"/>
    </row>
    <row r="111" spans="1:4" ht="18.75" x14ac:dyDescent="0.35">
      <c r="A111" s="29" t="s">
        <v>385</v>
      </c>
      <c r="B111" s="9">
        <f>B109+B107</f>
        <v>19.812682656283698</v>
      </c>
      <c r="C111" s="22" t="s">
        <v>5</v>
      </c>
    </row>
    <row r="112" spans="1:4" ht="18" x14ac:dyDescent="0.35">
      <c r="A112" s="57" t="s">
        <v>368</v>
      </c>
      <c r="B112" s="62">
        <f>B111*B53*B49/1000</f>
        <v>198.28532802408725</v>
      </c>
      <c r="C112" s="58" t="s">
        <v>363</v>
      </c>
    </row>
    <row r="113" spans="1:4" x14ac:dyDescent="0.25">
      <c r="A113" s="141" t="s">
        <v>386</v>
      </c>
      <c r="B113" s="141"/>
      <c r="C113" s="141"/>
    </row>
    <row r="114" spans="1:4" x14ac:dyDescent="0.25">
      <c r="A114" s="130" t="s">
        <v>387</v>
      </c>
      <c r="B114" s="130"/>
      <c r="C114" s="130"/>
    </row>
    <row r="115" spans="1:4" x14ac:dyDescent="0.25">
      <c r="A115" s="22" t="s">
        <v>388</v>
      </c>
      <c r="B115" s="61">
        <v>300</v>
      </c>
      <c r="C115" s="22" t="s">
        <v>363</v>
      </c>
      <c r="D115" t="s">
        <v>416</v>
      </c>
    </row>
    <row r="116" spans="1:4" ht="17.25" x14ac:dyDescent="0.25">
      <c r="A116" s="22" t="s">
        <v>389</v>
      </c>
      <c r="B116" s="61">
        <v>9</v>
      </c>
      <c r="C116" s="22" t="s">
        <v>390</v>
      </c>
      <c r="D116" t="s">
        <v>417</v>
      </c>
    </row>
    <row r="117" spans="1:4" x14ac:dyDescent="0.25">
      <c r="A117" s="22" t="s">
        <v>391</v>
      </c>
      <c r="B117" s="9">
        <f>'fase 3'!B2</f>
        <v>9400</v>
      </c>
      <c r="C117" s="22" t="s">
        <v>350</v>
      </c>
    </row>
    <row r="118" spans="1:4" ht="18.75" x14ac:dyDescent="0.35">
      <c r="A118" s="29" t="s">
        <v>392</v>
      </c>
      <c r="B118" s="9">
        <f>B117/B67*('Caratteristiche trave V185'!B48/1000)*B69/1000</f>
        <v>53.264284171303068</v>
      </c>
      <c r="C118" s="22" t="s">
        <v>390</v>
      </c>
      <c r="D118" t="s">
        <v>418</v>
      </c>
    </row>
  </sheetData>
  <mergeCells count="29">
    <mergeCell ref="P8:R8"/>
    <mergeCell ref="P9:R9"/>
    <mergeCell ref="P1:R1"/>
    <mergeCell ref="A96:C96"/>
    <mergeCell ref="A104:C104"/>
    <mergeCell ref="A95:C95"/>
    <mergeCell ref="A72:C72"/>
    <mergeCell ref="A77:C77"/>
    <mergeCell ref="A33:C33"/>
    <mergeCell ref="H30:I30"/>
    <mergeCell ref="A1:C1"/>
    <mergeCell ref="A7:C7"/>
    <mergeCell ref="A10:C10"/>
    <mergeCell ref="A110:C110"/>
    <mergeCell ref="A113:C113"/>
    <mergeCell ref="A114:C114"/>
    <mergeCell ref="P19:U19"/>
    <mergeCell ref="P42:R42"/>
    <mergeCell ref="A108:C108"/>
    <mergeCell ref="A46:C46"/>
    <mergeCell ref="A47:C47"/>
    <mergeCell ref="A61:C61"/>
    <mergeCell ref="A66:C66"/>
    <mergeCell ref="A73:C73"/>
    <mergeCell ref="A74:C74"/>
    <mergeCell ref="A79:C79"/>
    <mergeCell ref="A81:C81"/>
    <mergeCell ref="A87:C87"/>
    <mergeCell ref="A91:C91"/>
  </mergeCells>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F3373E-BFF1-4AB3-BC9C-823782D0A587}">
  <dimension ref="A1:C6"/>
  <sheetViews>
    <sheetView workbookViewId="0">
      <selection activeCell="I14" sqref="I14"/>
    </sheetView>
  </sheetViews>
  <sheetFormatPr defaultRowHeight="15" x14ac:dyDescent="0.25"/>
  <sheetData>
    <row r="1" spans="1:3" ht="18" x14ac:dyDescent="0.35">
      <c r="A1" t="s">
        <v>563</v>
      </c>
      <c r="B1" s="20">
        <f>'fase 0 '!B2*'Caratteristiche trave V185'!B2</f>
        <v>791.04</v>
      </c>
      <c r="C1" t="s">
        <v>7</v>
      </c>
    </row>
    <row r="2" spans="1:3" ht="18" x14ac:dyDescent="0.35">
      <c r="A2" t="s">
        <v>564</v>
      </c>
      <c r="B2" s="85">
        <v>4</v>
      </c>
      <c r="C2" t="s">
        <v>565</v>
      </c>
    </row>
    <row r="3" spans="1:3" x14ac:dyDescent="0.25">
      <c r="A3" t="s">
        <v>566</v>
      </c>
      <c r="B3" s="20">
        <f>B1/B2</f>
        <v>197.76</v>
      </c>
      <c r="C3" t="s">
        <v>7</v>
      </c>
    </row>
    <row r="4" spans="1:3" x14ac:dyDescent="0.25">
      <c r="A4" s="35" t="s">
        <v>501</v>
      </c>
      <c r="B4" s="88">
        <v>12</v>
      </c>
      <c r="C4" s="11" t="s">
        <v>6</v>
      </c>
    </row>
    <row r="6" spans="1:3" x14ac:dyDescent="0.25">
      <c r="A6" t="s">
        <v>542</v>
      </c>
      <c r="B6" s="2">
        <f>(Materiali!O4*(B4^2/4*PI()))/1000</f>
        <v>44.255479120134481</v>
      </c>
      <c r="C6" t="s">
        <v>7</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P53"/>
  <sheetViews>
    <sheetView showGridLines="0" topLeftCell="X1" zoomScale="85" zoomScaleNormal="85" workbookViewId="0">
      <selection activeCell="AH1" sqref="AH1:AJ19"/>
    </sheetView>
  </sheetViews>
  <sheetFormatPr defaultRowHeight="15" x14ac:dyDescent="0.25"/>
  <cols>
    <col min="1" max="1" width="11.7109375" customWidth="1"/>
    <col min="2" max="2" width="12.28515625" customWidth="1"/>
    <col min="12" max="12" width="13.85546875" customWidth="1"/>
    <col min="13" max="13" width="10.7109375" customWidth="1"/>
    <col min="18" max="18" width="12.140625" customWidth="1"/>
    <col min="19" max="19" width="15" customWidth="1"/>
    <col min="20" max="20" width="10" customWidth="1"/>
    <col min="27" max="27" width="11.140625" customWidth="1"/>
    <col min="28" max="28" width="12.28515625" bestFit="1" customWidth="1"/>
    <col min="29" max="29" width="14" customWidth="1"/>
    <col min="33" max="33" width="17.7109375" customWidth="1"/>
    <col min="34" max="34" width="15.7109375" customWidth="1"/>
    <col min="35" max="35" width="11.28515625" bestFit="1" customWidth="1"/>
    <col min="36" max="36" width="15.5703125" customWidth="1"/>
  </cols>
  <sheetData>
    <row r="1" spans="1:42" x14ac:dyDescent="0.25">
      <c r="A1" s="136" t="s">
        <v>425</v>
      </c>
      <c r="B1" s="136"/>
      <c r="K1" s="136" t="s">
        <v>427</v>
      </c>
      <c r="L1" s="136"/>
      <c r="M1" s="136"/>
      <c r="R1" s="136" t="s">
        <v>506</v>
      </c>
      <c r="S1" s="136"/>
      <c r="T1" s="136"/>
      <c r="U1" t="s">
        <v>507</v>
      </c>
      <c r="AH1" s="144" t="s">
        <v>550</v>
      </c>
      <c r="AI1" s="144"/>
      <c r="AJ1" s="144"/>
    </row>
    <row r="2" spans="1:42" x14ac:dyDescent="0.25">
      <c r="A2" s="61" t="s">
        <v>426</v>
      </c>
      <c r="B2" s="61" t="s">
        <v>349</v>
      </c>
      <c r="U2" t="s">
        <v>515</v>
      </c>
      <c r="AH2" s="144"/>
      <c r="AI2" s="144"/>
      <c r="AJ2" s="144"/>
    </row>
    <row r="3" spans="1:42" x14ac:dyDescent="0.25">
      <c r="A3" s="61" t="s">
        <v>7</v>
      </c>
      <c r="B3" s="61" t="s">
        <v>4</v>
      </c>
      <c r="K3" s="136" t="s">
        <v>425</v>
      </c>
      <c r="L3" s="136"/>
      <c r="M3" s="136"/>
      <c r="O3" s="67"/>
      <c r="P3" s="60"/>
      <c r="Q3" s="60"/>
      <c r="R3" s="136" t="s">
        <v>425</v>
      </c>
      <c r="S3" s="136"/>
      <c r="T3" s="136"/>
      <c r="W3" s="60"/>
      <c r="X3" s="60"/>
      <c r="AH3" s="84" t="s">
        <v>559</v>
      </c>
      <c r="AI3" s="84">
        <v>2500</v>
      </c>
      <c r="AJ3" s="84" t="s">
        <v>6</v>
      </c>
      <c r="AM3" s="112"/>
      <c r="AN3" s="112"/>
    </row>
    <row r="4" spans="1:42" ht="18" x14ac:dyDescent="0.35">
      <c r="A4" s="61">
        <f>-D32</f>
        <v>-445.69600000000003</v>
      </c>
      <c r="B4" s="61">
        <f>I32</f>
        <v>7589.6098000000002</v>
      </c>
      <c r="K4" s="82" t="s">
        <v>442</v>
      </c>
      <c r="L4" s="82">
        <v>1250</v>
      </c>
      <c r="M4" s="82" t="s">
        <v>7</v>
      </c>
      <c r="O4" s="67"/>
      <c r="P4" s="60"/>
      <c r="Q4" s="60"/>
      <c r="R4" s="82" t="s">
        <v>529</v>
      </c>
      <c r="S4" s="82">
        <v>500</v>
      </c>
      <c r="T4" s="82" t="s">
        <v>4</v>
      </c>
      <c r="W4" s="60"/>
      <c r="X4" s="60"/>
      <c r="AH4" s="84" t="s">
        <v>560</v>
      </c>
      <c r="AI4" s="84">
        <v>900</v>
      </c>
      <c r="AJ4" s="84" t="s">
        <v>6</v>
      </c>
    </row>
    <row r="5" spans="1:42" ht="18" x14ac:dyDescent="0.35">
      <c r="A5" s="113">
        <f t="shared" ref="A5:A26" si="0">-D33</f>
        <v>-440.10199999999998</v>
      </c>
      <c r="B5" s="113">
        <f t="shared" ref="B5:B26" si="1">I33</f>
        <v>7594.0439999999999</v>
      </c>
      <c r="K5" s="82" t="s">
        <v>443</v>
      </c>
      <c r="L5" s="82">
        <f>L4/2</f>
        <v>625</v>
      </c>
      <c r="M5" s="82" t="s">
        <v>7</v>
      </c>
      <c r="N5" s="60"/>
      <c r="O5" s="67"/>
      <c r="P5" s="60"/>
      <c r="R5" s="60"/>
      <c r="S5" s="67"/>
      <c r="AA5" s="144" t="s">
        <v>548</v>
      </c>
      <c r="AB5" s="144"/>
      <c r="AC5" s="144"/>
      <c r="AH5" s="84" t="s">
        <v>551</v>
      </c>
      <c r="AI5" s="84">
        <f>'Caratteristiche trave V185'!B44 - 'Caratteristiche trave V185'!B31*1000/2</f>
        <v>718</v>
      </c>
      <c r="AJ5" s="84" t="s">
        <v>6</v>
      </c>
      <c r="AM5" s="112"/>
    </row>
    <row r="6" spans="1:42" ht="15.75" customHeight="1" thickBot="1" x14ac:dyDescent="0.3">
      <c r="A6" s="113">
        <f t="shared" si="0"/>
        <v>-438.74700000000001</v>
      </c>
      <c r="B6" s="113">
        <f t="shared" si="1"/>
        <v>7639.0111999999999</v>
      </c>
      <c r="O6" s="67"/>
      <c r="P6" s="60"/>
      <c r="Q6" s="20"/>
      <c r="R6" s="146" t="s">
        <v>499</v>
      </c>
      <c r="S6" s="146"/>
      <c r="T6" s="146"/>
      <c r="W6" s="60"/>
      <c r="X6" s="60"/>
      <c r="AA6" s="145"/>
      <c r="AB6" s="145"/>
      <c r="AC6" s="145"/>
      <c r="AH6" s="84" t="s">
        <v>552</v>
      </c>
      <c r="AI6" s="84">
        <f>'Caratteristiche trave V185'!B44 -AB8/2</f>
        <v>693</v>
      </c>
      <c r="AJ6" s="84" t="s">
        <v>6</v>
      </c>
      <c r="AL6" s="84" t="s">
        <v>553</v>
      </c>
      <c r="AM6" s="84">
        <v>0</v>
      </c>
      <c r="AN6" s="84" t="s">
        <v>7</v>
      </c>
      <c r="AO6" t="s">
        <v>554</v>
      </c>
    </row>
    <row r="7" spans="1:42" ht="32.25" customHeight="1" x14ac:dyDescent="0.25">
      <c r="A7" s="113">
        <f t="shared" si="0"/>
        <v>-435.77199999999999</v>
      </c>
      <c r="B7" s="113">
        <f t="shared" si="1"/>
        <v>7639.7308999999996</v>
      </c>
      <c r="K7" s="116" t="s">
        <v>444</v>
      </c>
      <c r="L7" s="117"/>
      <c r="M7" s="118"/>
      <c r="O7" s="67"/>
      <c r="P7" s="70"/>
      <c r="Q7" s="68"/>
      <c r="R7" s="89" t="s">
        <v>516</v>
      </c>
      <c r="S7" s="90">
        <v>2521211</v>
      </c>
      <c r="T7" s="91" t="s">
        <v>8</v>
      </c>
      <c r="W7" s="60"/>
      <c r="X7" s="60"/>
      <c r="AA7" s="82" t="s">
        <v>531</v>
      </c>
      <c r="AB7" s="82">
        <f>'Caratteristiche trave V185'!B4</f>
        <v>1850</v>
      </c>
      <c r="AC7" s="82" t="s">
        <v>6</v>
      </c>
      <c r="AD7" t="s">
        <v>532</v>
      </c>
      <c r="AH7" s="154" t="s">
        <v>549</v>
      </c>
      <c r="AI7" s="154"/>
      <c r="AJ7" s="154"/>
    </row>
    <row r="8" spans="1:42" ht="18.75" customHeight="1" x14ac:dyDescent="0.35">
      <c r="A8" s="113">
        <f t="shared" si="0"/>
        <v>-434.41699999999997</v>
      </c>
      <c r="B8" s="113">
        <f t="shared" si="1"/>
        <v>7614.8609999999999</v>
      </c>
      <c r="K8" s="11" t="s">
        <v>436</v>
      </c>
      <c r="L8" s="11">
        <v>290</v>
      </c>
      <c r="M8" s="11" t="s">
        <v>6</v>
      </c>
      <c r="O8" s="67"/>
      <c r="P8" s="70"/>
      <c r="Q8" s="69"/>
      <c r="R8" s="92" t="s">
        <v>254</v>
      </c>
      <c r="S8" s="87">
        <v>6575</v>
      </c>
      <c r="T8" s="93" t="s">
        <v>6</v>
      </c>
      <c r="U8" t="s">
        <v>517</v>
      </c>
      <c r="W8" s="60"/>
      <c r="X8" s="60"/>
      <c r="AA8" s="82" t="s">
        <v>533</v>
      </c>
      <c r="AB8" s="82">
        <v>300</v>
      </c>
      <c r="AC8" s="82" t="s">
        <v>6</v>
      </c>
      <c r="AD8" t="s">
        <v>534</v>
      </c>
      <c r="AH8" s="155" t="s">
        <v>558</v>
      </c>
      <c r="AI8" s="143"/>
      <c r="AJ8" s="156"/>
      <c r="AN8" s="114"/>
      <c r="AO8" s="114"/>
      <c r="AP8" s="114"/>
    </row>
    <row r="9" spans="1:42" x14ac:dyDescent="0.25">
      <c r="A9" s="113">
        <f t="shared" si="0"/>
        <v>-436.84199999999998</v>
      </c>
      <c r="B9" s="113">
        <f t="shared" si="1"/>
        <v>7611.3010000000004</v>
      </c>
      <c r="K9" s="11" t="s">
        <v>428</v>
      </c>
      <c r="L9" s="11">
        <v>1400</v>
      </c>
      <c r="M9" s="11" t="s">
        <v>6</v>
      </c>
      <c r="O9" s="67"/>
      <c r="P9" s="60"/>
      <c r="Q9" s="2"/>
      <c r="R9" s="94" t="s">
        <v>29</v>
      </c>
      <c r="S9" s="86">
        <f>S7/S8</f>
        <v>383.45414448669203</v>
      </c>
      <c r="T9" s="93" t="s">
        <v>6</v>
      </c>
      <c r="U9" t="s">
        <v>527</v>
      </c>
      <c r="W9" s="60"/>
      <c r="X9" s="60"/>
      <c r="AA9" s="82" t="s">
        <v>537</v>
      </c>
      <c r="AB9" s="9">
        <f>S4*(AB7-AB8)/1000/(2*S7/1000^2)*S18</f>
        <v>173.72178296186505</v>
      </c>
      <c r="AC9" s="82" t="s">
        <v>7</v>
      </c>
      <c r="AD9" t="s">
        <v>536</v>
      </c>
      <c r="AH9" s="113" t="s">
        <v>561</v>
      </c>
      <c r="AI9" s="9">
        <f>S4*1000*(AI4-S9)/(2*S7)</f>
        <v>51.22001446064094</v>
      </c>
      <c r="AJ9" s="113" t="s">
        <v>7</v>
      </c>
    </row>
    <row r="10" spans="1:42" x14ac:dyDescent="0.25">
      <c r="A10" s="113">
        <f t="shared" si="0"/>
        <v>-435.48700000000002</v>
      </c>
      <c r="B10" s="113">
        <f t="shared" si="1"/>
        <v>7506.4072999999999</v>
      </c>
      <c r="K10" s="35" t="s">
        <v>159</v>
      </c>
      <c r="L10" s="11">
        <v>12</v>
      </c>
      <c r="M10" s="11" t="s">
        <v>6</v>
      </c>
      <c r="O10" s="67"/>
      <c r="Q10" s="60"/>
      <c r="R10" s="95" t="s">
        <v>501</v>
      </c>
      <c r="S10" s="88">
        <v>12</v>
      </c>
      <c r="T10" s="96" t="s">
        <v>6</v>
      </c>
      <c r="U10" t="s">
        <v>500</v>
      </c>
      <c r="W10" s="60"/>
      <c r="X10" s="60"/>
      <c r="AA10" s="82" t="s">
        <v>535</v>
      </c>
      <c r="AB10" s="9">
        <f>AB9+L5</f>
        <v>798.72178296186507</v>
      </c>
      <c r="AC10" s="82" t="s">
        <v>7</v>
      </c>
      <c r="AD10" t="s">
        <v>538</v>
      </c>
      <c r="AH10" s="113" t="s">
        <v>541</v>
      </c>
      <c r="AI10" s="9">
        <f>AN14</f>
        <v>885.10958240268963</v>
      </c>
      <c r="AJ10" s="12" t="s">
        <v>7</v>
      </c>
      <c r="AM10" s="143" t="s">
        <v>557</v>
      </c>
      <c r="AN10" s="143"/>
      <c r="AO10" s="143"/>
    </row>
    <row r="11" spans="1:42" ht="18" x14ac:dyDescent="0.25">
      <c r="A11" s="113">
        <f t="shared" si="0"/>
        <v>-440.63200000000001</v>
      </c>
      <c r="B11" s="113">
        <f t="shared" si="1"/>
        <v>7499.1525000000001</v>
      </c>
      <c r="K11" s="11" t="s">
        <v>429</v>
      </c>
      <c r="L11" s="11">
        <v>200</v>
      </c>
      <c r="M11" s="11" t="s">
        <v>6</v>
      </c>
      <c r="O11" s="67"/>
      <c r="Q11" s="60"/>
      <c r="R11" s="101" t="s">
        <v>519</v>
      </c>
      <c r="S11" s="12">
        <f>18*2</f>
        <v>36</v>
      </c>
      <c r="T11" s="99"/>
      <c r="U11" t="s">
        <v>511</v>
      </c>
      <c r="W11" s="60"/>
      <c r="X11" s="60"/>
      <c r="AA11" s="143" t="s">
        <v>540</v>
      </c>
      <c r="AB11" s="143"/>
      <c r="AC11" s="143"/>
      <c r="AH11" s="113" t="s">
        <v>230</v>
      </c>
      <c r="AI11" s="23">
        <f>AI9/AI10</f>
        <v>5.7868557158313391E-2</v>
      </c>
      <c r="AJ11" s="113" t="str">
        <f>IF((AI11 &lt; 1),"VERIFICA", " NON VERIFICA")</f>
        <v>VERIFICA</v>
      </c>
      <c r="AM11" s="35" t="s">
        <v>501</v>
      </c>
      <c r="AN11" s="88">
        <f>S10</f>
        <v>12</v>
      </c>
      <c r="AO11" s="11" t="s">
        <v>6</v>
      </c>
    </row>
    <row r="12" spans="1:42" ht="27" customHeight="1" x14ac:dyDescent="0.35">
      <c r="A12" s="113">
        <f t="shared" si="0"/>
        <v>-439.27699999999999</v>
      </c>
      <c r="B12" s="113">
        <f t="shared" si="1"/>
        <v>7312.4957999999997</v>
      </c>
      <c r="K12" s="35" t="s">
        <v>430</v>
      </c>
      <c r="L12" s="71">
        <f>ASIN(SQRT(2*L10^2/4*PI()*Materiali!$O$4/($L$8*L11*0.5*Materiali!$B$5)))</f>
        <v>0.35063149599484783</v>
      </c>
      <c r="M12" s="11" t="s">
        <v>434</v>
      </c>
      <c r="N12" t="s">
        <v>447</v>
      </c>
      <c r="O12" s="67"/>
      <c r="Q12" s="60"/>
      <c r="R12" s="101" t="s">
        <v>518</v>
      </c>
      <c r="S12" s="98">
        <v>48</v>
      </c>
      <c r="T12" s="99"/>
      <c r="U12" t="s">
        <v>520</v>
      </c>
      <c r="W12" s="60"/>
      <c r="X12" s="60"/>
      <c r="AA12" s="104" t="s">
        <v>539</v>
      </c>
      <c r="AB12" s="12">
        <f>2*9</f>
        <v>18</v>
      </c>
      <c r="AC12" s="12"/>
      <c r="AH12" s="153" t="s">
        <v>562</v>
      </c>
      <c r="AI12" s="153"/>
      <c r="AJ12" s="153"/>
      <c r="AM12" s="104" t="s">
        <v>555</v>
      </c>
      <c r="AN12" s="12">
        <v>20</v>
      </c>
      <c r="AO12" s="12"/>
    </row>
    <row r="13" spans="1:42" ht="18.75" customHeight="1" x14ac:dyDescent="0.25">
      <c r="A13" s="113">
        <f t="shared" si="0"/>
        <v>-472.34899999999999</v>
      </c>
      <c r="B13" s="113">
        <f t="shared" si="1"/>
        <v>7301.8490000000002</v>
      </c>
      <c r="K13" s="35" t="s">
        <v>430</v>
      </c>
      <c r="L13" s="72">
        <f>DEGREES(L12)</f>
        <v>20.089704884863007</v>
      </c>
      <c r="M13" s="11" t="s">
        <v>435</v>
      </c>
      <c r="R13" s="103" t="s">
        <v>502</v>
      </c>
      <c r="S13" s="100">
        <f>(S12+S11)*S10^2/4*PI()</f>
        <v>9500.1761844555349</v>
      </c>
      <c r="T13" s="99" t="s">
        <v>8</v>
      </c>
      <c r="U13" t="s">
        <v>521</v>
      </c>
      <c r="W13" s="60"/>
      <c r="X13" s="60"/>
      <c r="AA13" s="102" t="s">
        <v>502</v>
      </c>
      <c r="AB13" s="100">
        <f>AB12*S10^2/4*PI()</f>
        <v>2035.7520395261859</v>
      </c>
      <c r="AC13" s="12" t="s">
        <v>8</v>
      </c>
      <c r="AH13" s="143" t="s">
        <v>558</v>
      </c>
      <c r="AI13" s="143"/>
      <c r="AJ13" s="143"/>
      <c r="AM13" s="102" t="s">
        <v>502</v>
      </c>
      <c r="AN13" s="100">
        <f>AN12*AN11^2/4*PI()</f>
        <v>2261.9467105846511</v>
      </c>
      <c r="AO13" s="12" t="s">
        <v>8</v>
      </c>
    </row>
    <row r="14" spans="1:42" ht="17.25" customHeight="1" x14ac:dyDescent="0.25">
      <c r="A14" s="113">
        <f t="shared" si="0"/>
        <v>-470.99400000000003</v>
      </c>
      <c r="B14" s="113">
        <f t="shared" si="1"/>
        <v>7032.2272000000003</v>
      </c>
      <c r="K14" s="35" t="s">
        <v>430</v>
      </c>
      <c r="L14" s="72">
        <f>IF(L13&lt;21.8,21.8,L13)</f>
        <v>21.8</v>
      </c>
      <c r="M14" s="11" t="s">
        <v>435</v>
      </c>
      <c r="N14" t="s">
        <v>448</v>
      </c>
      <c r="R14" s="103" t="s">
        <v>503</v>
      </c>
      <c r="S14" s="100">
        <f>L16*L10^2/4*PI()</f>
        <v>226.1946710584651</v>
      </c>
      <c r="T14" s="99" t="s">
        <v>8</v>
      </c>
      <c r="W14" s="60"/>
      <c r="X14" s="60"/>
      <c r="AA14" s="22" t="s">
        <v>541</v>
      </c>
      <c r="AB14" s="9">
        <f>AB13*Materiali!O4/1000</f>
        <v>796.59862416242061</v>
      </c>
      <c r="AC14" s="12" t="s">
        <v>7</v>
      </c>
      <c r="AH14" s="35" t="s">
        <v>501</v>
      </c>
      <c r="AI14" s="88">
        <v>12</v>
      </c>
      <c r="AJ14" s="11" t="s">
        <v>6</v>
      </c>
      <c r="AM14" s="22" t="s">
        <v>541</v>
      </c>
      <c r="AN14" s="9">
        <f>AN13*Materiali!O4/1000</f>
        <v>885.10958240268963</v>
      </c>
      <c r="AO14" s="12" t="s">
        <v>7</v>
      </c>
    </row>
    <row r="15" spans="1:42" ht="18" x14ac:dyDescent="0.25">
      <c r="A15" s="113">
        <f t="shared" si="0"/>
        <v>-511.36399999999998</v>
      </c>
      <c r="B15" s="113">
        <f t="shared" si="1"/>
        <v>7017.5675000000001</v>
      </c>
      <c r="K15" s="35" t="s">
        <v>430</v>
      </c>
      <c r="L15" s="72">
        <f>RADIANS(L14)</f>
        <v>0.38048177693476387</v>
      </c>
      <c r="M15" s="11" t="s">
        <v>434</v>
      </c>
      <c r="R15" s="148" t="s">
        <v>505</v>
      </c>
      <c r="S15" s="12">
        <f>L11</f>
        <v>200</v>
      </c>
      <c r="T15" s="149" t="s">
        <v>6</v>
      </c>
      <c r="W15" s="60"/>
      <c r="X15" s="60"/>
      <c r="AA15" s="82" t="s">
        <v>230</v>
      </c>
      <c r="AB15" s="23">
        <f>AB9/AB14</f>
        <v>0.21807944138056212</v>
      </c>
      <c r="AC15" s="82" t="str">
        <f>IF((AB15 &lt; 1),"VERIFICA", " NON VERIFICA")</f>
        <v>VERIFICA</v>
      </c>
      <c r="AH15" s="104" t="s">
        <v>555</v>
      </c>
      <c r="AI15" s="12">
        <v>20</v>
      </c>
      <c r="AJ15" s="12"/>
      <c r="AM15" s="84" t="s">
        <v>230</v>
      </c>
      <c r="AN15" s="23">
        <f>AM6/AN14</f>
        <v>0</v>
      </c>
      <c r="AO15" s="84" t="str">
        <f>IF((AN15 &lt; 1),"VERIFICA", " NON VERIFICA")</f>
        <v>VERIFICA</v>
      </c>
    </row>
    <row r="16" spans="1:42" ht="17.25" x14ac:dyDescent="0.25">
      <c r="A16" s="113">
        <f t="shared" si="0"/>
        <v>-510.00799999999998</v>
      </c>
      <c r="B16" s="113">
        <f t="shared" si="1"/>
        <v>6662.1553999999996</v>
      </c>
      <c r="K16" s="35" t="s">
        <v>504</v>
      </c>
      <c r="L16" s="82">
        <v>2</v>
      </c>
      <c r="M16" s="113"/>
      <c r="N16" s="16" t="s">
        <v>445</v>
      </c>
      <c r="R16" s="148" t="s">
        <v>509</v>
      </c>
      <c r="S16" s="12">
        <f>S13/S8</f>
        <v>1.4448937162670015</v>
      </c>
      <c r="T16" s="149" t="s">
        <v>6</v>
      </c>
      <c r="W16" s="60"/>
      <c r="X16" s="60"/>
      <c r="AA16" s="143" t="s">
        <v>540</v>
      </c>
      <c r="AB16" s="143"/>
      <c r="AC16" s="143"/>
      <c r="AH16" s="102" t="s">
        <v>502</v>
      </c>
      <c r="AI16" s="100">
        <f>AI15*AI14^2/4*PI()</f>
        <v>2261.9467105846511</v>
      </c>
      <c r="AJ16" s="12" t="s">
        <v>8</v>
      </c>
    </row>
    <row r="17" spans="1:40" ht="18" x14ac:dyDescent="0.35">
      <c r="A17" s="113">
        <f>-D45</f>
        <v>-555.32500000000005</v>
      </c>
      <c r="B17" s="113">
        <f t="shared" si="1"/>
        <v>6644.4332000000004</v>
      </c>
      <c r="K17" s="11" t="s">
        <v>431</v>
      </c>
      <c r="L17" s="73">
        <f>(0.9*($L$9-30)*(L16*PI()*L10^2/4)/L11*Materiali!$O$4)/1000*_xlfn.COT(L15)</f>
        <v>1364.2724708211881</v>
      </c>
      <c r="M17" s="11" t="s">
        <v>7</v>
      </c>
      <c r="N17" s="16" t="s">
        <v>446</v>
      </c>
      <c r="R17" s="148" t="s">
        <v>510</v>
      </c>
      <c r="S17" s="12">
        <f>S14/S15</f>
        <v>1.1309733552923256</v>
      </c>
      <c r="T17" s="149" t="s">
        <v>6</v>
      </c>
      <c r="W17" s="60"/>
      <c r="X17" s="60"/>
      <c r="AA17" s="98" t="s">
        <v>503</v>
      </c>
      <c r="AB17" s="100">
        <f>L16*L10^2/4*PI()</f>
        <v>226.1946710584651</v>
      </c>
      <c r="AC17" s="12" t="s">
        <v>8</v>
      </c>
      <c r="AH17" s="113" t="s">
        <v>561</v>
      </c>
      <c r="AI17" s="9">
        <f>S4*1000*(AI3)/(2*S7)</f>
        <v>247.89674485792739</v>
      </c>
      <c r="AJ17" s="113" t="s">
        <v>7</v>
      </c>
    </row>
    <row r="18" spans="1:40" ht="18" x14ac:dyDescent="0.35">
      <c r="A18" s="113">
        <f t="shared" si="0"/>
        <v>-553.97</v>
      </c>
      <c r="B18" s="113">
        <f t="shared" si="1"/>
        <v>6200.1124</v>
      </c>
      <c r="K18" s="11" t="s">
        <v>432</v>
      </c>
      <c r="L18" s="73">
        <f>(0.9*($L$9-30)*$L$8*0.5*Materiali!$B$5)*(_xlfn.COT(L15))/(1+_xlfn.COT(L15)^2)/1000</f>
        <v>1594.7003609981493</v>
      </c>
      <c r="M18" s="11" t="s">
        <v>7</v>
      </c>
      <c r="R18" s="101" t="s">
        <v>508</v>
      </c>
      <c r="S18" s="111">
        <f>(S16/S17)^(1/2)</f>
        <v>1.1302948906917851</v>
      </c>
      <c r="T18" s="149" t="s">
        <v>434</v>
      </c>
      <c r="U18" s="83" t="str">
        <f>IF(S18&lt;=2.5,"OK","NO")</f>
        <v>OK</v>
      </c>
      <c r="W18" s="60"/>
      <c r="X18" s="60"/>
      <c r="AA18" s="82" t="s">
        <v>37</v>
      </c>
      <c r="AB18" s="82">
        <f>S15</f>
        <v>200</v>
      </c>
      <c r="AC18" s="105" t="s">
        <v>6</v>
      </c>
      <c r="AH18" s="113" t="s">
        <v>541</v>
      </c>
      <c r="AI18" s="9">
        <f>AI16*Materiali!O4/1000</f>
        <v>885.10958240268963</v>
      </c>
      <c r="AJ18" s="12" t="s">
        <v>7</v>
      </c>
    </row>
    <row r="19" spans="1:40" ht="18.75" thickBot="1" x14ac:dyDescent="0.4">
      <c r="A19" s="113">
        <f t="shared" si="0"/>
        <v>-612.88199999999995</v>
      </c>
      <c r="B19" s="113">
        <f t="shared" si="1"/>
        <v>6206.9584000000004</v>
      </c>
      <c r="K19" s="11" t="s">
        <v>433</v>
      </c>
      <c r="L19" s="73">
        <f>MIN(L17:L18)</f>
        <v>1364.2724708211881</v>
      </c>
      <c r="M19" s="11" t="s">
        <v>7</v>
      </c>
      <c r="R19" s="150" t="s">
        <v>430</v>
      </c>
      <c r="S19" s="151">
        <f>_xlfn.ACOT(S18)</f>
        <v>0.72431141814387112</v>
      </c>
      <c r="T19" s="152" t="s">
        <v>434</v>
      </c>
      <c r="W19" s="60"/>
      <c r="X19" s="60"/>
      <c r="AA19" s="82" t="s">
        <v>542</v>
      </c>
      <c r="AB19" s="9">
        <f>AB17*Materiali!O4*S18/AB18</f>
        <v>500.21741934604978</v>
      </c>
      <c r="AC19" s="82" t="s">
        <v>7</v>
      </c>
      <c r="AH19" s="84" t="s">
        <v>230</v>
      </c>
      <c r="AI19" s="23">
        <f>AI17/AI18</f>
        <v>0.28007463684326517</v>
      </c>
      <c r="AJ19" s="84" t="str">
        <f>IF((AI19 &lt; 1),"VERIFICA", " NON VERIFICA")</f>
        <v>VERIFICA</v>
      </c>
    </row>
    <row r="20" spans="1:40" ht="15.75" customHeight="1" thickBot="1" x14ac:dyDescent="0.3">
      <c r="A20" s="113">
        <f t="shared" si="0"/>
        <v>-611.62300000000005</v>
      </c>
      <c r="B20" s="113">
        <f t="shared" si="1"/>
        <v>5599.0362999999998</v>
      </c>
      <c r="K20" s="11" t="s">
        <v>230</v>
      </c>
      <c r="L20" s="9">
        <f>L5/L19</f>
        <v>0.4581196303285352</v>
      </c>
      <c r="M20" s="61" t="str">
        <f>IF((L20 &lt; 1),"VERIFICA", " NON VERIFICA")</f>
        <v>VERIFICA</v>
      </c>
      <c r="R20" s="147" t="s">
        <v>512</v>
      </c>
      <c r="S20" s="147"/>
      <c r="T20" s="147"/>
      <c r="AA20" s="82" t="s">
        <v>230</v>
      </c>
      <c r="AB20" s="23">
        <f>AB9/AB19</f>
        <v>0.34729254968564888</v>
      </c>
      <c r="AC20" s="82" t="str">
        <f>IF((AB20 &lt; 1),"VERIFICA", " NON VERIFICA")</f>
        <v>VERIFICA</v>
      </c>
      <c r="AL20" s="114"/>
      <c r="AM20" s="114"/>
      <c r="AN20" s="114"/>
    </row>
    <row r="21" spans="1:40" ht="17.25" x14ac:dyDescent="0.25">
      <c r="A21" s="113">
        <f t="shared" si="0"/>
        <v>-665.79899999999998</v>
      </c>
      <c r="B21" s="113">
        <f t="shared" si="1"/>
        <v>5578.0245000000004</v>
      </c>
      <c r="K21" s="60"/>
      <c r="R21" s="106" t="s">
        <v>522</v>
      </c>
      <c r="S21" s="107">
        <f>0.85*(1-Materiali!B4/250)*Materiali!B5</f>
        <v>17.973059316666664</v>
      </c>
      <c r="T21" s="108" t="s">
        <v>5</v>
      </c>
      <c r="AA21" s="143" t="s">
        <v>543</v>
      </c>
      <c r="AB21" s="143"/>
      <c r="AC21" s="143"/>
    </row>
    <row r="22" spans="1:40" ht="17.25" x14ac:dyDescent="0.25">
      <c r="A22" s="113">
        <f t="shared" si="0"/>
        <v>-664.54100000000005</v>
      </c>
      <c r="B22" s="113">
        <f t="shared" si="1"/>
        <v>4887.0778</v>
      </c>
      <c r="K22" s="60"/>
      <c r="L22" s="60"/>
      <c r="M22" s="60"/>
      <c r="N22" s="60"/>
      <c r="R22" s="95" t="s">
        <v>514</v>
      </c>
      <c r="S22" s="72">
        <f>(2*S7*S9*S21*S18/(1+S18^2))/1000^2</f>
        <v>17246.2756502708</v>
      </c>
      <c r="T22" s="96" t="s">
        <v>4</v>
      </c>
      <c r="AA22" s="11" t="s">
        <v>544</v>
      </c>
      <c r="AB22" s="9">
        <f>0.7*S21</f>
        <v>12.581141521666664</v>
      </c>
      <c r="AC22" s="12" t="s">
        <v>5</v>
      </c>
      <c r="AD22" t="s">
        <v>556</v>
      </c>
    </row>
    <row r="23" spans="1:40" ht="18" x14ac:dyDescent="0.35">
      <c r="A23" s="113">
        <f t="shared" si="0"/>
        <v>-694.048</v>
      </c>
      <c r="B23" s="113">
        <f t="shared" si="1"/>
        <v>4874.6495000000004</v>
      </c>
      <c r="K23" s="60"/>
      <c r="L23" s="60"/>
      <c r="M23" s="60"/>
      <c r="N23" s="60"/>
      <c r="R23" s="95" t="s">
        <v>523</v>
      </c>
      <c r="S23" s="72">
        <f>(2*S7*S14/S15*Materiali!O4*S18)/1000^2</f>
        <v>2522.3073200937474</v>
      </c>
      <c r="T23" s="96" t="s">
        <v>4</v>
      </c>
      <c r="U23" t="s">
        <v>513</v>
      </c>
      <c r="W23" s="60"/>
      <c r="X23" s="60"/>
      <c r="AA23" s="11" t="s">
        <v>545</v>
      </c>
      <c r="AB23" s="37">
        <f>AB22*COS(S19)*SIN(S19)</f>
        <v>6.2436814607773892</v>
      </c>
      <c r="AC23" s="12" t="s">
        <v>5</v>
      </c>
      <c r="AD23" t="s">
        <v>547</v>
      </c>
    </row>
    <row r="24" spans="1:40" ht="18" x14ac:dyDescent="0.35">
      <c r="A24" s="113">
        <f t="shared" si="0"/>
        <v>-692.79</v>
      </c>
      <c r="B24" s="113">
        <f t="shared" si="1"/>
        <v>4092.3701000000001</v>
      </c>
      <c r="K24" s="60"/>
      <c r="L24" s="60"/>
      <c r="M24" s="60"/>
      <c r="N24" s="60"/>
      <c r="R24" s="95" t="s">
        <v>526</v>
      </c>
      <c r="S24" s="72">
        <f>(2*S7*S13/S8*Materiali!O4/S18)/1000^2</f>
        <v>2522.3073200937474</v>
      </c>
      <c r="T24" s="96" t="s">
        <v>4</v>
      </c>
      <c r="U24" t="s">
        <v>524</v>
      </c>
      <c r="W24" s="60"/>
      <c r="X24" s="60"/>
      <c r="AA24" s="11" t="s">
        <v>546</v>
      </c>
      <c r="AB24" s="23">
        <f>AB10*1000/(2*S7)</f>
        <v>0.15840042403469307</v>
      </c>
      <c r="AC24" s="12" t="s">
        <v>5</v>
      </c>
    </row>
    <row r="25" spans="1:40" ht="18.75" thickBot="1" x14ac:dyDescent="0.4">
      <c r="A25" s="113">
        <f t="shared" si="0"/>
        <v>-688.03</v>
      </c>
      <c r="B25" s="113">
        <f t="shared" si="1"/>
        <v>4093.9776999999999</v>
      </c>
      <c r="K25" s="60"/>
      <c r="L25" s="60"/>
      <c r="M25" s="60"/>
      <c r="N25" s="60"/>
      <c r="R25" s="109" t="s">
        <v>528</v>
      </c>
      <c r="S25" s="110">
        <f>MIN(S22:S24)</f>
        <v>2522.3073200937474</v>
      </c>
      <c r="T25" s="97" t="s">
        <v>4</v>
      </c>
      <c r="U25" t="s">
        <v>525</v>
      </c>
      <c r="W25" s="60"/>
      <c r="X25" s="60"/>
      <c r="AA25" s="82" t="s">
        <v>230</v>
      </c>
      <c r="AB25" s="9">
        <f>AB24/AB23</f>
        <v>2.5369715772619015E-2</v>
      </c>
      <c r="AC25" s="82" t="str">
        <f>IF((AB25 &lt; 1),"VERIFICA", " NON VERIFICA")</f>
        <v>VERIFICA</v>
      </c>
    </row>
    <row r="26" spans="1:40" x14ac:dyDescent="0.25">
      <c r="A26" s="113">
        <f t="shared" si="0"/>
        <v>0</v>
      </c>
      <c r="B26" s="113">
        <f t="shared" si="1"/>
        <v>0</v>
      </c>
      <c r="K26" s="60"/>
      <c r="L26" s="60"/>
      <c r="M26" s="60"/>
      <c r="N26" s="60"/>
      <c r="W26" s="60"/>
      <c r="X26" s="60"/>
    </row>
    <row r="27" spans="1:40" x14ac:dyDescent="0.25">
      <c r="K27" s="60"/>
      <c r="L27" s="60"/>
      <c r="M27" s="60"/>
      <c r="N27" s="60"/>
      <c r="W27" s="60"/>
      <c r="X27" s="60"/>
    </row>
    <row r="32" spans="1:40" x14ac:dyDescent="0.25">
      <c r="B32">
        <v>12.01923</v>
      </c>
      <c r="C32" t="s">
        <v>568</v>
      </c>
      <c r="D32">
        <v>445.69600000000003</v>
      </c>
      <c r="E32">
        <v>94.88</v>
      </c>
      <c r="F32">
        <v>8.4870000000000001</v>
      </c>
      <c r="G32">
        <v>71.224500000000006</v>
      </c>
      <c r="H32">
        <v>414.98790000000002</v>
      </c>
      <c r="I32">
        <v>7589.6098000000002</v>
      </c>
    </row>
    <row r="33" spans="2:9" x14ac:dyDescent="0.25">
      <c r="B33">
        <v>12.01923</v>
      </c>
      <c r="C33" t="s">
        <v>568</v>
      </c>
      <c r="D33">
        <v>440.10199999999998</v>
      </c>
      <c r="E33">
        <v>119.372</v>
      </c>
      <c r="F33">
        <v>18.869</v>
      </c>
      <c r="G33">
        <v>73.587699999999998</v>
      </c>
      <c r="H33">
        <v>413.32420000000002</v>
      </c>
      <c r="I33">
        <v>7594.0439999999999</v>
      </c>
    </row>
    <row r="34" spans="2:9" x14ac:dyDescent="0.25">
      <c r="B34">
        <v>12.98077</v>
      </c>
      <c r="C34" t="s">
        <v>568</v>
      </c>
      <c r="D34">
        <v>438.74700000000001</v>
      </c>
      <c r="E34">
        <v>163.369</v>
      </c>
      <c r="F34">
        <v>18.869</v>
      </c>
      <c r="G34">
        <v>73.587699999999998</v>
      </c>
      <c r="H34">
        <v>415.2697</v>
      </c>
      <c r="I34">
        <v>7639.0111999999999</v>
      </c>
    </row>
    <row r="35" spans="2:9" x14ac:dyDescent="0.25">
      <c r="B35">
        <v>12.98077</v>
      </c>
      <c r="C35" t="s">
        <v>568</v>
      </c>
      <c r="D35">
        <v>435.77199999999999</v>
      </c>
      <c r="E35">
        <v>187.9</v>
      </c>
      <c r="F35">
        <v>30.978000000000002</v>
      </c>
      <c r="G35">
        <v>81.408600000000007</v>
      </c>
      <c r="H35">
        <v>417.21010000000001</v>
      </c>
      <c r="I35">
        <v>7639.7308999999996</v>
      </c>
    </row>
    <row r="36" spans="2:9" x14ac:dyDescent="0.25">
      <c r="B36">
        <v>13.942310000000001</v>
      </c>
      <c r="C36" t="s">
        <v>568</v>
      </c>
      <c r="D36">
        <v>434.41699999999997</v>
      </c>
      <c r="E36">
        <v>231.89699999999999</v>
      </c>
      <c r="F36">
        <v>30.978000000000002</v>
      </c>
      <c r="G36">
        <v>81.408600000000007</v>
      </c>
      <c r="H36">
        <v>407.08199999999999</v>
      </c>
      <c r="I36">
        <v>7614.8609999999999</v>
      </c>
    </row>
    <row r="37" spans="2:9" x14ac:dyDescent="0.25">
      <c r="B37">
        <v>13.942310000000001</v>
      </c>
      <c r="C37" t="s">
        <v>568</v>
      </c>
      <c r="D37">
        <v>436.84199999999998</v>
      </c>
      <c r="E37">
        <v>257.42200000000003</v>
      </c>
      <c r="F37">
        <v>43.448999999999998</v>
      </c>
      <c r="G37">
        <v>90.666799999999995</v>
      </c>
      <c r="H37">
        <v>413.4289</v>
      </c>
      <c r="I37">
        <v>7611.3010000000004</v>
      </c>
    </row>
    <row r="38" spans="2:9" x14ac:dyDescent="0.25">
      <c r="B38">
        <v>14.90385</v>
      </c>
      <c r="C38" t="s">
        <v>568</v>
      </c>
      <c r="D38">
        <v>435.48700000000002</v>
      </c>
      <c r="E38">
        <v>301.41899999999998</v>
      </c>
      <c r="F38">
        <v>43.448999999999998</v>
      </c>
      <c r="G38">
        <v>90.666799999999995</v>
      </c>
      <c r="H38">
        <v>390.15260000000001</v>
      </c>
      <c r="I38">
        <v>7506.4072999999999</v>
      </c>
    </row>
    <row r="39" spans="2:9" x14ac:dyDescent="0.25">
      <c r="B39">
        <v>14.90385</v>
      </c>
      <c r="C39" t="s">
        <v>568</v>
      </c>
      <c r="D39">
        <v>440.63200000000001</v>
      </c>
      <c r="E39">
        <v>328.60599999999999</v>
      </c>
      <c r="F39">
        <v>55.317</v>
      </c>
      <c r="G39">
        <v>100.6658</v>
      </c>
      <c r="H39">
        <v>401.9683</v>
      </c>
      <c r="I39">
        <v>7499.1525000000001</v>
      </c>
    </row>
    <row r="40" spans="2:9" x14ac:dyDescent="0.25">
      <c r="B40">
        <v>15.86538</v>
      </c>
      <c r="C40" t="s">
        <v>568</v>
      </c>
      <c r="D40">
        <v>439.27699999999999</v>
      </c>
      <c r="E40">
        <v>372.60300000000001</v>
      </c>
      <c r="F40">
        <v>55.317</v>
      </c>
      <c r="G40">
        <v>100.6658</v>
      </c>
      <c r="H40">
        <v>364.90210000000002</v>
      </c>
      <c r="I40">
        <v>7312.4957999999997</v>
      </c>
    </row>
    <row r="41" spans="2:9" x14ac:dyDescent="0.25">
      <c r="B41">
        <v>15.86538</v>
      </c>
      <c r="C41" t="s">
        <v>568</v>
      </c>
      <c r="D41">
        <v>472.34899999999999</v>
      </c>
      <c r="E41">
        <v>402.452</v>
      </c>
      <c r="F41">
        <v>65.39</v>
      </c>
      <c r="G41">
        <v>109.6644</v>
      </c>
      <c r="H41">
        <v>383.7079</v>
      </c>
      <c r="I41">
        <v>7301.8490000000002</v>
      </c>
    </row>
    <row r="42" spans="2:9" x14ac:dyDescent="0.25">
      <c r="B42">
        <v>16.826920000000001</v>
      </c>
      <c r="C42" t="s">
        <v>568</v>
      </c>
      <c r="D42">
        <v>470.99400000000003</v>
      </c>
      <c r="E42">
        <v>446.44799999999998</v>
      </c>
      <c r="F42">
        <v>65.39</v>
      </c>
      <c r="G42">
        <v>109.6644</v>
      </c>
      <c r="H42">
        <v>333.99669999999998</v>
      </c>
      <c r="I42">
        <v>7032.2272000000003</v>
      </c>
    </row>
    <row r="43" spans="2:9" x14ac:dyDescent="0.25">
      <c r="B43">
        <v>16.826920000000001</v>
      </c>
      <c r="C43" t="s">
        <v>568</v>
      </c>
      <c r="D43">
        <v>511.36399999999998</v>
      </c>
      <c r="E43">
        <v>480.13400000000001</v>
      </c>
      <c r="F43">
        <v>77.834000000000003</v>
      </c>
      <c r="G43">
        <v>113.6242</v>
      </c>
      <c r="H43">
        <v>362.34679999999997</v>
      </c>
      <c r="I43">
        <v>7017.5675000000001</v>
      </c>
    </row>
    <row r="44" spans="2:9" x14ac:dyDescent="0.25">
      <c r="B44">
        <v>17.788460000000001</v>
      </c>
      <c r="C44" t="s">
        <v>568</v>
      </c>
      <c r="D44">
        <v>510.00799999999998</v>
      </c>
      <c r="E44">
        <v>524.13099999999997</v>
      </c>
      <c r="F44">
        <v>77.834000000000003</v>
      </c>
      <c r="G44">
        <v>113.6242</v>
      </c>
      <c r="H44">
        <v>305.04329999999999</v>
      </c>
      <c r="I44">
        <v>6662.1553999999996</v>
      </c>
    </row>
    <row r="45" spans="2:9" x14ac:dyDescent="0.25">
      <c r="B45">
        <v>17.788460000000001</v>
      </c>
      <c r="C45" t="s">
        <v>568</v>
      </c>
      <c r="D45">
        <v>555.32500000000005</v>
      </c>
      <c r="E45">
        <v>563.38599999999997</v>
      </c>
      <c r="F45">
        <v>87.230999999999995</v>
      </c>
      <c r="G45">
        <v>106.6772</v>
      </c>
      <c r="H45">
        <v>356.55009999999999</v>
      </c>
      <c r="I45">
        <v>6644.4332000000004</v>
      </c>
    </row>
    <row r="46" spans="2:9" x14ac:dyDescent="0.25">
      <c r="B46">
        <v>18.75</v>
      </c>
      <c r="C46" t="s">
        <v>568</v>
      </c>
      <c r="D46">
        <v>553.97</v>
      </c>
      <c r="E46">
        <v>607.38300000000004</v>
      </c>
      <c r="F46">
        <v>87.230999999999995</v>
      </c>
      <c r="G46">
        <v>106.6772</v>
      </c>
      <c r="H46">
        <v>302.82159999999999</v>
      </c>
      <c r="I46">
        <v>6200.1124</v>
      </c>
    </row>
    <row r="47" spans="2:9" x14ac:dyDescent="0.25">
      <c r="B47">
        <v>18.75</v>
      </c>
      <c r="C47" t="s">
        <v>568</v>
      </c>
      <c r="D47">
        <v>612.88199999999995</v>
      </c>
      <c r="E47">
        <v>762.22699999999998</v>
      </c>
      <c r="F47">
        <v>203.68</v>
      </c>
      <c r="G47">
        <v>146.32579999999999</v>
      </c>
      <c r="H47">
        <v>344.80189999999999</v>
      </c>
      <c r="I47">
        <v>6206.9584000000004</v>
      </c>
    </row>
    <row r="48" spans="2:9" x14ac:dyDescent="0.25">
      <c r="B48">
        <v>19.642859999999999</v>
      </c>
      <c r="C48" t="s">
        <v>568</v>
      </c>
      <c r="D48">
        <v>611.62300000000005</v>
      </c>
      <c r="E48">
        <v>803.08100000000002</v>
      </c>
      <c r="F48">
        <v>203.68</v>
      </c>
      <c r="G48">
        <v>146.32579999999999</v>
      </c>
      <c r="H48">
        <v>246.2253</v>
      </c>
      <c r="I48">
        <v>5599.0362999999998</v>
      </c>
    </row>
    <row r="49" spans="2:9" x14ac:dyDescent="0.25">
      <c r="B49">
        <v>19.642859999999999</v>
      </c>
      <c r="C49" t="s">
        <v>568</v>
      </c>
      <c r="D49">
        <v>665.79899999999998</v>
      </c>
      <c r="E49">
        <v>843.18200000000002</v>
      </c>
      <c r="F49">
        <v>145.58699999999999</v>
      </c>
      <c r="G49">
        <v>129.06389999999999</v>
      </c>
      <c r="H49">
        <v>238.1173</v>
      </c>
      <c r="I49">
        <v>5578.0245000000004</v>
      </c>
    </row>
    <row r="50" spans="2:9" x14ac:dyDescent="0.25">
      <c r="B50">
        <v>20.535710000000002</v>
      </c>
      <c r="C50" t="s">
        <v>568</v>
      </c>
      <c r="D50">
        <v>664.54100000000005</v>
      </c>
      <c r="E50">
        <v>884.03599999999994</v>
      </c>
      <c r="F50">
        <v>145.58699999999999</v>
      </c>
      <c r="G50">
        <v>129.06389999999999</v>
      </c>
      <c r="H50">
        <v>160.44640000000001</v>
      </c>
      <c r="I50">
        <v>4887.0778</v>
      </c>
    </row>
    <row r="51" spans="2:9" x14ac:dyDescent="0.25">
      <c r="B51">
        <v>20.535710000000002</v>
      </c>
      <c r="C51" t="s">
        <v>568</v>
      </c>
      <c r="D51">
        <v>694.048</v>
      </c>
      <c r="E51">
        <v>931.46600000000001</v>
      </c>
      <c r="F51">
        <v>91.102000000000004</v>
      </c>
      <c r="G51">
        <v>118.32470000000001</v>
      </c>
      <c r="H51">
        <v>126.3066</v>
      </c>
      <c r="I51">
        <v>4874.6495000000004</v>
      </c>
    </row>
    <row r="52" spans="2:9" x14ac:dyDescent="0.25">
      <c r="B52">
        <v>21.428570000000001</v>
      </c>
      <c r="C52" t="s">
        <v>568</v>
      </c>
      <c r="D52">
        <v>692.79</v>
      </c>
      <c r="E52">
        <v>972.32</v>
      </c>
      <c r="F52">
        <v>91.102000000000004</v>
      </c>
      <c r="G52">
        <v>118.32470000000001</v>
      </c>
      <c r="H52">
        <v>75.697800000000001</v>
      </c>
      <c r="I52">
        <v>4092.3701000000001</v>
      </c>
    </row>
    <row r="53" spans="2:9" x14ac:dyDescent="0.25">
      <c r="B53">
        <v>21.428570000000001</v>
      </c>
      <c r="C53" t="s">
        <v>568</v>
      </c>
      <c r="D53">
        <v>688.03</v>
      </c>
      <c r="E53">
        <v>1025.364</v>
      </c>
      <c r="F53">
        <v>18.138000000000002</v>
      </c>
      <c r="G53">
        <v>102.64019999999999</v>
      </c>
      <c r="H53">
        <v>7.9989999999999997</v>
      </c>
      <c r="I53">
        <v>4093.9776999999999</v>
      </c>
    </row>
  </sheetData>
  <mergeCells count="18">
    <mergeCell ref="R20:T20"/>
    <mergeCell ref="R3:T3"/>
    <mergeCell ref="K7:M7"/>
    <mergeCell ref="AA11:AC11"/>
    <mergeCell ref="AA16:AC16"/>
    <mergeCell ref="A1:B1"/>
    <mergeCell ref="K1:M1"/>
    <mergeCell ref="K3:M3"/>
    <mergeCell ref="R1:T1"/>
    <mergeCell ref="R6:T6"/>
    <mergeCell ref="AA21:AC21"/>
    <mergeCell ref="AA5:AC6"/>
    <mergeCell ref="AH1:AJ2"/>
    <mergeCell ref="AM10:AO10"/>
    <mergeCell ref="AH7:AJ7"/>
    <mergeCell ref="AH12:AJ12"/>
    <mergeCell ref="AH8:AJ8"/>
    <mergeCell ref="AH13:AJ13"/>
  </mergeCells>
  <phoneticPr fontId="3" type="noConversion"/>
  <conditionalFormatting sqref="M20">
    <cfRule type="containsText" dxfId="56" priority="51" operator="containsText" text="NON ">
      <formula>NOT(ISERROR(SEARCH("NON ",M20)))</formula>
    </cfRule>
    <cfRule type="containsText" dxfId="55" priority="52" operator="containsText" text="VERIFICA">
      <formula>NOT(ISERROR(SEARCH("VERIFICA",M20)))</formula>
    </cfRule>
    <cfRule type="containsText" dxfId="54" priority="53" operator="containsText" text="N">
      <formula>NOT(ISERROR(SEARCH("N",M20)))</formula>
    </cfRule>
    <cfRule type="containsText" dxfId="53" priority="54" operator="containsText" text="NON VERIFICA ">
      <formula>NOT(ISERROR(SEARCH("NON VERIFICA ",M20)))</formula>
    </cfRule>
    <cfRule type="cellIs" dxfId="52" priority="55" operator="equal">
      <formula>"NON VERIFICA"</formula>
    </cfRule>
    <cfRule type="cellIs" dxfId="51" priority="56" operator="equal">
      <formula>"NON VERIFICA"</formula>
    </cfRule>
    <cfRule type="cellIs" dxfId="50" priority="57" operator="equal">
      <formula>"VERIFICA"</formula>
    </cfRule>
  </conditionalFormatting>
  <conditionalFormatting sqref="AC15">
    <cfRule type="containsText" dxfId="49" priority="44" operator="containsText" text="NON ">
      <formula>NOT(ISERROR(SEARCH("NON ",AC15)))</formula>
    </cfRule>
    <cfRule type="containsText" dxfId="48" priority="45" operator="containsText" text="VERIFICA">
      <formula>NOT(ISERROR(SEARCH("VERIFICA",AC15)))</formula>
    </cfRule>
    <cfRule type="containsText" dxfId="47" priority="46" operator="containsText" text="N">
      <formula>NOT(ISERROR(SEARCH("N",AC15)))</formula>
    </cfRule>
    <cfRule type="containsText" dxfId="46" priority="47" operator="containsText" text="NON VERIFICA ">
      <formula>NOT(ISERROR(SEARCH("NON VERIFICA ",AC15)))</formula>
    </cfRule>
    <cfRule type="cellIs" dxfId="45" priority="48" operator="equal">
      <formula>"NON VERIFICA"</formula>
    </cfRule>
    <cfRule type="cellIs" dxfId="44" priority="49" operator="equal">
      <formula>"NON VERIFICA"</formula>
    </cfRule>
    <cfRule type="cellIs" dxfId="43" priority="50" operator="equal">
      <formula>"VERIFICA"</formula>
    </cfRule>
  </conditionalFormatting>
  <conditionalFormatting sqref="AC20">
    <cfRule type="containsText" dxfId="42" priority="37" operator="containsText" text="NON ">
      <formula>NOT(ISERROR(SEARCH("NON ",AC20)))</formula>
    </cfRule>
    <cfRule type="containsText" dxfId="41" priority="38" operator="containsText" text="VERIFICA">
      <formula>NOT(ISERROR(SEARCH("VERIFICA",AC20)))</formula>
    </cfRule>
    <cfRule type="containsText" dxfId="40" priority="39" operator="containsText" text="N">
      <formula>NOT(ISERROR(SEARCH("N",AC20)))</formula>
    </cfRule>
    <cfRule type="containsText" dxfId="39" priority="40" operator="containsText" text="NON VERIFICA ">
      <formula>NOT(ISERROR(SEARCH("NON VERIFICA ",AC20)))</formula>
    </cfRule>
    <cfRule type="cellIs" dxfId="38" priority="41" operator="equal">
      <formula>"NON VERIFICA"</formula>
    </cfRule>
    <cfRule type="cellIs" dxfId="37" priority="42" operator="equal">
      <formula>"NON VERIFICA"</formula>
    </cfRule>
    <cfRule type="cellIs" dxfId="36" priority="43" operator="equal">
      <formula>"VERIFICA"</formula>
    </cfRule>
  </conditionalFormatting>
  <conditionalFormatting sqref="AC25">
    <cfRule type="containsText" dxfId="35" priority="23" operator="containsText" text="NON ">
      <formula>NOT(ISERROR(SEARCH("NON ",AC25)))</formula>
    </cfRule>
    <cfRule type="containsText" dxfId="34" priority="24" operator="containsText" text="VERIFICA">
      <formula>NOT(ISERROR(SEARCH("VERIFICA",AC25)))</formula>
    </cfRule>
    <cfRule type="containsText" dxfId="33" priority="25" operator="containsText" text="N">
      <formula>NOT(ISERROR(SEARCH("N",AC25)))</formula>
    </cfRule>
    <cfRule type="containsText" dxfId="32" priority="26" operator="containsText" text="NON VERIFICA ">
      <formula>NOT(ISERROR(SEARCH("NON VERIFICA ",AC25)))</formula>
    </cfRule>
    <cfRule type="cellIs" dxfId="31" priority="27" operator="equal">
      <formula>"NON VERIFICA"</formula>
    </cfRule>
    <cfRule type="cellIs" dxfId="30" priority="28" operator="equal">
      <formula>"NON VERIFICA"</formula>
    </cfRule>
    <cfRule type="cellIs" dxfId="29" priority="29" operator="equal">
      <formula>"VERIFICA"</formula>
    </cfRule>
  </conditionalFormatting>
  <conditionalFormatting sqref="AO15">
    <cfRule type="containsText" dxfId="28" priority="16" operator="containsText" text="NON ">
      <formula>NOT(ISERROR(SEARCH("NON ",AO15)))</formula>
    </cfRule>
    <cfRule type="containsText" dxfId="27" priority="17" operator="containsText" text="VERIFICA">
      <formula>NOT(ISERROR(SEARCH("VERIFICA",AO15)))</formula>
    </cfRule>
    <cfRule type="containsText" dxfId="26" priority="18" operator="containsText" text="N">
      <formula>NOT(ISERROR(SEARCH("N",AO15)))</formula>
    </cfRule>
    <cfRule type="containsText" dxfId="25" priority="19" operator="containsText" text="NON VERIFICA ">
      <formula>NOT(ISERROR(SEARCH("NON VERIFICA ",AO15)))</formula>
    </cfRule>
    <cfRule type="cellIs" dxfId="24" priority="20" operator="equal">
      <formula>"NON VERIFICA"</formula>
    </cfRule>
    <cfRule type="cellIs" dxfId="23" priority="21" operator="equal">
      <formula>"NON VERIFICA"</formula>
    </cfRule>
    <cfRule type="cellIs" dxfId="22" priority="22" operator="equal">
      <formula>"VERIFICA"</formula>
    </cfRule>
  </conditionalFormatting>
  <conditionalFormatting sqref="AJ11">
    <cfRule type="containsText" dxfId="21" priority="9" operator="containsText" text="NON ">
      <formula>NOT(ISERROR(SEARCH("NON ",AJ11)))</formula>
    </cfRule>
    <cfRule type="containsText" dxfId="20" priority="10" operator="containsText" text="VERIFICA">
      <formula>NOT(ISERROR(SEARCH("VERIFICA",AJ11)))</formula>
    </cfRule>
    <cfRule type="containsText" dxfId="19" priority="11" operator="containsText" text="N">
      <formula>NOT(ISERROR(SEARCH("N",AJ11)))</formula>
    </cfRule>
    <cfRule type="containsText" dxfId="18" priority="12" operator="containsText" text="NON VERIFICA ">
      <formula>NOT(ISERROR(SEARCH("NON VERIFICA ",AJ11)))</formula>
    </cfRule>
    <cfRule type="cellIs" dxfId="17" priority="13" operator="equal">
      <formula>"NON VERIFICA"</formula>
    </cfRule>
    <cfRule type="cellIs" dxfId="16" priority="14" operator="equal">
      <formula>"NON VERIFICA"</formula>
    </cfRule>
    <cfRule type="cellIs" dxfId="15" priority="15" operator="equal">
      <formula>"VERIFICA"</formula>
    </cfRule>
  </conditionalFormatting>
  <conditionalFormatting sqref="AJ19">
    <cfRule type="containsText" dxfId="14" priority="2" operator="containsText" text="NON ">
      <formula>NOT(ISERROR(SEARCH("NON ",AJ19)))</formula>
    </cfRule>
    <cfRule type="containsText" dxfId="13" priority="3" operator="containsText" text="VERIFICA">
      <formula>NOT(ISERROR(SEARCH("VERIFICA",AJ19)))</formula>
    </cfRule>
    <cfRule type="containsText" dxfId="12" priority="4" operator="containsText" text="N">
      <formula>NOT(ISERROR(SEARCH("N",AJ19)))</formula>
    </cfRule>
    <cfRule type="containsText" dxfId="11" priority="5" operator="containsText" text="NON VERIFICA ">
      <formula>NOT(ISERROR(SEARCH("NON VERIFICA ",AJ19)))</formula>
    </cfRule>
    <cfRule type="cellIs" dxfId="10" priority="6" operator="equal">
      <formula>"NON VERIFICA"</formula>
    </cfRule>
    <cfRule type="cellIs" dxfId="9" priority="7" operator="equal">
      <formula>"NON VERIFICA"</formula>
    </cfRule>
    <cfRule type="cellIs" dxfId="8" priority="8" operator="equal">
      <formula>"VERIFICA"</formula>
    </cfRule>
  </conditionalFormatting>
  <conditionalFormatting sqref="U18">
    <cfRule type="cellIs" dxfId="7" priority="1" operator="equal">
      <formula>"OK"</formula>
    </cfRule>
  </conditionalFormatting>
  <pageMargins left="0.7" right="0.7" top="0.75" bottom="0.75" header="0.3" footer="0.3"/>
  <pageSetup paperSize="9"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D77"/>
  <sheetViews>
    <sheetView workbookViewId="0">
      <selection activeCell="K5" sqref="K5"/>
    </sheetView>
  </sheetViews>
  <sheetFormatPr defaultRowHeight="15" x14ac:dyDescent="0.25"/>
  <cols>
    <col min="1" max="1" width="13.5703125" style="60" customWidth="1"/>
    <col min="2" max="2" width="21" style="60" customWidth="1"/>
    <col min="3" max="3" width="15.140625" style="60" customWidth="1"/>
    <col min="4" max="4" width="20.140625" style="60" customWidth="1"/>
  </cols>
  <sheetData>
    <row r="1" spans="1:4" x14ac:dyDescent="0.25">
      <c r="A1" s="130" t="s">
        <v>449</v>
      </c>
      <c r="B1" s="130"/>
      <c r="C1" s="130"/>
      <c r="D1" s="130"/>
    </row>
    <row r="2" spans="1:4" x14ac:dyDescent="0.25">
      <c r="A2" s="130" t="s">
        <v>424</v>
      </c>
      <c r="B2" s="130"/>
      <c r="C2" s="130" t="s">
        <v>567</v>
      </c>
      <c r="D2" s="130"/>
    </row>
    <row r="3" spans="1:4" x14ac:dyDescent="0.25">
      <c r="A3" s="60" t="s">
        <v>423</v>
      </c>
      <c r="B3" s="60" t="s">
        <v>422</v>
      </c>
      <c r="C3" s="60" t="s">
        <v>423</v>
      </c>
      <c r="D3" s="60" t="s">
        <v>422</v>
      </c>
    </row>
    <row r="4" spans="1:4" x14ac:dyDescent="0.25">
      <c r="A4">
        <v>-15003</v>
      </c>
      <c r="B4">
        <v>12868.2</v>
      </c>
      <c r="C4" s="60">
        <v>-10341.6</v>
      </c>
      <c r="D4" s="60">
        <v>7394.24</v>
      </c>
    </row>
    <row r="5" spans="1:4" x14ac:dyDescent="0.25">
      <c r="A5">
        <v>-15003</v>
      </c>
      <c r="B5">
        <v>12868.2</v>
      </c>
      <c r="C5" s="60">
        <v>-10341.6</v>
      </c>
      <c r="D5" s="60">
        <v>7394.24</v>
      </c>
    </row>
    <row r="6" spans="1:4" x14ac:dyDescent="0.25">
      <c r="A6">
        <v>-15003</v>
      </c>
      <c r="B6">
        <v>12868.2</v>
      </c>
      <c r="C6" s="60">
        <v>-10341.6</v>
      </c>
      <c r="D6" s="60">
        <v>7394.24</v>
      </c>
    </row>
    <row r="7" spans="1:4" x14ac:dyDescent="0.25">
      <c r="A7">
        <v>-15003</v>
      </c>
      <c r="B7">
        <v>12868.2</v>
      </c>
      <c r="C7" s="60">
        <v>-10341.6</v>
      </c>
      <c r="D7" s="60">
        <v>7394.24</v>
      </c>
    </row>
    <row r="8" spans="1:4" x14ac:dyDescent="0.25">
      <c r="A8">
        <v>-14104.5</v>
      </c>
      <c r="B8">
        <v>13583.9</v>
      </c>
      <c r="C8" s="60">
        <v>-10341.6</v>
      </c>
      <c r="D8" s="60">
        <v>7394.24</v>
      </c>
    </row>
    <row r="9" spans="1:4" x14ac:dyDescent="0.25">
      <c r="A9">
        <v>-12328.2</v>
      </c>
      <c r="B9">
        <v>14966</v>
      </c>
      <c r="C9" s="60">
        <v>-10341.6</v>
      </c>
      <c r="D9" s="60">
        <v>7394.24</v>
      </c>
    </row>
    <row r="10" spans="1:4" x14ac:dyDescent="0.25">
      <c r="A10">
        <v>-10560.9</v>
      </c>
      <c r="B10">
        <v>16286.9</v>
      </c>
      <c r="C10" s="60">
        <v>-10341.6</v>
      </c>
      <c r="D10" s="60">
        <v>7394.24</v>
      </c>
    </row>
    <row r="11" spans="1:4" x14ac:dyDescent="0.25">
      <c r="A11">
        <v>-8944.32</v>
      </c>
      <c r="B11">
        <v>17443</v>
      </c>
      <c r="C11" s="60">
        <v>-10139.4</v>
      </c>
      <c r="D11" s="60">
        <v>7559.4</v>
      </c>
    </row>
    <row r="12" spans="1:4" x14ac:dyDescent="0.25">
      <c r="A12">
        <v>-5433.67</v>
      </c>
      <c r="B12">
        <v>19790.099999999999</v>
      </c>
      <c r="C12" s="60">
        <v>-9632.11</v>
      </c>
      <c r="D12" s="60">
        <v>7971.88</v>
      </c>
    </row>
    <row r="13" spans="1:4" x14ac:dyDescent="0.25">
      <c r="A13">
        <v>1924.43</v>
      </c>
      <c r="B13">
        <v>23908.6</v>
      </c>
      <c r="C13" s="60">
        <v>-8952.6299999999992</v>
      </c>
      <c r="D13" s="60">
        <v>8519</v>
      </c>
    </row>
    <row r="14" spans="1:4" x14ac:dyDescent="0.25">
      <c r="A14">
        <v>2977.61</v>
      </c>
      <c r="B14">
        <v>24212.3</v>
      </c>
      <c r="C14" s="60">
        <v>-8229.67</v>
      </c>
      <c r="D14" s="60">
        <v>9093.26</v>
      </c>
    </row>
    <row r="15" spans="1:4" x14ac:dyDescent="0.25">
      <c r="A15">
        <v>6863.5</v>
      </c>
      <c r="B15">
        <v>21605.200000000001</v>
      </c>
      <c r="C15" s="60">
        <v>-7523.85</v>
      </c>
      <c r="D15" s="60">
        <v>9644.76</v>
      </c>
    </row>
    <row r="16" spans="1:4" x14ac:dyDescent="0.25">
      <c r="A16">
        <v>12694.3</v>
      </c>
      <c r="B16">
        <v>18300.7</v>
      </c>
      <c r="C16" s="60">
        <v>-6833.62</v>
      </c>
      <c r="D16" s="60">
        <v>10175.700000000001</v>
      </c>
    </row>
    <row r="17" spans="1:4" x14ac:dyDescent="0.25">
      <c r="A17">
        <v>14867.6</v>
      </c>
      <c r="B17">
        <v>16951.400000000001</v>
      </c>
      <c r="C17" s="60">
        <v>-6292.16</v>
      </c>
      <c r="D17" s="60">
        <v>10585.5</v>
      </c>
    </row>
    <row r="18" spans="1:4" x14ac:dyDescent="0.25">
      <c r="A18">
        <v>17676</v>
      </c>
      <c r="B18">
        <v>14929.4</v>
      </c>
      <c r="C18" s="60">
        <v>-5557.14</v>
      </c>
      <c r="D18" s="60">
        <v>11132.9</v>
      </c>
    </row>
    <row r="19" spans="1:4" x14ac:dyDescent="0.25">
      <c r="A19">
        <v>22483.5</v>
      </c>
      <c r="B19">
        <v>10563.8</v>
      </c>
      <c r="C19" s="60">
        <v>-4483.51</v>
      </c>
      <c r="D19" s="60">
        <v>11915</v>
      </c>
    </row>
    <row r="20" spans="1:4" x14ac:dyDescent="0.25">
      <c r="A20">
        <v>26979.4</v>
      </c>
      <c r="B20">
        <v>5692.73</v>
      </c>
      <c r="C20" s="60">
        <v>-2784.21</v>
      </c>
      <c r="D20" s="60">
        <v>13110.3</v>
      </c>
    </row>
    <row r="21" spans="1:4" x14ac:dyDescent="0.25">
      <c r="A21">
        <v>30018.3</v>
      </c>
      <c r="B21">
        <v>2383.11</v>
      </c>
      <c r="C21" s="60">
        <v>314.26100000000002</v>
      </c>
      <c r="D21" s="60">
        <v>15154.9</v>
      </c>
    </row>
    <row r="22" spans="1:4" x14ac:dyDescent="0.25">
      <c r="A22">
        <v>31600.3</v>
      </c>
      <c r="B22">
        <v>634.90200000000004</v>
      </c>
      <c r="C22" s="60">
        <v>5686.74</v>
      </c>
      <c r="D22" s="60">
        <v>18278.3</v>
      </c>
    </row>
    <row r="23" spans="1:4" x14ac:dyDescent="0.25">
      <c r="A23">
        <v>31600.3</v>
      </c>
      <c r="B23">
        <v>634.90200000000004</v>
      </c>
      <c r="C23" s="60">
        <v>6535.57</v>
      </c>
      <c r="D23" s="60">
        <v>18703</v>
      </c>
    </row>
    <row r="24" spans="1:4" x14ac:dyDescent="0.25">
      <c r="A24">
        <v>31127.5</v>
      </c>
      <c r="B24">
        <v>-1485.57</v>
      </c>
      <c r="C24" s="60">
        <v>7355.36</v>
      </c>
      <c r="D24" s="60">
        <v>19084.400000000001</v>
      </c>
    </row>
    <row r="25" spans="1:4" x14ac:dyDescent="0.25">
      <c r="A25">
        <v>27603.200000000001</v>
      </c>
      <c r="B25">
        <v>-5569.88</v>
      </c>
      <c r="C25" s="60">
        <v>8108.37</v>
      </c>
      <c r="D25" s="60">
        <v>19402.5</v>
      </c>
    </row>
    <row r="26" spans="1:4" x14ac:dyDescent="0.25">
      <c r="A26">
        <v>21027.4</v>
      </c>
      <c r="B26">
        <v>-11618</v>
      </c>
      <c r="C26" s="60">
        <v>8823.06</v>
      </c>
      <c r="D26" s="60">
        <v>19657.5</v>
      </c>
    </row>
    <row r="27" spans="1:4" x14ac:dyDescent="0.25">
      <c r="A27">
        <v>15671.8</v>
      </c>
      <c r="B27">
        <v>-14387.8</v>
      </c>
      <c r="C27" s="60">
        <v>9605.84</v>
      </c>
      <c r="D27" s="60">
        <v>19852.5</v>
      </c>
    </row>
    <row r="28" spans="1:4" x14ac:dyDescent="0.25">
      <c r="A28">
        <v>14161.2</v>
      </c>
      <c r="B28">
        <v>-14618.2</v>
      </c>
      <c r="C28" s="60">
        <v>11034.3</v>
      </c>
      <c r="D28" s="60">
        <v>19676.900000000001</v>
      </c>
    </row>
    <row r="29" spans="1:4" x14ac:dyDescent="0.25">
      <c r="A29">
        <v>13072.3</v>
      </c>
      <c r="B29">
        <v>-14619.4</v>
      </c>
      <c r="C29" s="60">
        <v>11806</v>
      </c>
      <c r="D29" s="60">
        <v>19377.400000000001</v>
      </c>
    </row>
    <row r="30" spans="1:4" x14ac:dyDescent="0.25">
      <c r="A30">
        <v>10822.7</v>
      </c>
      <c r="B30">
        <v>-14286.7</v>
      </c>
      <c r="C30" s="60">
        <v>12633.7</v>
      </c>
      <c r="D30" s="60">
        <v>19049.3</v>
      </c>
    </row>
    <row r="31" spans="1:4" x14ac:dyDescent="0.25">
      <c r="A31">
        <v>9910.3799999999992</v>
      </c>
      <c r="B31">
        <v>-14048.7</v>
      </c>
      <c r="C31" s="60">
        <v>13532.4</v>
      </c>
      <c r="D31" s="60">
        <v>18678.3</v>
      </c>
    </row>
    <row r="32" spans="1:4" x14ac:dyDescent="0.25">
      <c r="A32">
        <v>9387.5499999999993</v>
      </c>
      <c r="B32">
        <v>-13950.1</v>
      </c>
      <c r="C32" s="60">
        <v>14522.2</v>
      </c>
      <c r="D32" s="60">
        <v>18241.8</v>
      </c>
    </row>
    <row r="33" spans="1:4" x14ac:dyDescent="0.25">
      <c r="A33">
        <v>7424.79</v>
      </c>
      <c r="B33">
        <v>-12916.8</v>
      </c>
      <c r="C33" s="60">
        <v>15680.5</v>
      </c>
      <c r="D33" s="60">
        <v>17672.2</v>
      </c>
    </row>
    <row r="34" spans="1:4" x14ac:dyDescent="0.25">
      <c r="A34">
        <v>7537.07</v>
      </c>
      <c r="B34">
        <v>-13034</v>
      </c>
      <c r="C34" s="60">
        <v>17626.599999999999</v>
      </c>
      <c r="D34" s="60">
        <v>16503.3</v>
      </c>
    </row>
    <row r="35" spans="1:4" x14ac:dyDescent="0.25">
      <c r="A35">
        <v>7489.57</v>
      </c>
      <c r="B35">
        <v>-12946</v>
      </c>
      <c r="C35" s="60">
        <v>19392.2</v>
      </c>
      <c r="D35" s="60">
        <v>15309.7</v>
      </c>
    </row>
    <row r="36" spans="1:4" x14ac:dyDescent="0.25">
      <c r="A36">
        <v>6826.66</v>
      </c>
      <c r="B36">
        <v>-12132.8</v>
      </c>
      <c r="C36" s="60">
        <v>20896.3</v>
      </c>
      <c r="D36" s="60">
        <v>14290.5</v>
      </c>
    </row>
    <row r="37" spans="1:4" x14ac:dyDescent="0.25">
      <c r="A37">
        <v>5833.98</v>
      </c>
      <c r="B37">
        <v>-10924.6</v>
      </c>
      <c r="C37" s="60">
        <v>22139</v>
      </c>
      <c r="D37" s="60">
        <v>13445.7</v>
      </c>
    </row>
    <row r="38" spans="1:4" x14ac:dyDescent="0.25">
      <c r="A38">
        <v>4875.66</v>
      </c>
      <c r="B38">
        <v>-9787.93</v>
      </c>
      <c r="C38" s="60">
        <v>23120.1</v>
      </c>
      <c r="D38" s="60">
        <v>12775.5</v>
      </c>
    </row>
    <row r="39" spans="1:4" x14ac:dyDescent="0.25">
      <c r="A39">
        <v>-15003</v>
      </c>
      <c r="B39">
        <v>12868.2</v>
      </c>
      <c r="C39" s="60">
        <v>23839.8</v>
      </c>
      <c r="D39" s="60">
        <v>12279.7</v>
      </c>
    </row>
    <row r="40" spans="1:4" x14ac:dyDescent="0.25">
      <c r="A40">
        <v>-15003</v>
      </c>
      <c r="B40">
        <v>12868.2</v>
      </c>
      <c r="C40" s="60">
        <v>24297.9</v>
      </c>
      <c r="D40" s="60">
        <v>11958.3</v>
      </c>
    </row>
    <row r="41" spans="1:4" x14ac:dyDescent="0.25">
      <c r="A41">
        <v>-15003</v>
      </c>
      <c r="B41">
        <v>12868.2</v>
      </c>
      <c r="C41" s="60">
        <v>24297.9</v>
      </c>
      <c r="D41" s="60">
        <v>11958.3</v>
      </c>
    </row>
    <row r="42" spans="1:4" x14ac:dyDescent="0.25">
      <c r="C42" s="60">
        <v>24172.9</v>
      </c>
      <c r="D42" s="60">
        <v>11549.2</v>
      </c>
    </row>
    <row r="43" spans="1:4" x14ac:dyDescent="0.25">
      <c r="C43" s="60">
        <v>23328.400000000001</v>
      </c>
      <c r="D43" s="60">
        <v>10657.4</v>
      </c>
    </row>
    <row r="44" spans="1:4" x14ac:dyDescent="0.25">
      <c r="C44" s="60">
        <v>21764.400000000001</v>
      </c>
      <c r="D44" s="60">
        <v>9282.98</v>
      </c>
    </row>
    <row r="45" spans="1:4" x14ac:dyDescent="0.25">
      <c r="C45" s="60">
        <v>19481</v>
      </c>
      <c r="D45" s="60">
        <v>7425.97</v>
      </c>
    </row>
    <row r="46" spans="1:4" x14ac:dyDescent="0.25">
      <c r="C46" s="60">
        <v>16478</v>
      </c>
      <c r="D46" s="60">
        <v>5086.34</v>
      </c>
    </row>
    <row r="47" spans="1:4" x14ac:dyDescent="0.25">
      <c r="C47" s="60">
        <v>12755.5</v>
      </c>
      <c r="D47" s="60">
        <v>2264.09</v>
      </c>
    </row>
    <row r="48" spans="1:4" x14ac:dyDescent="0.25">
      <c r="C48" s="60">
        <v>8478.8700000000008</v>
      </c>
      <c r="D48" s="60">
        <v>-267.65300000000002</v>
      </c>
    </row>
    <row r="49" spans="3:4" x14ac:dyDescent="0.25">
      <c r="C49" s="60">
        <v>6503.09</v>
      </c>
      <c r="D49" s="60">
        <v>-1156.49</v>
      </c>
    </row>
    <row r="50" spans="3:4" x14ac:dyDescent="0.25">
      <c r="C50" s="60">
        <v>5609.66</v>
      </c>
      <c r="D50" s="60">
        <v>-1403.86</v>
      </c>
    </row>
    <row r="51" spans="3:4" x14ac:dyDescent="0.25">
      <c r="C51" s="60">
        <v>5058.1000000000004</v>
      </c>
      <c r="D51" s="60">
        <v>-1474.86</v>
      </c>
    </row>
    <row r="52" spans="3:4" x14ac:dyDescent="0.25">
      <c r="C52" s="60">
        <v>4608.8999999999996</v>
      </c>
      <c r="D52" s="60">
        <v>-1491.69</v>
      </c>
    </row>
    <row r="53" spans="3:4" x14ac:dyDescent="0.25">
      <c r="C53" s="60">
        <v>4215.46</v>
      </c>
      <c r="D53" s="60">
        <v>-1480.42</v>
      </c>
    </row>
    <row r="54" spans="3:4" x14ac:dyDescent="0.25">
      <c r="C54" s="60">
        <v>3084.47</v>
      </c>
      <c r="D54" s="60">
        <v>-1314.85</v>
      </c>
    </row>
    <row r="55" spans="3:4" x14ac:dyDescent="0.25">
      <c r="C55" s="60">
        <v>2293.37</v>
      </c>
      <c r="D55" s="60">
        <v>-1084.8499999999999</v>
      </c>
    </row>
    <row r="56" spans="3:4" x14ac:dyDescent="0.25">
      <c r="C56" s="60">
        <v>1696.72</v>
      </c>
      <c r="D56" s="60">
        <v>-852.35199999999998</v>
      </c>
    </row>
    <row r="57" spans="3:4" x14ac:dyDescent="0.25">
      <c r="C57" s="60">
        <v>1220.8699999999999</v>
      </c>
      <c r="D57" s="60">
        <v>-632.84400000000005</v>
      </c>
    </row>
    <row r="58" spans="3:4" x14ac:dyDescent="0.25">
      <c r="C58" s="60">
        <v>823.34699999999998</v>
      </c>
      <c r="D58" s="60">
        <v>-428.09</v>
      </c>
    </row>
    <row r="59" spans="3:4" x14ac:dyDescent="0.25">
      <c r="C59" s="60">
        <v>475.63900000000001</v>
      </c>
      <c r="D59" s="60">
        <v>-234.52500000000001</v>
      </c>
    </row>
    <row r="60" spans="3:4" x14ac:dyDescent="0.25">
      <c r="C60" s="60">
        <v>-1598.15</v>
      </c>
      <c r="D60" s="60">
        <v>1083.1099999999999</v>
      </c>
    </row>
    <row r="61" spans="3:4" x14ac:dyDescent="0.25">
      <c r="C61" s="60">
        <v>-3531.94</v>
      </c>
      <c r="D61" s="60">
        <v>2404.3200000000002</v>
      </c>
    </row>
    <row r="62" spans="3:4" x14ac:dyDescent="0.25">
      <c r="C62" s="60">
        <v>-4968.0200000000004</v>
      </c>
      <c r="D62" s="60">
        <v>3423.15</v>
      </c>
    </row>
    <row r="63" spans="3:4" x14ac:dyDescent="0.25">
      <c r="C63" s="60">
        <v>-6151.54</v>
      </c>
      <c r="D63" s="60">
        <v>4275.0600000000004</v>
      </c>
    </row>
    <row r="64" spans="3:4" x14ac:dyDescent="0.25">
      <c r="C64" s="60">
        <v>-7199.71</v>
      </c>
      <c r="D64" s="60">
        <v>5033.1000000000004</v>
      </c>
    </row>
    <row r="65" spans="3:4" x14ac:dyDescent="0.25">
      <c r="C65" s="60">
        <v>-8170.93</v>
      </c>
      <c r="D65" s="60">
        <v>5736.39</v>
      </c>
    </row>
    <row r="66" spans="3:4" x14ac:dyDescent="0.25">
      <c r="C66" s="60">
        <v>-9042.91</v>
      </c>
      <c r="D66" s="60">
        <v>6374.47</v>
      </c>
    </row>
    <row r="67" spans="3:4" x14ac:dyDescent="0.25">
      <c r="C67" s="60">
        <v>-9525.4500000000007</v>
      </c>
      <c r="D67" s="60">
        <v>6737.7</v>
      </c>
    </row>
    <row r="68" spans="3:4" x14ac:dyDescent="0.25">
      <c r="C68" s="60">
        <v>-9805.7099999999991</v>
      </c>
      <c r="D68" s="60">
        <v>6960.31</v>
      </c>
    </row>
    <row r="69" spans="3:4" x14ac:dyDescent="0.25">
      <c r="C69" s="60">
        <v>-10068.200000000001</v>
      </c>
      <c r="D69" s="60">
        <v>7171.69</v>
      </c>
    </row>
    <row r="70" spans="3:4" x14ac:dyDescent="0.25">
      <c r="C70" s="60">
        <v>-10263.799999999999</v>
      </c>
      <c r="D70" s="60">
        <v>7330.66</v>
      </c>
    </row>
    <row r="71" spans="3:4" x14ac:dyDescent="0.25">
      <c r="C71" s="60">
        <v>-10341.6</v>
      </c>
      <c r="D71" s="60">
        <v>7394.24</v>
      </c>
    </row>
    <row r="72" spans="3:4" x14ac:dyDescent="0.25">
      <c r="C72" s="60">
        <v>-10341.6</v>
      </c>
      <c r="D72" s="60">
        <v>7394.24</v>
      </c>
    </row>
    <row r="73" spans="3:4" x14ac:dyDescent="0.25">
      <c r="C73" s="60">
        <v>-10341.6</v>
      </c>
      <c r="D73" s="60">
        <v>7394.24</v>
      </c>
    </row>
    <row r="74" spans="3:4" x14ac:dyDescent="0.25">
      <c r="C74" s="60">
        <v>-10341.6</v>
      </c>
      <c r="D74" s="60">
        <v>7394.24</v>
      </c>
    </row>
    <row r="75" spans="3:4" x14ac:dyDescent="0.25">
      <c r="C75" s="60">
        <v>-10341.6</v>
      </c>
      <c r="D75" s="60">
        <v>7394.24</v>
      </c>
    </row>
    <row r="76" spans="3:4" x14ac:dyDescent="0.25">
      <c r="C76" s="60">
        <v>-10341.6</v>
      </c>
      <c r="D76" s="60">
        <v>7394.24</v>
      </c>
    </row>
    <row r="77" spans="3:4" x14ac:dyDescent="0.25">
      <c r="C77" s="60">
        <v>-10341.6</v>
      </c>
      <c r="D77" s="60">
        <v>7394.24</v>
      </c>
    </row>
  </sheetData>
  <mergeCells count="3">
    <mergeCell ref="A2:B2"/>
    <mergeCell ref="C2:D2"/>
    <mergeCell ref="A1:D1"/>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D14"/>
  <sheetViews>
    <sheetView showGridLines="0" tabSelected="1" workbookViewId="0">
      <selection activeCell="P4" sqref="P4"/>
    </sheetView>
  </sheetViews>
  <sheetFormatPr defaultRowHeight="15" x14ac:dyDescent="0.25"/>
  <cols>
    <col min="3" max="3" width="10.28515625" customWidth="1"/>
  </cols>
  <sheetData>
    <row r="1" spans="1:4" x14ac:dyDescent="0.25">
      <c r="A1" s="136" t="s">
        <v>569</v>
      </c>
      <c r="B1" s="136"/>
      <c r="C1" s="136"/>
    </row>
    <row r="2" spans="1:4" ht="18" x14ac:dyDescent="0.35">
      <c r="A2" s="61" t="s">
        <v>450</v>
      </c>
      <c r="B2" s="61">
        <f>Materiali!B5*'Caratteristiche trave V185'!B30*'Caratteristiche trave V185'!B31*1000</f>
        <v>16167.70833333333</v>
      </c>
      <c r="C2" s="61" t="s">
        <v>363</v>
      </c>
      <c r="D2" t="s">
        <v>451</v>
      </c>
    </row>
    <row r="3" spans="1:4" x14ac:dyDescent="0.25">
      <c r="A3" s="61" t="s">
        <v>429</v>
      </c>
      <c r="B3" s="61">
        <v>200</v>
      </c>
      <c r="C3" s="61" t="s">
        <v>6</v>
      </c>
      <c r="D3" t="s">
        <v>466</v>
      </c>
    </row>
    <row r="4" spans="1:4" ht="18" x14ac:dyDescent="0.35">
      <c r="A4" s="61" t="s">
        <v>452</v>
      </c>
      <c r="B4" s="61">
        <f>('Caratteristiche trave V185'!B2*1000)/'verifica connettori'!B3*2</f>
        <v>320</v>
      </c>
      <c r="C4" s="61" t="s">
        <v>259</v>
      </c>
      <c r="D4" t="s">
        <v>465</v>
      </c>
    </row>
    <row r="5" spans="1:4" ht="18" x14ac:dyDescent="0.35">
      <c r="A5" s="61" t="s">
        <v>453</v>
      </c>
      <c r="B5" s="61">
        <v>2</v>
      </c>
      <c r="C5" s="61" t="s">
        <v>259</v>
      </c>
      <c r="D5" t="s">
        <v>454</v>
      </c>
    </row>
    <row r="6" spans="1:4" ht="18" x14ac:dyDescent="0.35">
      <c r="A6" s="17" t="s">
        <v>455</v>
      </c>
      <c r="B6" s="61">
        <v>12</v>
      </c>
      <c r="C6" s="61" t="s">
        <v>6</v>
      </c>
      <c r="D6" t="s">
        <v>456</v>
      </c>
    </row>
    <row r="7" spans="1:4" ht="18" x14ac:dyDescent="0.35">
      <c r="A7" s="17" t="s">
        <v>457</v>
      </c>
      <c r="B7" s="61">
        <v>200</v>
      </c>
      <c r="C7" s="61" t="s">
        <v>6</v>
      </c>
      <c r="D7" t="s">
        <v>458</v>
      </c>
    </row>
    <row r="8" spans="1:4" x14ac:dyDescent="0.25">
      <c r="A8" s="17" t="s">
        <v>44</v>
      </c>
      <c r="B8" s="61">
        <f>IF(B7/B6&gt;4,1,0.2/(B7/B6+1))</f>
        <v>1</v>
      </c>
      <c r="C8" s="61" t="s">
        <v>259</v>
      </c>
    </row>
    <row r="9" spans="1:4" ht="18" x14ac:dyDescent="0.35">
      <c r="A9" s="17" t="s">
        <v>459</v>
      </c>
      <c r="B9" s="61">
        <v>1.25</v>
      </c>
      <c r="C9" s="61" t="s">
        <v>259</v>
      </c>
      <c r="D9" t="s">
        <v>460</v>
      </c>
    </row>
    <row r="10" spans="1:4" ht="18" x14ac:dyDescent="0.35">
      <c r="A10" s="17" t="s">
        <v>461</v>
      </c>
      <c r="B10" s="9">
        <f>B2/(B4*B5)</f>
        <v>25.262044270833329</v>
      </c>
      <c r="C10" s="61" t="s">
        <v>363</v>
      </c>
      <c r="D10" t="s">
        <v>468</v>
      </c>
    </row>
    <row r="11" spans="1:4" ht="18" x14ac:dyDescent="0.35">
      <c r="A11" s="17" t="s">
        <v>462</v>
      </c>
      <c r="B11" s="9">
        <f>0.29*B8*B6^2*SQRT(Materiali!K10*Materiali!K4)/1000</f>
        <v>47.490170324421392</v>
      </c>
      <c r="C11" s="61" t="s">
        <v>363</v>
      </c>
      <c r="D11" t="s">
        <v>469</v>
      </c>
    </row>
    <row r="12" spans="1:4" ht="18" x14ac:dyDescent="0.35">
      <c r="A12" s="17" t="s">
        <v>463</v>
      </c>
      <c r="B12" s="9">
        <f>0.8*Materiali!O5*PI()*B6^2/4/1000</f>
        <v>48.858048948628465</v>
      </c>
      <c r="C12" s="61" t="s">
        <v>363</v>
      </c>
      <c r="D12" t="s">
        <v>470</v>
      </c>
    </row>
    <row r="13" spans="1:4" ht="18" x14ac:dyDescent="0.35">
      <c r="A13" s="17" t="s">
        <v>467</v>
      </c>
      <c r="B13" s="9">
        <f>MIN(B11:B12)</f>
        <v>47.490170324421392</v>
      </c>
      <c r="C13" s="61" t="s">
        <v>363</v>
      </c>
      <c r="D13" t="s">
        <v>471</v>
      </c>
    </row>
    <row r="14" spans="1:4" x14ac:dyDescent="0.25">
      <c r="A14" s="17" t="s">
        <v>230</v>
      </c>
      <c r="B14" s="9">
        <f>B10/B13</f>
        <v>0.53194259145123657</v>
      </c>
      <c r="C14" s="61" t="str">
        <f>IF((B14 &lt; 1),"VERIFICA", " NON VERIFICA")</f>
        <v>VERIFICA</v>
      </c>
    </row>
  </sheetData>
  <mergeCells count="1">
    <mergeCell ref="A1:C1"/>
  </mergeCells>
  <conditionalFormatting sqref="C14">
    <cfRule type="containsText" dxfId="6" priority="1" operator="containsText" text="NON ">
      <formula>NOT(ISERROR(SEARCH("NON ",C14)))</formula>
    </cfRule>
    <cfRule type="containsText" dxfId="5" priority="2" operator="containsText" text="VERIFICA">
      <formula>NOT(ISERROR(SEARCH("VERIFICA",C14)))</formula>
    </cfRule>
    <cfRule type="containsText" dxfId="4" priority="3" operator="containsText" text="N">
      <formula>NOT(ISERROR(SEARCH("N",C14)))</formula>
    </cfRule>
    <cfRule type="containsText" dxfId="3" priority="4" operator="containsText" text="NON VERIFICA ">
      <formula>NOT(ISERROR(SEARCH("NON VERIFICA ",C14)))</formula>
    </cfRule>
    <cfRule type="cellIs" dxfId="2" priority="5" operator="equal">
      <formula>"NON VERIFICA"</formula>
    </cfRule>
    <cfRule type="cellIs" dxfId="1" priority="6" operator="equal">
      <formula>"NON VERIFICA"</formula>
    </cfRule>
    <cfRule type="cellIs" dxfId="0" priority="7" operator="equal">
      <formula>"VERIFICA"</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11</vt:i4>
      </vt:variant>
    </vt:vector>
  </HeadingPairs>
  <TitlesOfParts>
    <vt:vector size="11" baseType="lpstr">
      <vt:lpstr>Materiali</vt:lpstr>
      <vt:lpstr>Caratteristiche trave V185</vt:lpstr>
      <vt:lpstr>fase 0 </vt:lpstr>
      <vt:lpstr>fase 1 </vt:lpstr>
      <vt:lpstr>fase 2 </vt:lpstr>
      <vt:lpstr>fase 3</vt:lpstr>
      <vt:lpstr>Perdite di tiro </vt:lpstr>
      <vt:lpstr>verifica sollevamento</vt:lpstr>
      <vt:lpstr>SLU ( M, V, T )</vt:lpstr>
      <vt:lpstr>dominio</vt:lpstr>
      <vt:lpstr>verifica connettori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domenico gaudioso</dc:creator>
  <cp:lastModifiedBy>domenico gaudioso</cp:lastModifiedBy>
  <dcterms:created xsi:type="dcterms:W3CDTF">2020-02-13T10:39:02Z</dcterms:created>
  <dcterms:modified xsi:type="dcterms:W3CDTF">2020-04-05T16:12:51Z</dcterms:modified>
</cp:coreProperties>
</file>